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FB978138-EF0F-4CE8-98F1-ED1BA31445E9}" xr6:coauthVersionLast="47" xr6:coauthVersionMax="47" xr10:uidLastSave="{00000000-0000-0000-0000-000000000000}"/>
  <bookViews>
    <workbookView xWindow="-120" yWindow="-120" windowWidth="28110" windowHeight="16440" activeTab="5" xr2:uid="{00000000-000D-0000-FFFF-FFFF00000000}"/>
  </bookViews>
  <sheets>
    <sheet name="Financials" sheetId="4" r:id="rId1"/>
    <sheet name="Tracking" sheetId="7" r:id="rId2"/>
    <sheet name="Bible" sheetId="6" r:id="rId3"/>
    <sheet name="Options" sheetId="5" r:id="rId4"/>
    <sheet name="Processed" sheetId="3" r:id="rId5"/>
    <sheet name="Dump" sheetId="2" r:id="rId6"/>
    <sheet name="DumpQ" sheetId="8" r:id="rId7"/>
    <sheet name="ProcessedQ" sheetId="9" r:id="rId8"/>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7" i="7" l="1"/>
  <c r="T14" i="4" l="1"/>
  <c r="AE16" i="4" l="1"/>
  <c r="E28" i="7" a="1"/>
  <c r="E28" i="7" s="1"/>
  <c r="C28" i="7" a="1"/>
  <c r="C28" i="7" s="1"/>
  <c r="A28" i="7" a="1"/>
  <c r="A28" i="7" s="1"/>
  <c r="E3" i="7" a="1"/>
  <c r="E3" i="7" s="1"/>
  <c r="G3" i="7" s="1"/>
  <c r="E23" i="7" a="1"/>
  <c r="E23" i="7" s="1"/>
  <c r="C23" i="7" a="1"/>
  <c r="C23" i="7" s="1"/>
  <c r="A23" i="7" a="1"/>
  <c r="A23" i="7" s="1"/>
  <c r="E19" i="7" a="1"/>
  <c r="E19" i="7" s="1"/>
  <c r="C19" i="7" a="1"/>
  <c r="C19" i="7" s="1"/>
  <c r="A19" i="7" a="1"/>
  <c r="A19" i="7" s="1"/>
  <c r="T34" i="7"/>
  <c r="Q34" i="7"/>
  <c r="P34" i="7"/>
  <c r="O34" i="7"/>
  <c r="N34" i="7"/>
  <c r="M34" i="7"/>
  <c r="L34" i="7"/>
  <c r="I34" i="7"/>
  <c r="B34" i="7"/>
  <c r="E26" i="7" a="1"/>
  <c r="E26" i="7" s="1"/>
  <c r="C26" i="7" a="1"/>
  <c r="C26" i="7" s="1"/>
  <c r="A26" i="7" a="1"/>
  <c r="A26" i="7" s="1"/>
  <c r="H23" i="7" l="1"/>
  <c r="G23" i="7"/>
  <c r="H26" i="7"/>
  <c r="G26" i="7"/>
  <c r="H28" i="7"/>
  <c r="G28" i="7"/>
  <c r="H19" i="7"/>
  <c r="G19" i="7"/>
  <c r="E13" i="7" a="1"/>
  <c r="E13" i="7" s="1"/>
  <c r="C13" i="7" a="1"/>
  <c r="C13" i="7" s="1"/>
  <c r="A13" i="7" a="1"/>
  <c r="A13" i="7" s="1"/>
  <c r="I2" i="4" a="1"/>
  <c r="I2" i="4"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H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H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N8"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H32" i="7" l="1"/>
  <c r="G32" i="7"/>
  <c r="H14" i="7"/>
  <c r="G14" i="7"/>
  <c r="H30" i="7"/>
  <c r="G30" i="7"/>
  <c r="H29" i="7"/>
  <c r="G29" i="7"/>
  <c r="H8" i="7"/>
  <c r="G8" i="7"/>
  <c r="H16" i="7"/>
  <c r="G16" i="7"/>
  <c r="H5" i="7"/>
  <c r="G5" i="7"/>
  <c r="H11" i="7"/>
  <c r="G11" i="7"/>
  <c r="H9" i="7"/>
  <c r="G9" i="7"/>
  <c r="H27" i="7"/>
  <c r="G27" i="7"/>
  <c r="H15" i="7"/>
  <c r="G15" i="7"/>
  <c r="H2" i="7"/>
  <c r="H34" i="7" s="1"/>
  <c r="G2" i="7"/>
  <c r="H22" i="7"/>
  <c r="G22" i="7"/>
  <c r="H33" i="7"/>
  <c r="G33" i="7"/>
  <c r="H10" i="7"/>
  <c r="G10" i="7"/>
  <c r="H6" i="7"/>
  <c r="G6" i="7"/>
  <c r="H20" i="7"/>
  <c r="G20" i="7"/>
  <c r="H4" i="7"/>
  <c r="G4" i="7"/>
  <c r="H25" i="7"/>
  <c r="G25" i="7"/>
  <c r="H7" i="7"/>
  <c r="G7" i="7"/>
  <c r="H18" i="7"/>
  <c r="G18" i="7"/>
  <c r="H31" i="7"/>
  <c r="G31" i="7"/>
  <c r="H12" i="7"/>
  <c r="G12" i="7"/>
  <c r="H21" i="7"/>
  <c r="G21" i="7"/>
  <c r="H24" i="7"/>
  <c r="G24" i="7"/>
  <c r="H13" i="7"/>
  <c r="G13" i="7"/>
  <c r="K17" i="4"/>
  <c r="S7" i="4" s="1"/>
  <c r="R5" i="4"/>
  <c r="U55" i="4"/>
  <c r="S55" i="4"/>
  <c r="R55" i="4"/>
  <c r="T55" i="4"/>
  <c r="U53" i="4"/>
  <c r="S53" i="4"/>
  <c r="T53" i="4"/>
  <c r="AD6" i="4"/>
  <c r="S5" i="4"/>
  <c r="R7" i="4" l="1"/>
  <c r="U7" i="4"/>
  <c r="A15" i="4" s="1"/>
  <c r="T7" i="4"/>
  <c r="AD7" i="4"/>
  <c r="T5" i="4"/>
  <c r="U5" i="4"/>
  <c r="AD8" i="4" l="1"/>
  <c r="AD9" i="4" s="1"/>
  <c r="AD10" i="4" s="1"/>
  <c r="AD11" i="4" s="1"/>
  <c r="AD12" i="4" s="1"/>
  <c r="AD13" i="4" s="1"/>
  <c r="AD14" i="4" s="1"/>
  <c r="AE15" i="4" s="1"/>
  <c r="S16" i="4" l="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futureMetadata>
  <cellMetadata count="1">
    <bk>
      <rc t="1" v="0"/>
    </bk>
  </cellMetadata>
  <valueMetadata count="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valueMetadata>
</metadata>
</file>

<file path=xl/sharedStrings.xml><?xml version="1.0" encoding="utf-8"?>
<sst xmlns="http://schemas.openxmlformats.org/spreadsheetml/2006/main" count="2382" uniqueCount="287">
  <si>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</si>
  <si>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</si>
  <si>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</si>
  <si>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</si>
  <si>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</si>
  <si>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</si>
  <si>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</si>
  <si>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</si>
  <si>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</si>
  <si>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</si>
  <si>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</si>
  <si>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</si>
  <si>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</si>
  <si>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</si>
  <si>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</si>
  <si>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</si>
  <si>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</si>
  <si>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</si>
  <si>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</si>
  <si>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</si>
  <si>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</si>
  <si>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</si>
  <si>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</si>
  <si>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</si>
  <si>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</si>
  <si>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</si>
  <si>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</si>
  <si>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</si>
  <si>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</si>
  <si>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</si>
  <si>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</si>
  <si>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</si>
  <si>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</si>
  <si>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</si>
  <si>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</si>
  <si>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</si>
  <si>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</si>
  <si>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</si>
  <si>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</si>
  <si>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</si>
  <si>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</si>
  <si>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</si>
  <si>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</si>
  <si>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</si>
  <si>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</si>
  <si>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</si>
  <si>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</si>
  <si>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</si>
  <si>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</si>
  <si>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</si>
  <si>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</si>
  <si>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</si>
  <si>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</si>
  <si>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</si>
  <si>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</si>
  <si>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</si>
  <si>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</si>
  <si>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</si>
  <si>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</si>
  <si>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</si>
  <si>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</si>
  <si>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</si>
  <si>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</si>
  <si>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</si>
  <si>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</si>
  <si>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</si>
  <si>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</si>
  <si>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</si>
  <si>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</si>
  <si>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</si>
  <si>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</si>
  <si>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</si>
  <si>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</si>
  <si>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</si>
  <si>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</si>
  <si>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</si>
  <si>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</si>
  <si>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</si>
  <si>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</si>
  <si>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</si>
  <si>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</si>
  <si>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</si>
  <si>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</si>
  <si>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</si>
  <si>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</si>
  <si>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</si>
  <si>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</si>
  <si>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</si>
  <si>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</si>
  <si>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</si>
  <si>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</si>
  <si>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</si>
  <si>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</si>
  <si>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</si>
  <si>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</si>
  <si>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</si>
  <si>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</si>
  <si>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</si>
  <si>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</si>
  <si>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</si>
  <si>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</si>
  <si>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</si>
  <si>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</si>
  <si>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</si>
  <si>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</si>
  <si>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</si>
  <si>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</si>
  <si>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</si>
  <si>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</si>
  <si>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</si>
  <si>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</si>
  <si>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</si>
  <si>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</si>
  <si>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</si>
  <si>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</si>
  <si>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</si>
  <si>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</si>
  <si>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</si>
  <si>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</si>
  <si>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</si>
  <si>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</si>
  <si>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</si>
  <si>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</si>
  <si>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</si>
  <si>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</si>
  <si>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</si>
  <si>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</si>
  <si>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</si>
  <si>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</si>
  <si>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</si>
  <si>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CAGR</t>
  </si>
  <si>
    <t>INCOME STATEMENT</t>
  </si>
  <si>
    <t>COGS</t>
  </si>
  <si>
    <t>- -</t>
  </si>
  <si>
    <t>Gross Profit Ratio</t>
  </si>
  <si>
    <t>Research and Development Exp.</t>
  </si>
  <si>
    <t>General and Administrative Exp.</t>
  </si>
  <si>
    <t>Selling and Marketing Exp.</t>
  </si>
  <si>
    <t>Selling, General and Administrative Exp.</t>
  </si>
  <si>
    <t>Other Expenses</t>
  </si>
  <si>
    <t>Operating Expenses</t>
  </si>
  <si>
    <t>COGS and Expenses</t>
  </si>
  <si>
    <t xml:space="preserve">Interest Income </t>
  </si>
  <si>
    <t>Interest Expense (Gain)</t>
  </si>
  <si>
    <t>Depreciation and Amortization</t>
  </si>
  <si>
    <t>EBITDA ratio</t>
  </si>
  <si>
    <t>Operating Income ratio</t>
  </si>
  <si>
    <t>Total Other Income Expenses (Gains)</t>
  </si>
  <si>
    <t>Income Before Tax</t>
  </si>
  <si>
    <t>Income Before Tax Ratio</t>
  </si>
  <si>
    <t>Income Tax expense (Gain)</t>
  </si>
  <si>
    <t>Net Income ratio</t>
  </si>
  <si>
    <t>EPS Diluted</t>
  </si>
  <si>
    <t>Weighted Average Shares Outstanding</t>
  </si>
  <si>
    <t>Weighted Average Shares Outstanding Diluted</t>
  </si>
  <si>
    <t>SEC Link</t>
  </si>
  <si>
    <t>BALANCE SHEET</t>
  </si>
  <si>
    <t>Cash and Cash Equivalents</t>
  </si>
  <si>
    <t>Net Receivables</t>
  </si>
  <si>
    <t>Inventory</t>
  </si>
  <si>
    <t>Other Current Assets</t>
  </si>
  <si>
    <t>Total Current Assets</t>
  </si>
  <si>
    <t>PP&amp;E</t>
  </si>
  <si>
    <t>Goodwill</t>
  </si>
  <si>
    <t>Intangible Assets</t>
  </si>
  <si>
    <t>Investments</t>
  </si>
  <si>
    <t>Tax Assets</t>
  </si>
  <si>
    <t>Other Non-Current Assets</t>
  </si>
  <si>
    <t>Total Non-Current Assets</t>
  </si>
  <si>
    <t>Other Assets</t>
  </si>
  <si>
    <t>Total Assets</t>
  </si>
  <si>
    <t>Accounts Payable</t>
  </si>
  <si>
    <t>Tax Payable</t>
  </si>
  <si>
    <t>Deferred Revenue</t>
  </si>
  <si>
    <t>Other Current Liabilities</t>
  </si>
  <si>
    <t>Total Current Liabilities</t>
  </si>
  <si>
    <t>Deferred Tax Liabilities</t>
  </si>
  <si>
    <t>Other Non-Current Liabilities</t>
  </si>
  <si>
    <t>Total Non-Current Liabilities</t>
  </si>
  <si>
    <t>Other Liabilities</t>
  </si>
  <si>
    <t>Capital Lease Obligations</t>
  </si>
  <si>
    <t>Total Liabilities</t>
  </si>
  <si>
    <t>Preferred Stock</t>
  </si>
  <si>
    <t>Common Stock</t>
  </si>
  <si>
    <t>Retained Earnings</t>
  </si>
  <si>
    <t>Other Comprehensive Income/Loss</t>
  </si>
  <si>
    <t>Other Total Stockholders Equity</t>
  </si>
  <si>
    <t>Total Stockholders Equity</t>
  </si>
  <si>
    <t>Total Liabilities And Stockholders Equity</t>
  </si>
  <si>
    <t>Minority Interest</t>
  </si>
  <si>
    <t>Total Liabilities &amp; Equity</t>
  </si>
  <si>
    <t>CASH FLOW STATEMENT</t>
  </si>
  <si>
    <t>Deferred Income Tax</t>
  </si>
  <si>
    <t>Stock Based Compensation</t>
  </si>
  <si>
    <t>Change in Working Capital</t>
  </si>
  <si>
    <t>Accounts Receivable</t>
  </si>
  <si>
    <t>Other Working Capital</t>
  </si>
  <si>
    <t>Other Non-Cash Items</t>
  </si>
  <si>
    <t>Cash Provided by Operating Activities</t>
  </si>
  <si>
    <t>CAPEX</t>
  </si>
  <si>
    <t>Acquisitions Net</t>
  </si>
  <si>
    <t>Purchases of Investments</t>
  </si>
  <si>
    <t>Sales/Maturities of Investments</t>
  </si>
  <si>
    <t>Other Investing Activites</t>
  </si>
  <si>
    <t>Cash Used for Investing Activites</t>
  </si>
  <si>
    <t>Debt Repayment</t>
  </si>
  <si>
    <t>Common Stock Issued</t>
  </si>
  <si>
    <t>Common Stock Repurchased</t>
  </si>
  <si>
    <t>Dividends Paid</t>
  </si>
  <si>
    <t>Other Financing Activites</t>
  </si>
  <si>
    <t>Cash Used/Provided by Financing Activities</t>
  </si>
  <si>
    <t>Effect of Forex Changes on Cash</t>
  </si>
  <si>
    <t>Net Change In Cash</t>
  </si>
  <si>
    <t>Cash at the End of Period</t>
  </si>
  <si>
    <t>Cash at the Beginning of Period</t>
  </si>
  <si>
    <t>Forex Rate</t>
  </si>
  <si>
    <t>https://roic.ai/company/EVO.ST</t>
  </si>
  <si>
    <t>EVO.ST</t>
  </si>
  <si>
    <t>Book value</t>
  </si>
  <si>
    <t>Net Interest Income</t>
  </si>
  <si>
    <t>Free Cash Flow ratio</t>
  </si>
  <si>
    <t>Selling, General and Administrative Exp. Ratio</t>
  </si>
  <si>
    <t>Research and Development Exp. Ratio</t>
  </si>
  <si>
    <t>Other Expenses Ratio</t>
  </si>
  <si>
    <t>Net Interest Income Ratio</t>
  </si>
  <si>
    <t>Depreciation and Amortization Ratio</t>
  </si>
  <si>
    <t>CAPEX per share</t>
  </si>
  <si>
    <t>Financial leverage</t>
  </si>
  <si>
    <t>Cash to Debt Ratio</t>
  </si>
  <si>
    <t>Cash &amp; Investments to Debt Ratio</t>
  </si>
  <si>
    <t>Working Capital</t>
  </si>
  <si>
    <t>Quick Ratio</t>
  </si>
  <si>
    <t>Debt to Equity</t>
  </si>
  <si>
    <t>Debt to Assets</t>
  </si>
  <si>
    <t>EBITDA to Net Debt</t>
  </si>
  <si>
    <t>Interest Coverage</t>
  </si>
  <si>
    <t>Return on Equity</t>
  </si>
  <si>
    <t>Return on Assets</t>
  </si>
  <si>
    <t>Tax Rate</t>
  </si>
  <si>
    <t>NOPAT</t>
  </si>
  <si>
    <t>Invested Capital</t>
  </si>
  <si>
    <t>Return on Invested Capital</t>
  </si>
  <si>
    <t>Capital Employed</t>
  </si>
  <si>
    <t>ROCE</t>
  </si>
  <si>
    <t>Operating Cash Flow</t>
  </si>
  <si>
    <t>CFROI</t>
  </si>
  <si>
    <t>Plowback Ratio</t>
  </si>
  <si>
    <t>Dividend &amp; Repurchase / FCF</t>
  </si>
  <si>
    <t>Dividend &amp; Repurchase / EBITDA</t>
  </si>
  <si>
    <t>ToDo</t>
  </si>
  <si>
    <t>.- Use Quartely Data to add TTM</t>
  </si>
  <si>
    <t>Q1'2014</t>
  </si>
  <si>
    <t>Q2'2014</t>
  </si>
  <si>
    <t>Q3'2014</t>
  </si>
  <si>
    <t>Q4'2014</t>
  </si>
  <si>
    <t>Q1'2015</t>
  </si>
  <si>
    <t>Q2'2015</t>
  </si>
  <si>
    <t>Q3'2015</t>
  </si>
  <si>
    <t>Q4'2015</t>
  </si>
  <si>
    <t>Q1'2016</t>
  </si>
  <si>
    <t>Q2'2016</t>
  </si>
  <si>
    <t>Q3'2016</t>
  </si>
  <si>
    <t>Q4'2016</t>
  </si>
  <si>
    <t>Q1'2017</t>
  </si>
  <si>
    <t>Q2'2017</t>
  </si>
  <si>
    <t>Q3'2017</t>
  </si>
  <si>
    <t>Q4'2017</t>
  </si>
  <si>
    <t>Q1'2018</t>
  </si>
  <si>
    <t>Q2'2018</t>
  </si>
  <si>
    <t>Q3'2018</t>
  </si>
  <si>
    <t>Q4'2018</t>
  </si>
  <si>
    <t>Q1'2019</t>
  </si>
  <si>
    <t>Q2'2019</t>
  </si>
  <si>
    <t>Q3'2019</t>
  </si>
  <si>
    <t>Q4'2019</t>
  </si>
  <si>
    <t>Q1'2020</t>
  </si>
  <si>
    <t>Q2'2020</t>
  </si>
  <si>
    <t>Q3'2020</t>
  </si>
  <si>
    <t>Q4'2020</t>
  </si>
  <si>
    <t>Q1'2021</t>
  </si>
  <si>
    <t>Q2'2021</t>
  </si>
  <si>
    <t>Q3'2021</t>
  </si>
  <si>
    <t>Q4'2021</t>
  </si>
  <si>
    <t>Q1'2022</t>
  </si>
  <si>
    <t>Q2'2022</t>
  </si>
  <si>
    <t>Q3'2022</t>
  </si>
  <si>
    <t>undefined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</si>
</sst>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s>
  <fonts count="34"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70">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bottom style="thin">
        <color theme="0" tint="-4.9989318521683403E-2"/>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15">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9" fontId="21" fillId="9" borderId="40" xfId="2" applyFont="1" applyFill="1" applyBorder="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9" fontId="18" fillId="10" borderId="58" xfId="2" applyFont="1" applyFill="1" applyBorder="1" applyAlignment="1">
      <alignment horizontal="right" wrapText="1"/>
    </xf>
    <xf numFmtId="9" fontId="18" fillId="10" borderId="59" xfId="2" applyFont="1" applyFill="1" applyBorder="1" applyAlignment="1">
      <alignment horizontal="right" wrapText="1"/>
    </xf>
    <xf numFmtId="9" fontId="18" fillId="10" borderId="60" xfId="2" applyFont="1" applyFill="1" applyBorder="1" applyAlignment="1">
      <alignment horizontal="right" wrapText="1"/>
    </xf>
    <xf numFmtId="9" fontId="18" fillId="10" borderId="61" xfId="2" applyFont="1" applyFill="1" applyBorder="1" applyAlignment="1">
      <alignment horizontal="right" wrapText="1"/>
    </xf>
    <xf numFmtId="0" fontId="18" fillId="4" borderId="62" xfId="0" applyFont="1" applyFill="1" applyBorder="1" applyAlignment="1">
      <alignment horizontal="center" wrapText="1"/>
    </xf>
    <xf numFmtId="0" fontId="18" fillId="5" borderId="63" xfId="0" applyFont="1" applyFill="1" applyBorder="1" applyAlignment="1">
      <alignment wrapText="1"/>
    </xf>
    <xf numFmtId="0" fontId="18" fillId="5" borderId="64" xfId="0" applyFont="1" applyFill="1" applyBorder="1" applyAlignment="1">
      <alignment wrapText="1"/>
    </xf>
    <xf numFmtId="9" fontId="18" fillId="5" borderId="64" xfId="2" applyFont="1" applyFill="1" applyBorder="1" applyAlignment="1">
      <alignment wrapText="1"/>
    </xf>
    <xf numFmtId="165" fontId="18" fillId="4" borderId="65" xfId="0" applyNumberFormat="1" applyFont="1" applyFill="1" applyBorder="1" applyAlignment="1">
      <alignment horizontal="right" wrapText="1"/>
    </xf>
    <xf numFmtId="3" fontId="18" fillId="4" borderId="66" xfId="0" applyNumberFormat="1" applyFont="1" applyFill="1" applyBorder="1" applyAlignment="1">
      <alignment horizontal="right" wrapText="1"/>
    </xf>
    <xf numFmtId="0" fontId="18" fillId="4" borderId="67"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8" xfId="0" applyFont="1" applyFill="1" applyBorder="1" applyAlignment="1">
      <alignment horizontal="center" wrapText="1"/>
    </xf>
    <xf numFmtId="9" fontId="18" fillId="5" borderId="69" xfId="2" applyFont="1" applyFill="1" applyBorder="1" applyAlignment="1">
      <alignment wrapText="1"/>
    </xf>
    <xf numFmtId="0" fontId="3" fillId="2" borderId="0" xfId="0" applyFont="1" applyFill="1" applyAlignment="1">
      <alignment horizontal="center"/>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165" fontId="11" fillId="3" borderId="0" xfId="0" applyNumberFormat="1" applyFont="1" applyFill="1" applyAlignment="1">
      <alignment horizontal="center" vertical="center"/>
    </xf>
    <xf numFmtId="9" fontId="7" fillId="2" borderId="0" xfId="2" applyFont="1" applyFill="1" applyBorder="1" applyAlignment="1">
      <alignment horizontal="left" vertical="top"/>
    </xf>
    <xf numFmtId="0" fontId="3" fillId="2" borderId="0" xfId="0" applyFont="1" applyFill="1" applyAlignment="1">
      <alignment horizontal="right"/>
    </xf>
    <xf numFmtId="44" fontId="3" fillId="2" borderId="0" xfId="0" applyNumberFormat="1" applyFont="1" applyFill="1" applyAlignment="1">
      <alignment horizontal="right" vertical="center"/>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0" fontId="3" fillId="2" borderId="16" xfId="0" applyFont="1" applyFill="1" applyBorder="1" applyAlignment="1">
      <alignment horizontal="left"/>
    </xf>
    <xf numFmtId="10" fontId="12" fillId="0" borderId="0" xfId="0" applyNumberFormat="1" applyFont="1" applyAlignment="1">
      <alignment horizontal="center"/>
    </xf>
    <xf numFmtId="0" fontId="12" fillId="0" borderId="0" xfId="0" applyFont="1" applyAlignment="1">
      <alignment horizontal="center"/>
    </xf>
  </cellXfs>
  <cellStyles count="4">
    <cellStyle name="Hipervínculo" xfId="3" builtinId="8"/>
    <cellStyle name="Moneda" xfId="1" builtinId="4"/>
    <cellStyle name="Normal" xfId="0" builtinId="0"/>
    <cellStyle name="Porcentaje" xfId="2" builtinId="5"/>
  </cellStyles>
  <dxfs count="42">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theme="0" tint="-4.9989318521683403E-2"/>
        </patternFill>
      </fill>
      <alignment horizontal="right" vertical="bottom" textRotation="0" wrapText="1"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B48D51"/>
      <color rgb="FF966F33"/>
      <color rgb="FFD1A375"/>
      <color rgb="FF996633"/>
      <color rgb="FFFF5050"/>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numRef>
              <c:f>Financials!$E$20:$N$20</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189.02134599999999</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2">
  <rv s="0">
    <v>12</v>
    <v>Market cap</v>
    <v>0</v>
  </rv>
  <rv s="0">
    <v>12</v>
    <v>Industry</v>
    <v>0</v>
  </rv>
  <rv s="0">
    <v>12</v>
    <v>Description</v>
    <v>0</v>
  </rv>
  <rv s="0">
    <v>12</v>
    <v>Price</v>
    <v>0</v>
  </rv>
  <rv s="1">
    <v>12</v>
    <v>1</v>
  </rv>
  <rv s="0">
    <v>12</v>
    <v>change</v>
    <v>0</v>
  </rv>
  <rv s="0">
    <v>12</v>
    <v>Change (%)</v>
    <v>0</v>
  </rv>
  <rv s="0">
    <v>12</v>
    <v>52 week high</v>
    <v>0</v>
  </rv>
  <rv s="0">
    <v>12</v>
    <v>52 week low</v>
    <v>0</v>
  </rv>
  <rv s="2">
    <v>https://www.bing.com/financeapi/forcetrigger?t=a1u3rw&amp;q=XNAS%3aGOOGL&amp;form=skydnc</v>
    <v>Learn more on Bing</v>
  </rv>
  <rv s="3">
    <v>en-US</v>
    <v>a1u3rw</v>
    <v>268435456</v>
    <v>1</v>
    <v>Powered by Refinitiv</v>
    <v>0</v>
    <v>ALPHABET INC. (XNAS:GOOGL)</v>
    <v>2</v>
    <v>3</v>
    <v>Finance</v>
    <v>4</v>
    <v>151.54660000000001</v>
    <v>83.34</v>
    <v>1.0696000000000001</v>
    <v>0.99</v>
    <v>-1.4109999999999999E-3</v>
    <v>1.0864E-2</v>
    <v>-0.13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92.19</v>
    <v>Software &amp; IT Services</v>
    <v>Stock</v>
    <v>44940.040926492969</v>
    <v>9</v>
    <v>90.129900000000006</v>
    <v>1184243000000</v>
    <v>ALPHABET INC.</v>
    <v>ALPHABET INC.</v>
    <v>90.85</v>
    <v>18.099399999999999</v>
    <v>91.13</v>
    <v>92.12</v>
    <v>91.99</v>
    <v>12943000000</v>
    <v>GOOGL</v>
    <v>ALPHABET INC. (XNAS:GOOGL)</v>
    <v>26329212</v>
    <v>30055486</v>
    <v>2015</v>
  </rv>
  <rv s="4">
    <v>10</v>
  </rv>
  <rv s="2">
    <v>https://www.bing.com/financeapi/forcetrigger?t=a1y1qh&amp;q=XNAS%3aMSTR&amp;form=skydnc</v>
    <v>Learn more on Bing</v>
  </rv>
  <rv s="3">
    <v>en-US</v>
    <v>a1y1qh</v>
    <v>268435456</v>
    <v>1</v>
    <v>Powered by Refinitiv</v>
    <v>0</v>
    <v>MICROSTRATEGY INCORPORATED (XNAS:MSTR)</v>
    <v>2</v>
    <v>3</v>
    <v>Finance</v>
    <v>5</v>
    <v>527.68989999999997</v>
    <v>132.56</v>
    <v>2.2991000000000001</v>
    <v>6.8</v>
    <v>3.9314000000000002E-2</v>
    <v>3.2355000000000002E-2</v>
    <v>8.5299999999999994</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222.17</v>
    <v>Software &amp; IT Services</v>
    <v>Stock</v>
    <v>44940.041596885938</v>
    <v>12</v>
    <v>202.69499999999999</v>
    <v>2029471000</v>
    <v>MICROSTRATEGY INCORPORATED</v>
    <v>MICROSTRATEGY INCORPORATED</v>
    <v>206</v>
    <v>4500.8329999999996</v>
    <v>210.17</v>
    <v>216.97</v>
    <v>225.5</v>
    <v>9353690</v>
    <v>MSTR</v>
    <v>MICROSTRATEGY INCORPORATED (XNAS:MSTR)</v>
    <v>845659</v>
    <v>542582</v>
    <v>1989</v>
  </rv>
  <rv s="4">
    <v>13</v>
  </rv>
  <rv s="2">
    <v>https://www.bing.com/financeapi/forcetrigger?t=bxds4c&amp;q=XNAS%3aTUEM&amp;form=skydnc</v>
    <v>Learn more on Bing</v>
  </rv>
  <rv s="5">
    <v>en-US</v>
    <v>bxds4c</v>
    <v>268435456</v>
    <v>1</v>
    <v>Powered by Refinitiv</v>
    <v>6</v>
    <v>TUESDAY MORNING CORPORATION (OTCM:TUEM)</v>
    <v>2</v>
    <v>7</v>
    <v>Finance</v>
    <v>8</v>
    <v>0.84</v>
    <v>0.35499999999999998</v>
    <v>1.9410000000000001</v>
    <v>-4.9799999999999997E-2</v>
    <v>-9.7684999999999994E-2</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0.505</v>
    <v>Diversified Retail</v>
    <v>Stock</v>
    <v>44939.86978482578</v>
    <v>15</v>
    <v>0.45</v>
    <v>2734770</v>
    <v>TUESDAY MORNING CORPORATION</v>
    <v>TUESDAY MORNING CORPORATION</v>
    <v>0.505</v>
    <v>15.384600000000001</v>
    <v>0.50980000000000003</v>
    <v>0.46</v>
    <v>5945150</v>
    <v>TUEM</v>
    <v>TUESDAY MORNING CORPORATION (OTCM:TUEM)</v>
    <v>47106</v>
    <v>1051100</v>
    <v>1991</v>
  </rv>
  <rv s="4">
    <v>16</v>
  </rv>
  <rv s="2">
    <v>https://www.bing.com/financeapi/forcetrigger?t=a2qfa2&amp;q=OTCM%3aNTDOY&amp;form=skydnc</v>
    <v>Learn more on Bing</v>
  </rv>
  <rv s="3">
    <v>en-US</v>
    <v>a2qfa2</v>
    <v>268435456</v>
    <v>1</v>
    <v>Powered by Refinitiv</v>
    <v>0</v>
    <v>Nintendo Co., Ltd. (OTCM:NTDOY)</v>
    <v>2</v>
    <v>9</v>
    <v>Finance</v>
    <v>10</v>
    <v>13.65</v>
    <v>9.76</v>
    <v>0.70830000000000004</v>
    <v>0.06</v>
    <v>0</v>
    <v>5.7749999999999998E-3</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10.49</v>
    <v>Leisure Products</v>
    <v>Stock</v>
    <v>44939.875501805465</v>
    <v>18</v>
    <v>10.33</v>
    <v>7009030000000</v>
    <v>Nintendo Co., Ltd.</v>
    <v>Nintendo Co., Ltd.</v>
    <v>10.36</v>
    <v>1.4535</v>
    <v>10.39</v>
    <v>10.45</v>
    <v>10.45</v>
    <v>1298690000</v>
    <v>NTDOY</v>
    <v>Nintendo Co., Ltd. (OTCM:NTDOY)</v>
    <v>1097595</v>
    <v>4637300</v>
    <v>1947</v>
  </rv>
  <rv s="4">
    <v>19</v>
  </rv>
  <rv s="2">
    <v>https://www.bing.com/financeapi/forcetrigger?t=bqip3m&amp;q=XMIL%3aGBUS&amp;form=skydnc</v>
    <v>Learn more on Bing</v>
  </rv>
  <rv s="6">
    <v>en-US</v>
    <v>bqip3m</v>
    <v>268435456</v>
    <v>1</v>
    <v>Powered by Refinitiv</v>
    <v>11</v>
    <v>Gibus SpA (XMIL:GBUS)</v>
    <v>2</v>
    <v>12</v>
    <v>Finance</v>
    <v>13</v>
    <v>19.8</v>
    <v>10.6</v>
    <v>1.3071999999999999</v>
    <v>-0.3</v>
    <v>-1.7646999999999999E-2</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17.2</v>
    <v>Homebuilding &amp; Construction Supplies</v>
    <v>Stock</v>
    <v>44939.704861111109</v>
    <v>21</v>
    <v>16.7</v>
    <v>83637010</v>
    <v>Gibus SpA</v>
    <v>Gibus SpA</v>
    <v>17.100000000000001</v>
    <v>5.6111000000000004</v>
    <v>17</v>
    <v>16.7</v>
    <v>5008200</v>
    <v>GBUS</v>
    <v>Gibus SpA (XMIL:GBUS)</v>
    <v>703</v>
    <v>2210</v>
  </rv>
  <rv s="4">
    <v>22</v>
  </rv>
  <rv s="2">
    <v>https://www.bing.com/financeapi/forcetrigger?t=ah4ck2&amp;q=XHKG%3a327&amp;form=skydnc</v>
    <v>Learn more on Bing</v>
  </rv>
  <rv s="3">
    <v>en-US</v>
    <v>ah4ck2</v>
    <v>268435456</v>
    <v>1</v>
    <v>Powered by Refinitiv</v>
    <v>0</v>
    <v>PAX Global Technology Limited (XHKG:327)</v>
    <v>2</v>
    <v>14</v>
    <v>Finance</v>
    <v>10</v>
    <v>8.3699999999999992</v>
    <v>4.5999999999999996</v>
    <v>0.49459999999999998</v>
    <v>-7.0000000000000007E-2</v>
    <v>2.1277000000000001E-2</v>
    <v>-9.8309999999999995E-3</v>
    <v>0.15</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7.22</v>
    <v>Office Equipment</v>
    <v>Stock</v>
    <v>44939.339166666665</v>
    <v>24</v>
    <v>7</v>
    <v>7687428000</v>
    <v>PAX Global Technology Limited</v>
    <v>PAX Global Technology Limited</v>
    <v>7.22</v>
    <v>6.05</v>
    <v>7.12</v>
    <v>7.05</v>
    <v>7.2</v>
    <v>1079695000</v>
    <v>327</v>
    <v>PAX Global Technology Limited (XHKG:327)</v>
    <v>1784020</v>
    <v>890130</v>
    <v>2010</v>
  </rv>
  <rv s="4">
    <v>25</v>
  </rv>
  <rv s="2">
    <v>https://www.bing.com/financeapi/forcetrigger?t=a1ukim&amp;q=XNAS%3aHEAR&amp;form=skydnc</v>
    <v>Learn more on Bing</v>
  </rv>
  <rv s="3">
    <v>en-US</v>
    <v>a1ukim</v>
    <v>268435456</v>
    <v>1</v>
    <v>Powered by Refinitiv</v>
    <v>0</v>
    <v>TURTLE BEACH CORPORATION (XNAS:HEAR)</v>
    <v>2</v>
    <v>3</v>
    <v>Finance</v>
    <v>5</v>
    <v>25.33</v>
    <v>6.22</v>
    <v>1.9413</v>
    <v>0.01</v>
    <v>4.9660999999999997E-2</v>
    <v>1.1299999999999999E-3</v>
    <v>0.44</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8.93</v>
    <v>Computers, Phones &amp; Household Electronics</v>
    <v>Stock</v>
    <v>44940.004592395315</v>
    <v>27</v>
    <v>8.7850000000000001</v>
    <v>146694700</v>
    <v>TURTLE BEACH CORPORATION</v>
    <v>TURTLE BEACH CORPORATION</v>
    <v>8.8000000000000007</v>
    <v>111.4096</v>
    <v>8.85</v>
    <v>8.86</v>
    <v>9.3000000000000007</v>
    <v>16556960</v>
    <v>HEAR</v>
    <v>TURTLE BEACH CORPORATION (XNAS:HEAR)</v>
    <v>309175</v>
    <v>278513</v>
    <v>2010</v>
  </rv>
  <rv s="4">
    <v>28</v>
  </rv>
  <rv s="2">
    <v>https://www.bing.com/financeapi/forcetrigger?t=ao6n8m&amp;q=XLON%3aBOTB&amp;form=skydnc</v>
    <v>Learn more on Bing</v>
  </rv>
  <rv s="5">
    <v>en-US</v>
    <v>ao6n8m</v>
    <v>268435456</v>
    <v>1</v>
    <v>Powered by Refinitiv</v>
    <v>6</v>
    <v>BEST OF THE BEST PLC (XLON:BOTB)</v>
    <v>2</v>
    <v>15</v>
    <v>Finance</v>
    <v>16</v>
    <v>628.20000000000005</v>
    <v>350</v>
    <v>0.49480000000000002</v>
    <v>8</v>
    <v>2.1621999999999999E-2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378</v>
    <v>Hotels &amp; Entertainment Services</v>
    <v>Stock</v>
    <v>44939.714297013285</v>
    <v>30</v>
    <v>360</v>
    <v>31627350</v>
    <v>BEST OF THE BEST PLC</v>
    <v>BEST OF THE BEST PLC</v>
    <v>380</v>
    <v>8.1677999999999997</v>
    <v>370</v>
    <v>378</v>
    <v>8367020</v>
    <v>BOTB</v>
    <v>BEST OF THE BEST PLC (XLON:BOTB)</v>
    <v>72401</v>
    <v>10780</v>
    <v>1999</v>
  </rv>
  <rv s="4">
    <v>31</v>
  </rv>
  <rv s="2">
    <v>https://www.bing.com/financeapi/forcetrigger?t=a1nnec&amp;q=XNAS%3aAQB&amp;form=skydnc</v>
    <v>Learn more on Bing</v>
  </rv>
  <rv s="7">
    <v>en-US</v>
    <v>a1nnec</v>
    <v>268435456</v>
    <v>1</v>
    <v>Powered by Refinitiv</v>
    <v>17</v>
    <v>AQUABOUNTY TECHNOLOGIES, INC. (XNAS:AQB)</v>
    <v>2</v>
    <v>18</v>
    <v>Finance</v>
    <v>5</v>
    <v>2.37</v>
    <v>0.58199999999999996</v>
    <v>1.1509</v>
    <v>3.27E-2</v>
    <v>2.8655E-2</v>
    <v>3.5542999999999998E-2</v>
    <v>2.7300000000000001E-2</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v>
    <v>Biotechnology &amp; Medical Research</v>
    <v>Stock</v>
    <v>44940.039636330468</v>
    <v>33</v>
    <v>0.91</v>
    <v>67747173</v>
    <v>AQUABOUNTY TECHNOLOGIES, INC.</v>
    <v>AQUABOUNTY TECHNOLOGIES, INC.</v>
    <v>0.93220000000000003</v>
    <v>0.92</v>
    <v>0.95269999999999999</v>
    <v>0.98</v>
    <v>71110710</v>
    <v>AQB</v>
    <v>AQUABOUNTY TECHNOLOGIES, INC. (XNAS:AQB)</v>
    <v>348133</v>
    <v>328131</v>
    <v>1991</v>
  </rv>
  <rv s="4">
    <v>34</v>
  </rv>
  <rv s="2">
    <v>https://www.bing.com/financeapi/forcetrigger?t=a1v3ec&amp;q=XNYS%3aHZO&amp;form=skydnc</v>
    <v>Learn more on Bing</v>
  </rv>
  <rv s="3">
    <v>en-US</v>
    <v>a1v3ec</v>
    <v>268435456</v>
    <v>1</v>
    <v>Powered by Refinitiv</v>
    <v>0</v>
    <v>MARINEMAX, INC. (XNYS:HZO)</v>
    <v>2</v>
    <v>3</v>
    <v>Finance</v>
    <v>5</v>
    <v>54.46</v>
    <v>27.4</v>
    <v>1.5528999999999999</v>
    <v>0.04</v>
    <v>0</v>
    <v>1.1620000000000001E-3</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35.11</v>
    <v>Leisure Products</v>
    <v>Stock</v>
    <v>44940.000000022657</v>
    <v>36</v>
    <v>34</v>
    <v>753046786</v>
    <v>MARINEMAX, INC.</v>
    <v>MARINEMAX, INC.</v>
    <v>34</v>
    <v>3.8896999999999999</v>
    <v>34.43</v>
    <v>34.47</v>
    <v>34.47</v>
    <v>21846440</v>
    <v>HZO</v>
    <v>MARINEMAX, INC. (XNYS:HZO)</v>
    <v>310961</v>
    <v>353545</v>
    <v>1998</v>
  </rv>
  <rv s="4">
    <v>37</v>
  </rv>
  <rv s="2">
    <v>https://www.bing.com/financeapi/forcetrigger?t=a1t3im&amp;q=XNAS%3aFLWS&amp;form=skydnc</v>
    <v>Learn more on Bing</v>
  </rv>
  <rv s="3">
    <v>en-US</v>
    <v>a1t3im</v>
    <v>268435456</v>
    <v>1</v>
    <v>Powered by Refinitiv</v>
    <v>0</v>
    <v>1-800-FLOWERS.COM, INC. (XNAS:FLWS)</v>
    <v>2</v>
    <v>3</v>
    <v>Finance</v>
    <v>5</v>
    <v>26.03</v>
    <v>5.82</v>
    <v>1.6256999999999999</v>
    <v>0.18</v>
    <v>3.8349999999999999E-3</v>
    <v>1.7561E-2</v>
    <v>0.04</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10.45</v>
    <v>Specialty Retailers</v>
    <v>Stock</v>
    <v>44939.991330497658</v>
    <v>39</v>
    <v>10.1</v>
    <v>674096600</v>
    <v>1-800-FLOWERS.COM, INC.</v>
    <v>1-800-FLOWERS.COM, INC.</v>
    <v>10.130000000000001</v>
    <v>87.674300000000002</v>
    <v>10.25</v>
    <v>10.43</v>
    <v>10.47</v>
    <v>64630550</v>
    <v>FLWS</v>
    <v>1-800-FLOWERS.COM, INC. (XNAS:FLWS)</v>
    <v>310608</v>
    <v>483978</v>
    <v>1992</v>
  </rv>
  <rv s="4">
    <v>40</v>
  </rv>
  <rv s="2">
    <v>https://www.bing.com/financeapi/forcetrigger?t=bwo4oc&amp;q=XNAS%3aNGMS&amp;form=skydnc</v>
    <v>Learn more on Bing</v>
  </rv>
  <rv s="8">
    <v>en-US</v>
    <v>bwo4oc</v>
    <v>268435456</v>
    <v>1</v>
    <v>Powered by Refinitiv</v>
    <v>19</v>
    <v>NeoGames SA (XNAS:NGMS)</v>
    <v>2</v>
    <v>20</v>
    <v>Finance</v>
    <v>4</v>
    <v>25.87</v>
    <v>10.69</v>
    <v>-0.03</v>
    <v>0</v>
    <v>-2.441E-3</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12.35</v>
    <v>Software &amp; IT Services</v>
    <v>Stock</v>
    <v>44939.876069235936</v>
    <v>42</v>
    <v>12.08</v>
    <v>317039500</v>
    <v>NeoGames SA</v>
    <v>NeoGames SA</v>
    <v>12.3</v>
    <v>71.247</v>
    <v>12.29</v>
    <v>12.26</v>
    <v>12.26</v>
    <v>25859660</v>
    <v>NGMS</v>
    <v>NeoGames SA (XNAS:NGMS)</v>
    <v>77860</v>
    <v>92027</v>
    <v>2014</v>
  </rv>
  <rv s="4">
    <v>43</v>
  </rv>
  <rv s="2">
    <v>https://www.bing.com/financeapi/forcetrigger?t=a1slm7&amp;q=XNAS%3aMETA&amp;form=skydnc</v>
    <v>Learn more on Bing</v>
  </rv>
  <rv s="3">
    <v>en-US</v>
    <v>a1slm7</v>
    <v>268435456</v>
    <v>1</v>
    <v>Powered by Refinitiv</v>
    <v>0</v>
    <v>Meta Platforms, Inc. (XNAS:META)</v>
    <v>2</v>
    <v>3</v>
    <v>Finance</v>
    <v>5</v>
    <v>335.63</v>
    <v>88.09</v>
    <v>1.1831</v>
    <v>0.27</v>
    <v>-1.7519999999999999E-3</v>
    <v>1.9750000000000002E-3</v>
    <v>-0.24</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137.38999999999999</v>
    <v>Software &amp; IT Services</v>
    <v>Stock</v>
    <v>44940.041475983591</v>
    <v>45</v>
    <v>134.83500000000001</v>
    <v>359188545060</v>
    <v>Meta Platforms, Inc.</v>
    <v>Meta Platforms, Inc.</v>
    <v>134.97</v>
    <v>13.041399999999999</v>
    <v>136.71</v>
    <v>136.97999999999999</v>
    <v>136.74</v>
    <v>2622197000</v>
    <v>META</v>
    <v>Meta Platforms, Inc. (XNAS:META)</v>
    <v>22423839</v>
    <v>29193013</v>
    <v>2004</v>
  </rv>
  <rv s="4">
    <v>46</v>
  </rv>
  <rv s="2">
    <v>https://www.bing.com/financeapi/forcetrigger?t=a2ve5r&amp;q=OTCM%3aSFTBF&amp;form=skydnc</v>
    <v>Learn more on Bing</v>
  </rv>
  <rv s="5">
    <v>en-US</v>
    <v>a2ve5r</v>
    <v>268435456</v>
    <v>1</v>
    <v>Powered by Refinitiv</v>
    <v>6</v>
    <v>SoftBank Group Corp. (OTCM:SFTBF)</v>
    <v>2</v>
    <v>7</v>
    <v>Finance</v>
    <v>8</v>
    <v>50.27</v>
    <v>33.54</v>
    <v>1.2295</v>
    <v>-0.8</v>
    <v>-1.7391E-2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45.76</v>
    <v>Telecommunications Services</v>
    <v>Stock</v>
    <v>44939.803518390625</v>
    <v>48</v>
    <v>45.2</v>
    <v>78987600000</v>
    <v>SoftBank Group Corp.</v>
    <v>SoftBank Group Corp.</v>
    <v>45.76</v>
    <v>3.2421000000000002</v>
    <v>46</v>
    <v>45.2</v>
    <v>1722954000</v>
    <v>SFTBF</v>
    <v>SoftBank Group Corp. (OTCM:SFTBF)</v>
    <v>12054</v>
    <v>2060</v>
    <v>1981</v>
  </rv>
  <rv s="4">
    <v>49</v>
  </rv>
  <rv s="2">
    <v>https://www.bing.com/financeapi/forcetrigger?t=a1qca2&amp;q=XNAS%3aCRMT&amp;form=skydnc</v>
    <v>Learn more on Bing</v>
  </rv>
  <rv s="3">
    <v>en-US</v>
    <v>a1qca2</v>
    <v>268435456</v>
    <v>1</v>
    <v>Powered by Refinitiv</v>
    <v>0</v>
    <v>AMERICA'S CAR-MART, INC. (XNAS:CRMT)</v>
    <v>2</v>
    <v>3</v>
    <v>Finance</v>
    <v>5</v>
    <v>127.05</v>
    <v>52.24</v>
    <v>1.3725000000000001</v>
    <v>-0.39</v>
    <v>0</v>
    <v>-4.9499999999999995E-3</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79.27</v>
    <v>Specialty Retailers</v>
    <v>Stock</v>
    <v>44939.879911191405</v>
    <v>51</v>
    <v>76.599999999999994</v>
    <v>499317056</v>
    <v>AMERICA'S CAR-MART, INC.</v>
    <v>AMERICA'S CAR-MART, INC.</v>
    <v>77.52</v>
    <v>8.4366000000000003</v>
    <v>78.790000000000006</v>
    <v>78.400000000000006</v>
    <v>78.400000000000006</v>
    <v>6368840</v>
    <v>CRMT</v>
    <v>AMERICA'S CAR-MART, INC. (XNAS:CRMT)</v>
    <v>50267</v>
    <v>92832</v>
    <v>1989</v>
  </rv>
  <rv s="4">
    <v>52</v>
  </rv>
  <rv s="2">
    <v>https://www.bing.com/financeapi/forcetrigger?t=a2g6z2&amp;q=OTCM%3aEVVTY&amp;form=skydnc</v>
    <v>Learn more on Bing</v>
  </rv>
  <rv s="7">
    <v>en-US</v>
    <v>a2g6z2</v>
    <v>268435456</v>
    <v>1</v>
    <v>Powered by Refinitiv</v>
    <v>17</v>
    <v>Evolution AB (publ) (OTCM:EVVTY)</v>
    <v>2</v>
    <v>21</v>
    <v>Finance</v>
    <v>10</v>
    <v>145.78</v>
    <v>69.569999999999993</v>
    <v>1.1579999999999999</v>
    <v>1.66</v>
    <v>-6.6340000000000001E-3</v>
    <v>1.5316000000000001E-2</v>
    <v>-0.73</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110.04</v>
    <v>Hotels &amp; Entertainment Services</v>
    <v>Stock</v>
    <v>44939.875013263278</v>
    <v>54</v>
    <v>106.77</v>
    <v>242281400000</v>
    <v>Evolution AB (publ)</v>
    <v>Evolution AB (publ)</v>
    <v>106.89</v>
    <v>108.38</v>
    <v>110.04</v>
    <v>109.31</v>
    <v>215111100</v>
    <v>EVVTY</v>
    <v>Evolution AB (publ) (OTCM:EVVTY)</v>
    <v>71017</v>
    <v>531270</v>
    <v>2014</v>
  </rv>
  <rv s="4">
    <v>55</v>
  </rv>
  <rv s="2">
    <v>https://www.bing.com/financeapi/forcetrigger?t=a1yv52&amp;q=XNAS%3aNVDA&amp;form=skydnc</v>
    <v>Learn more on Bing</v>
  </rv>
  <rv s="3">
    <v>en-US</v>
    <v>a1yv52</v>
    <v>268435456</v>
    <v>1</v>
    <v>Powered by Refinitiv</v>
    <v>0</v>
    <v>NVIDIA CORPORATION (XNAS:NVDA)</v>
    <v>2</v>
    <v>3</v>
    <v>Finance</v>
    <v>4</v>
    <v>289.45999999999998</v>
    <v>108.13</v>
    <v>1.7359</v>
    <v>3.88</v>
    <v>2.9589999999999998E-3</v>
    <v>2.3498999999999999E-2</v>
    <v>0.5</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169.22</v>
    <v>Semiconductors &amp; Semiconductor Equipment</v>
    <v>Stock</v>
    <v>44940.04126672422</v>
    <v>57</v>
    <v>161.65</v>
    <v>415715400000</v>
    <v>NVIDIA CORPORATION</v>
    <v>NVIDIA CORPORATION</v>
    <v>162.78</v>
    <v>70.229100000000003</v>
    <v>165.11</v>
    <v>168.99</v>
    <v>169.49</v>
    <v>2460000000</v>
    <v>NVDA</v>
    <v>NVIDIA CORPORATION (XNAS:NVDA)</v>
    <v>44728706</v>
    <v>43274697</v>
    <v>1998</v>
  </rv>
  <rv s="4">
    <v>58</v>
  </rv>
  <rv s="2">
    <v>https://www.bing.com/financeapi/forcetrigger?t=bvkn2w&amp;q=XNAS%3aCRSR&amp;form=skydnc</v>
    <v>Learn more on Bing</v>
  </rv>
  <rv s="3">
    <v>en-US</v>
    <v>bvkn2w</v>
    <v>268435456</v>
    <v>1</v>
    <v>Powered by Refinitiv</v>
    <v>0</v>
    <v>CORSAIR GAMING, INC. (XNAS:CRSR)</v>
    <v>2</v>
    <v>3</v>
    <v>Finance</v>
    <v>5</v>
    <v>23.98</v>
    <v>10.96</v>
    <v>1.5449999999999999</v>
    <v>0.3</v>
    <v>-2.6192000000000003E-2</v>
    <v>2.0562E-2</v>
    <v>-0.39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14.95</v>
    <v>Computers, Phones &amp; Household Electronics</v>
    <v>Stock</v>
    <v>44940.033880450785</v>
    <v>60</v>
    <v>14.15</v>
    <v>1476182000</v>
    <v>CORSAIR GAMING, INC.</v>
    <v>CORSAIR GAMING, INC.</v>
    <v>14.38</v>
    <v>31.651299999999999</v>
    <v>14.59</v>
    <v>14.89</v>
    <v>14.5</v>
    <v>101177700</v>
    <v>CRSR</v>
    <v>CORSAIR GAMING, INC. (XNAS:CRSR)</v>
    <v>316052</v>
    <v>491804</v>
    <v>2017</v>
  </rv>
  <rv s="4">
    <v>61</v>
  </rv>
  <rv s="2">
    <v>https://www.bing.com/financeapi/forcetrigger?t=a22gw7&amp;q=XNYS%3aSAND&amp;form=skydnc</v>
    <v>Learn more on Bing</v>
  </rv>
  <rv s="3">
    <v>en-US</v>
    <v>a22gw7</v>
    <v>268435456</v>
    <v>1</v>
    <v>Powered by Refinitiv</v>
    <v>0</v>
    <v>SANDSTORM GOLD LTD. (XNYS:SAND)</v>
    <v>2</v>
    <v>22</v>
    <v>Finance</v>
    <v>4</v>
    <v>9.18</v>
    <v>4.51</v>
    <v>0.92730000000000001</v>
    <v>6.5000000000000002E-2</v>
    <v>-3.4189999999999997E-3</v>
    <v>1.1226E-2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5.8949999999999996</v>
    <v>Metals &amp; Mining</v>
    <v>Stock</v>
    <v>44940.04150100625</v>
    <v>63</v>
    <v>5.76</v>
    <v>2309468000</v>
    <v>SANDSTORM GOLD LTD.</v>
    <v>SANDSTORM GOLD LTD.</v>
    <v>5.81</v>
    <v>13.8078</v>
    <v>5.79</v>
    <v>5.8550000000000004</v>
    <v>5.83</v>
    <v>298179700</v>
    <v>SAND</v>
    <v>SANDSTORM GOLD LTD. (XNYS:SAND)</v>
    <v>1933190</v>
    <v>2428648</v>
    <v>2015</v>
  </rv>
  <rv s="4">
    <v>64</v>
  </rv>
  <rv s="2">
    <v>https://www.bing.com/financeapi/forcetrigger?t=bjoj8m&amp;q=XNAS%3aOPRA&amp;form=skydnc</v>
    <v>Learn more on Bing</v>
  </rv>
  <rv s="9">
    <v>en-US</v>
    <v>bjoj8m</v>
    <v>268435456</v>
    <v>1</v>
    <v>Powered by Refinitiv</v>
    <v>23</v>
    <v>OPERA LIMITED (XNAS:OPRA)</v>
    <v>2</v>
    <v>24</v>
    <v>Finance</v>
    <v>5</v>
    <v>7.57</v>
    <v>3.92</v>
    <v>1.0408999999999999</v>
    <v>-0.16</v>
    <v>2.3222E-2</v>
    <v>-2.2695E-2</v>
    <v>0.16</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7.06</v>
    <v>Software &amp; IT Services</v>
    <v>Stock</v>
    <v>44940.03749410859</v>
    <v>66</v>
    <v>6.66</v>
    <v>780074087</v>
    <v>OPERA LIMITED</v>
    <v>OPERA LIMITED</v>
    <v>6.98</v>
    <v>7.6675000000000004</v>
    <v>7.05</v>
    <v>6.89</v>
    <v>7.05</v>
    <v>113218300</v>
    <v>OPRA</v>
    <v>OPERA LIMITED (XNAS:OPRA)</v>
    <v>109315</v>
    <v>59519</v>
  </rv>
  <rv s="4">
    <v>67</v>
  </rv>
  <rv s="2">
    <v>https://www.bing.com/financeapi/forcetrigger?t=a1qclh&amp;q=XNAS%3aCROX&amp;form=skydnc</v>
    <v>Learn more on Bing</v>
  </rv>
  <rv s="3">
    <v>en-US</v>
    <v>a1qclh</v>
    <v>268435456</v>
    <v>1</v>
    <v>Powered by Refinitiv</v>
    <v>0</v>
    <v>CROCS, INC. (XNAS:CROX)</v>
    <v>2</v>
    <v>3</v>
    <v>Finance</v>
    <v>4</v>
    <v>136.44999999999999</v>
    <v>46.08</v>
    <v>1.9274</v>
    <v>-1.29</v>
    <v>-4.5300000000000002E-3</v>
    <v>-1.0148999999999998E-2</v>
    <v>-0.56999999999999995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127.6581</v>
    <v>Textiles &amp; Apparel</v>
    <v>Stock</v>
    <v>44939.878620312498</v>
    <v>69</v>
    <v>122.715</v>
    <v>7768748000</v>
    <v>CROCS, INC.</v>
    <v>CROCS, INC.</v>
    <v>125</v>
    <v>14.023099999999999</v>
    <v>127.11</v>
    <v>125.82</v>
    <v>125.25</v>
    <v>61744930</v>
    <v>CROX</v>
    <v>CROCS, INC. (XNAS:CROX)</v>
    <v>1459323</v>
    <v>1331907</v>
    <v>2005</v>
  </rv>
  <rv s="4">
    <v>70</v>
  </rv>
  <rv s="2">
    <v>https://www.bing.com/financeapi/forcetrigger?t=a1nvk2&amp;q=XNYS%3aATHM&amp;form=skydnc</v>
    <v>Learn more on Bing</v>
  </rv>
  <rv s="3">
    <v>en-US</v>
    <v>a1nvk2</v>
    <v>268435456</v>
    <v>1</v>
    <v>Powered by Refinitiv</v>
    <v>0</v>
    <v>AUTOHOME INC. (XNYS:ATHM)</v>
    <v>2</v>
    <v>3</v>
    <v>Finance</v>
    <v>5</v>
    <v>40.89</v>
    <v>20.49</v>
    <v>0.14419999999999999</v>
    <v>-0.13</v>
    <v>-8.6420000000000004E-3</v>
    <v>-3.6109999999999996E-3</v>
    <v>-0.31</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36.270000000000003</v>
    <v>Media &amp; Publishing</v>
    <v>Stock</v>
    <v>44939.888580740626</v>
    <v>72</v>
    <v>35.36</v>
    <v>4596361000</v>
    <v>AUTOHOME INC.</v>
    <v>AUTOHOME INC.</v>
    <v>36.14</v>
    <v>21.628900000000002</v>
    <v>36</v>
    <v>35.869999999999997</v>
    <v>35.56</v>
    <v>127346900</v>
    <v>ATHM</v>
    <v>AUTOHOME INC. (XNYS:ATHM)</v>
    <v>477500</v>
    <v>712948</v>
    <v>2008</v>
  </rv>
  <rv s="4">
    <v>73</v>
  </rv>
  <rv s="2">
    <v>https://www.bing.com/financeapi/forcetrigger?t=aqbzjc&amp;q=XWAR%3aDNP&amp;form=skydnc</v>
    <v>Learn more on Bing</v>
  </rv>
  <rv s="5">
    <v>en-US</v>
    <v>aqbzjc</v>
    <v>268435456</v>
    <v>1</v>
    <v>Powered by Refinitiv</v>
    <v>6</v>
    <v>DINO POLSKA S.A. (XWAR:DNP)</v>
    <v>2</v>
    <v>25</v>
    <v>Finance</v>
    <v>26</v>
    <v>390.3</v>
    <v>240</v>
    <v>0.65339999999999998</v>
    <v>0</v>
    <v>0</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371</v>
    <v>Food &amp; Drug Retailing</v>
    <v>Stock</v>
    <v>44939.669444444444</v>
    <v>75</v>
    <v>363</v>
    <v>35637540000</v>
    <v>DINO POLSKA S.A.</v>
    <v>DINO POLSKA S.A.</v>
    <v>366.7</v>
    <v>34.446300000000001</v>
    <v>363.5</v>
    <v>363.5</v>
    <v>98040000</v>
    <v>DNP</v>
    <v>DINO POLSKA S.A. (XWAR:DNP)</v>
    <v>106776</v>
    <v>175210</v>
    <v>2012</v>
  </rv>
  <rv s="4">
    <v>76</v>
  </rv>
  <rv s="2">
    <v>https://www.bing.com/financeapi/forcetrigger?t=a32har&amp;q=XNAS%3aXPEL&amp;form=skydnc</v>
    <v>Learn more on Bing</v>
  </rv>
  <rv s="3">
    <v>en-US</v>
    <v>a32har</v>
    <v>268435456</v>
    <v>1</v>
    <v>Powered by Refinitiv</v>
    <v>0</v>
    <v>XPEL, INC. (XNAS:XPEL)</v>
    <v>2</v>
    <v>3</v>
    <v>Finance</v>
    <v>5</v>
    <v>87.01</v>
    <v>39.799999999999997</v>
    <v>1.5773999999999999</v>
    <v>1.98</v>
    <v>-3.0120000000000001E-2</v>
    <v>2.7864E-2</v>
    <v>-2.2000000000000002</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73.28</v>
    <v>Automobiles &amp; Auto Parts</v>
    <v>Stock</v>
    <v>44939.880846816406</v>
    <v>78</v>
    <v>69.727999999999994</v>
    <v>2017077000</v>
    <v>XPEL, INC.</v>
    <v>XPEL, INC.</v>
    <v>70.11</v>
    <v>50.0246</v>
    <v>71.06</v>
    <v>73.040000000000006</v>
    <v>70.84</v>
    <v>27616060</v>
    <v>XPEL</v>
    <v>XPEL, INC. (XNAS:XPEL)</v>
    <v>174925</v>
    <v>113774</v>
    <v>2003</v>
  </rv>
  <rv s="4">
    <v>79</v>
  </rv>
  <rv s="2">
    <v>https://www.bing.com/financeapi/forcetrigger?t=ah387w&amp;q=XHKG%3a1830&amp;form=skydnc</v>
    <v>Learn more on Bing</v>
  </rv>
  <rv s="3">
    <v>en-US</v>
    <v>ah387w</v>
    <v>268435456</v>
    <v>1</v>
    <v>Powered by Refinitiv</v>
    <v>0</v>
    <v>PERFECT MEDICAL HEALTH MANAGEMENT LIMITED (XHKG:1830)</v>
    <v>2</v>
    <v>14</v>
    <v>Finance</v>
    <v>10</v>
    <v>5.5</v>
    <v>2.7</v>
    <v>1.2559</v>
    <v>0.11</v>
    <v>0</v>
    <v>2.5172E-2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v>
    <v>Personal &amp; Household Products &amp; Services</v>
    <v>Stock</v>
    <v>44939.339166666665</v>
    <v>81</v>
    <v>4.28</v>
    <v>5636005000</v>
    <v>PERFECT MEDICAL HEALTH MANAGEMENT LIMITED</v>
    <v>PERFECT MEDICAL HEALTH MANAGEMENT LIMITED</v>
    <v>4.42</v>
    <v>23.19</v>
    <v>4.37</v>
    <v>4.4800000000000004</v>
    <v>4.4800000000000004</v>
    <v>1258037000</v>
    <v>1830</v>
    <v>PERFECT MEDICAL HEALTH MANAGEMENT LIMITED (XHKG:1830)</v>
    <v>714000</v>
    <v>1138640</v>
    <v>2011</v>
  </rv>
  <rv s="4">
    <v>82</v>
  </rv>
  <rv s="2">
    <v>https://www.bing.com/financeapi/forcetrigger?t=a23d9c&amp;q=XNYS%3aSPGI&amp;form=skydnc</v>
    <v>Learn more on Bing</v>
  </rv>
  <rv s="3">
    <v>en-US</v>
    <v>a23d9c</v>
    <v>268435456</v>
    <v>1</v>
    <v>Powered by Refinitiv</v>
    <v>0</v>
    <v>S&amp;P Global Inc. (XNYS:SPGI)</v>
    <v>2</v>
    <v>3</v>
    <v>Finance</v>
    <v>4</v>
    <v>450.07</v>
    <v>279.32</v>
    <v>1.07</v>
    <v>-1.64</v>
    <v>7.3690000000000008E-4</v>
    <v>-4.4590000000000003E-3</v>
    <v>0.27</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366.72</v>
    <v>Professional &amp; Commercial Services</v>
    <v>Stock</v>
    <v>44940.035202500003</v>
    <v>84</v>
    <v>362.93</v>
    <v>119285154000</v>
    <v>S&amp;P Global Inc.</v>
    <v>S&amp;P Global Inc.</v>
    <v>363.95</v>
    <v>30.75</v>
    <v>367.77</v>
    <v>366.13</v>
    <v>366.65</v>
    <v>325800000</v>
    <v>SPGI</v>
    <v>S&amp;P Global Inc. (XNYS:SPGI)</v>
    <v>1447094</v>
    <v>1489966</v>
    <v>1925</v>
  </rv>
  <rv s="4">
    <v>85</v>
  </rv>
  <rv s="2">
    <v>https://www.bing.com/financeapi/forcetrigger?t=a1sz9c&amp;q=XNAS%3aFLEX&amp;form=skydnc</v>
    <v>Learn more on Bing</v>
  </rv>
  <rv s="9">
    <v>en-US</v>
    <v>a1sz9c</v>
    <v>268435456</v>
    <v>1</v>
    <v>Powered by Refinitiv</v>
    <v>23</v>
    <v>FLEX LTD. (XNAS:FLEX)</v>
    <v>2</v>
    <v>24</v>
    <v>Finance</v>
    <v>5</v>
    <v>24.074999999999999</v>
    <v>13.63</v>
    <v>1.4853000000000001</v>
    <v>0.57999999999999996</v>
    <v>4.0781999999999999E-2</v>
    <v>2.4733000000000002E-2</v>
    <v>0.98</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24.074999999999999</v>
    <v>Electronic Equipment &amp; Parts</v>
    <v>Stock</v>
    <v>44940.021712661721</v>
    <v>87</v>
    <v>23.14</v>
    <v>10617780000</v>
    <v>FLEX LTD.</v>
    <v>FLEX LTD.</v>
    <v>23.23</v>
    <v>13.4642</v>
    <v>23.45</v>
    <v>24.03</v>
    <v>25.01</v>
    <v>452784000</v>
    <v>FLEX</v>
    <v>FLEX LTD. (XNAS:FLEX)</v>
    <v>6223675</v>
    <v>4111046</v>
  </rv>
  <rv s="4">
    <v>88</v>
  </rv>
  <rv s="2">
    <v>https://www.bing.com/financeapi/forcetrigger?t=a1y2bh&amp;q=XNAS%3aMTCH&amp;form=skydnc</v>
    <v>Learn more on Bing</v>
  </rv>
  <rv s="3">
    <v>en-US</v>
    <v>a1y2bh</v>
    <v>268435456</v>
    <v>1</v>
    <v>Powered by Refinitiv</v>
    <v>0</v>
    <v>MATCH GROUP, INC. (XNAS:MTCH)</v>
    <v>2</v>
    <v>3</v>
    <v>Finance</v>
    <v>5</v>
    <v>128.87</v>
    <v>38.64</v>
    <v>0.89559999999999995</v>
    <v>7.0000000000000007E-2</v>
    <v>3.0349999999999999E-3</v>
    <v>1.5199999999999999E-3</v>
    <v>0.14000000000000001</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46.354999999999997</v>
    <v>Software &amp; IT Services</v>
    <v>Stock</v>
    <v>44940.039020740624</v>
    <v>90</v>
    <v>45.3</v>
    <v>12884390393</v>
    <v>MATCH GROUP, INC.</v>
    <v>MATCH GROUP, INC.</v>
    <v>45.47</v>
    <v>121.81</v>
    <v>46.06</v>
    <v>46.13</v>
    <v>46.27</v>
    <v>279306100</v>
    <v>MTCH</v>
    <v>MATCH GROUP, INC. (XNAS:MTCH)</v>
    <v>2971031</v>
    <v>4849098</v>
    <v>1986</v>
  </rv>
  <rv s="4">
    <v>91</v>
  </rv>
  <rv s="2">
    <v>https://www.bing.com/financeapi/forcetrigger?t=a2iear&amp;q=OTCM%3aGMWKF&amp;form=skydnc</v>
    <v>Learn more on Bing</v>
  </rv>
  <rv s="5">
    <v>en-US</v>
    <v>a2iear</v>
    <v>268435456</v>
    <v>1</v>
    <v>Powered by Refinitiv</v>
    <v>6</v>
    <v>GAMES WORKSHOP GROUP PLC (OTCM:GMWKF)</v>
    <v>2</v>
    <v>27</v>
    <v>Finance</v>
    <v>8</v>
    <v>123.75</v>
    <v>63.71</v>
    <v>1.4554</v>
    <v>6.75</v>
    <v>6.2645000000000006E-2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114.5</v>
    <v>Leisure Products</v>
    <v>Stock</v>
    <v>44939.807327187496</v>
    <v>93</v>
    <v>113</v>
    <v>3101709000</v>
    <v>GAMES WORKSHOP GROUP PLC</v>
    <v>GAMES WORKSHOP GROUP PLC</v>
    <v>111.54</v>
    <v>23.660699999999999</v>
    <v>107.75</v>
    <v>114.5</v>
    <v>32909380</v>
    <v>GMWKF</v>
    <v>GAMES WORKSHOP GROUP PLC (OTCM:GMWKF)</v>
    <v>1353</v>
    <v>59310</v>
    <v>1991</v>
  </rv>
  <rv s="4">
    <v>94</v>
  </rv>
  <rv s="2">
    <v>https://www.bing.com/financeapi/forcetrigger?t=brxwh7&amp;q=XASX%3aMAD&amp;form=skydnc</v>
    <v>Learn more on Bing</v>
  </rv>
  <rv s="5">
    <v>en-US</v>
    <v>brxwh7</v>
    <v>268435456</v>
    <v>1</v>
    <v>Powered by Refinitiv</v>
    <v>6</v>
    <v>MADER GROUP LIMITED (XASX:MAD)</v>
    <v>2</v>
    <v>28</v>
    <v>Finance</v>
    <v>29</v>
    <v>3.97</v>
    <v>1.71</v>
    <v>1.018</v>
    <v>0.03</v>
    <v>8.1969999999999994E-3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3.73</v>
    <v>Professional &amp; Commercial Services</v>
    <v>Stock</v>
    <v>44939.333333333336</v>
    <v>96</v>
    <v>3.6549999999999998</v>
    <v>738000000</v>
    <v>MADER GROUP LIMITED</v>
    <v>MADER GROUP LIMITED</v>
    <v>3.68</v>
    <v>26.41</v>
    <v>3.66</v>
    <v>3.69</v>
    <v>200000000</v>
    <v>MAD</v>
    <v>MADER GROUP LIMITED (XASX:MAD)</v>
    <v>28879</v>
    <v>36250</v>
    <v>2012</v>
  </rv>
  <rv s="4">
    <v>97</v>
  </rv>
  <rv s="2">
    <v>https://www.bing.com/financeapi/forcetrigger?t=bxkq27&amp;q=XLON%3aDOCS&amp;form=skydnc</v>
    <v>Learn more on Bing</v>
  </rv>
  <rv s="5">
    <v>en-US</v>
    <v>bxkq27</v>
    <v>268435456</v>
    <v>1</v>
    <v>Powered by Refinitiv</v>
    <v>6</v>
    <v>DR. MARTENS PLC (XLON:DOCS)</v>
    <v>2</v>
    <v>15</v>
    <v>Finance</v>
    <v>16</v>
    <v>372.8</v>
    <v>173</v>
    <v>0.91300000000000003</v>
    <v>-2.8</v>
    <v>-1.3158000000000001E-2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214.8</v>
    <v>Textiles &amp; Apparel</v>
    <v>Stock</v>
    <v>44939.691026955472</v>
    <v>99</v>
    <v>202.4</v>
    <v>2101535000</v>
    <v>DR. MARTENS PLC</v>
    <v>DR. MARTENS PLC</v>
    <v>202.4</v>
    <v>11.981999999999999</v>
    <v>212.8</v>
    <v>210</v>
    <v>1000731000</v>
    <v>DOCS</v>
    <v>DR. MARTENS PLC (XLON:DOCS)</v>
    <v>919028</v>
    <v>3163120</v>
    <v>2020</v>
  </rv>
  <rv s="4">
    <v>100</v>
  </rv>
</rvData>
</file>

<file path=xl/richData/rdrichvaluestructure.xml><?xml version="1.0" encoding="utf-8"?>
<rvStructures xmlns="http://schemas.microsoft.com/office/spreadsheetml/2017/richdata" count="10">
  <s t="_error">
    <k n="errorType" t="i"/>
    <k n="field" t="s"/>
    <k n="subType" t="i"/>
  </s>
  <s t="_error">
    <k n="errorType" t="i"/>
    <k n="propagated" t="b"/>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5">
      <v>15</v>
      <v>2</v>
      <v>2</v>
      <v>15</v>
      <v>3</v>
      <v>15</v>
      <v>15</v>
      <v>15</v>
      <v>4</v>
      <v>4</v>
      <v>5</v>
      <v>16</v>
      <v>15</v>
      <v>15</v>
      <v>15</v>
      <v>4</v>
      <v>7</v>
      <v>8</v>
      <v>9</v>
      <v>4</v>
    </spb>
    <spb s="9">
      <v>Delayed 15 minutes</v>
      <v>from previous close</v>
      <v>from previous close</v>
      <v>LSE</v>
      <v>GMT</v>
    </spb>
    <spb s="0">
      <v>3</v>
      <v>Name</v>
      <v>LearnMoreOnLink</v>
    </spb>
    <spb s="10">
      <v>1</v>
      <v>2</v>
      <v>1</v>
      <v>3</v>
      <v>1</v>
      <v>1</v>
      <v>1</v>
      <v>4</v>
      <v>4</v>
      <v>5</v>
      <v>6</v>
      <v>1</v>
      <v>1</v>
      <v>1</v>
      <v>4</v>
      <v>7</v>
      <v>8</v>
      <v>9</v>
      <v>4</v>
      <v>1</v>
      <v>1</v>
      <v>5</v>
    </spb>
    <spb s="0">
      <v>4</v>
      <v>Name</v>
      <v>LearnMoreOnLink</v>
    </spb>
    <spb s="11">
      <v>1</v>
      <v>2</v>
      <v>1</v>
      <v>3</v>
      <v>1</v>
      <v>1</v>
      <v>1</v>
      <v>4</v>
      <v>4</v>
      <v>5</v>
      <v>6</v>
      <v>1</v>
      <v>1</v>
      <v>1</v>
      <v>4</v>
      <v>7</v>
      <v>8</v>
      <v>9</v>
      <v>4</v>
      <v>1</v>
      <v>1</v>
      <v>5</v>
    </spb>
    <spb s="10">
      <v>1</v>
      <v>2</v>
      <v>1</v>
      <v>3</v>
      <v>1</v>
      <v>1</v>
      <v>1</v>
      <v>4</v>
      <v>4</v>
      <v>5</v>
      <v>17</v>
      <v>1</v>
      <v>1</v>
      <v>1</v>
      <v>4</v>
      <v>7</v>
      <v>8</v>
      <v>9</v>
      <v>4</v>
      <v>1</v>
      <v>1</v>
      <v>5</v>
    </spb>
    <spb s="3">
      <v>1</v>
      <v>2</v>
      <v>2</v>
      <v>1</v>
      <v>3</v>
      <v>1</v>
      <v>1</v>
      <v>1</v>
      <v>4</v>
      <v>4</v>
      <v>5</v>
      <v>18</v>
      <v>1</v>
      <v>1</v>
      <v>1</v>
      <v>4</v>
      <v>7</v>
      <v>8</v>
      <v>9</v>
      <v>4</v>
      <v>1</v>
      <v>1</v>
      <v>5</v>
    </spb>
    <spb s="0">
      <v>5</v>
      <v>Name</v>
      <v>LearnMoreOnLink</v>
    </spb>
    <spb s="12">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1" headerRowBorderDxfId="40" tableBorderDxfId="39">
  <autoFilter ref="A1:T33" xr:uid="{D33CFB4D-F199-4348-B07F-318ED2E8086B}"/>
  <sortState xmlns:xlrd2="http://schemas.microsoft.com/office/spreadsheetml/2017/richdata2" ref="A2:T33">
    <sortCondition descending="1" ref="G1:G33"/>
  </sortState>
  <tableColumns count="20">
    <tableColumn id="1" xr3:uid="{AD982FAD-8CBD-434C-B116-FA54BB443EA7}" name="Ticker" totalsRowLabel="Total" dataDxfId="38" totalsRowDxfId="37"/>
    <tableColumn id="2" xr3:uid="{13108310-4E80-4955-87D5-50ABFE9808A2}" name="Nombre" totalsRowFunction="count" dataDxfId="36" totalsRowDxfId="35"/>
    <tableColumn id="3" xr3:uid="{740DF2CF-2890-4346-8B3A-BFB6CD4B59AA}" name="Sector" dataDxfId="34" totalsRowDxfId="33"/>
    <tableColumn id="4" xr3:uid="{41539FCC-ECED-4C9A-9915-FAFD36FD0CC8}" name="IR" dataDxfId="32" totalsRowDxfId="31" dataCellStyle="Porcentaje"/>
    <tableColumn id="5" xr3:uid="{0F48A4E9-12A0-4849-8E3D-DF2571E9AB8B}" name="Precio" dataDxfId="30" totalsRowDxfId="29"/>
    <tableColumn id="6" xr3:uid="{C9F1DB4D-800F-4CA2-BD21-15BCECD371B6}" name="Objetivo" dataDxfId="28" totalsRowDxfId="27"/>
    <tableColumn id="20" xr3:uid="{41EA20CF-BDD7-4986-AEDF-65BA48C92A44}" name="CAGR" dataDxfId="26" dataCellStyle="Porcentaje">
      <calculatedColumnFormula>(F2/E2)^(1/5) -1</calculatedColumnFormula>
    </tableColumn>
    <tableColumn id="7" xr3:uid="{7EBD78EA-ED5D-4387-847F-8ECA8ECA92C0}" name="Valoración" totalsRowFunction="custom" dataDxfId="25" totalsRowDxfId="24">
      <calculatedColumnFormula>F2/E2</calculatedColumnFormula>
      <totalsRowFormula>MEDIAN(H2:H33)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zoomScaleNormal="100" workbookViewId="0">
      <selection activeCell="R5" sqref="R5"/>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08"/>
      <c r="I1" s="208"/>
      <c r="J1" s="208"/>
      <c r="K1" s="208"/>
      <c r="L1" s="8"/>
      <c r="M1" s="8"/>
      <c r="N1" s="8"/>
      <c r="O1" s="8"/>
      <c r="P1" s="8"/>
      <c r="Q1" s="8"/>
      <c r="R1" s="8"/>
      <c r="S1" s="208"/>
      <c r="T1" s="208"/>
      <c r="U1" s="8"/>
      <c r="V1" s="8"/>
      <c r="W1" s="8"/>
      <c r="X1" s="8"/>
      <c r="Y1" s="8"/>
      <c r="Z1" s="8"/>
      <c r="AA1" s="8"/>
      <c r="AB1" s="8"/>
      <c r="AC1" s="8"/>
    </row>
    <row r="2" spans="1:31" ht="37.5" customHeight="1" x14ac:dyDescent="0.25">
      <c r="B2" s="8"/>
      <c r="C2" s="62"/>
      <c r="D2" s="205" t="s">
        <v>217</v>
      </c>
      <c r="E2" s="205"/>
      <c r="F2" s="205"/>
      <c r="G2" s="206"/>
      <c r="H2" s="70" t="s">
        <v>41</v>
      </c>
      <c r="I2" s="134" t="e" cm="1" vm="1">
        <f t="array" ref="I2">_FV(D2,"Market cap",TRUE)/1000000000</f>
        <v>#VALUE!</v>
      </c>
      <c r="J2" s="69" t="s">
        <v>38</v>
      </c>
      <c r="K2" s="42" t="s">
        <v>36</v>
      </c>
      <c r="L2" s="198" t="e" cm="1" vm="2">
        <f t="array" ref="L2">_FV(D2,"Industry")</f>
        <v>#VALUE!</v>
      </c>
      <c r="M2" s="198"/>
      <c r="N2" s="198"/>
      <c r="O2" s="199"/>
      <c r="P2" s="50"/>
      <c r="Q2" s="57"/>
      <c r="R2" s="212" t="s">
        <v>42</v>
      </c>
      <c r="S2" s="212"/>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207" t="e" cm="1" vm="3">
        <f t="array" ref="D4">_FV(D2,"Description")</f>
        <v>#VALUE!</v>
      </c>
      <c r="E4" s="207"/>
      <c r="F4" s="207"/>
      <c r="G4" s="207"/>
      <c r="H4" s="55"/>
      <c r="I4" s="8"/>
      <c r="J4" s="8" t="s">
        <v>35</v>
      </c>
      <c r="K4" s="8"/>
      <c r="L4" s="8"/>
      <c r="M4" s="8"/>
      <c r="N4" s="8"/>
      <c r="O4" s="38"/>
      <c r="P4" s="50"/>
      <c r="Q4" s="8"/>
      <c r="R4" s="8" t="s">
        <v>47</v>
      </c>
      <c r="S4" s="76" t="s">
        <v>48</v>
      </c>
      <c r="T4" s="76" t="s">
        <v>49</v>
      </c>
      <c r="U4" s="76" t="s">
        <v>50</v>
      </c>
      <c r="V4" s="38"/>
      <c r="W4" s="8"/>
      <c r="X4" s="8"/>
      <c r="Y4" s="8"/>
      <c r="Z4" s="8"/>
      <c r="AA4" s="8"/>
      <c r="AB4" s="8"/>
      <c r="AC4" s="8"/>
      <c r="AD4" s="88">
        <f>T14</f>
        <v>0</v>
      </c>
      <c r="AE4" s="19">
        <v>0</v>
      </c>
    </row>
    <row r="5" spans="1:31" ht="37.5" customHeight="1" x14ac:dyDescent="0.25">
      <c r="A5" s="96" t="s">
        <v>88</v>
      </c>
      <c r="B5" s="8"/>
      <c r="C5" s="37"/>
      <c r="D5" s="207"/>
      <c r="E5" s="207"/>
      <c r="F5" s="207"/>
      <c r="G5" s="207"/>
      <c r="H5" s="65"/>
      <c r="I5" s="55"/>
      <c r="J5" s="201" t="e" cm="1" vm="4">
        <f t="array" ref="J5">_FV(D2,"Price")</f>
        <v>#VALUE!</v>
      </c>
      <c r="K5" s="201"/>
      <c r="L5" s="201"/>
      <c r="M5" s="201"/>
      <c r="O5" s="38"/>
      <c r="P5" s="50"/>
      <c r="Q5" s="8"/>
      <c r="R5" s="133" t="e" vm="5">
        <f>J5/N29</f>
        <v>#VALUE!</v>
      </c>
      <c r="S5" s="77" t="e" vm="5">
        <f>J5/N30</f>
        <v>#VALUE!</v>
      </c>
      <c r="T5" s="75" t="e" vm="5">
        <f>(R5)/(S29*100)</f>
        <v>#VALUE!</v>
      </c>
      <c r="U5" s="78" t="e" vm="5">
        <f>1/R5</f>
        <v>#VALUE!</v>
      </c>
      <c r="V5" s="38"/>
      <c r="W5" s="8"/>
      <c r="X5" s="8"/>
      <c r="Y5" s="8"/>
      <c r="Z5" s="8"/>
      <c r="AA5" s="8"/>
      <c r="AB5" s="8"/>
      <c r="AC5" s="8"/>
      <c r="AD5" s="19">
        <f>AD4+(AD4*$T$10)</f>
        <v>0</v>
      </c>
      <c r="AE5" s="19">
        <v>1</v>
      </c>
    </row>
    <row r="6" spans="1:31" ht="15" customHeight="1" x14ac:dyDescent="0.25">
      <c r="A6" s="99">
        <f>(N53/100)</f>
        <v>0</v>
      </c>
      <c r="B6" s="8"/>
      <c r="C6" s="37"/>
      <c r="D6" s="207"/>
      <c r="E6" s="207"/>
      <c r="F6" s="207"/>
      <c r="G6" s="207"/>
      <c r="H6" s="65"/>
      <c r="I6" s="55"/>
      <c r="J6" s="8"/>
      <c r="K6" s="79" t="s">
        <v>37</v>
      </c>
      <c r="L6" s="67" t="e" cm="1" vm="6">
        <f t="array" ref="L6">_FV(D2,"change")</f>
        <v>#VALUE!</v>
      </c>
      <c r="M6" s="66" t="e" cm="1" vm="7">
        <f t="array" ref="M6">_FV(D2,"Change (%)",TRUE)</f>
        <v>#VALUE!</v>
      </c>
      <c r="N6" s="8"/>
      <c r="O6" s="38"/>
      <c r="P6" s="50"/>
      <c r="Q6" s="8"/>
      <c r="R6" s="76" t="s">
        <v>59</v>
      </c>
      <c r="S6" s="76" t="s">
        <v>58</v>
      </c>
      <c r="T6" s="76" t="s">
        <v>60</v>
      </c>
      <c r="U6" s="8" t="s">
        <v>61</v>
      </c>
      <c r="V6" s="38"/>
      <c r="W6" s="8"/>
      <c r="X6" s="8"/>
      <c r="Y6" s="8"/>
      <c r="Z6" s="8"/>
      <c r="AA6" s="8"/>
      <c r="AB6" s="8"/>
      <c r="AC6" s="8"/>
      <c r="AD6" s="19">
        <f>AD5+(AD5*$T$10)</f>
        <v>0</v>
      </c>
      <c r="AE6" s="19">
        <v>2</v>
      </c>
    </row>
    <row r="7" spans="1:31" ht="15" customHeight="1" x14ac:dyDescent="0.25">
      <c r="A7" s="97"/>
      <c r="B7" s="8"/>
      <c r="C7" s="37"/>
      <c r="D7" s="207"/>
      <c r="E7" s="207"/>
      <c r="F7" s="207"/>
      <c r="G7" s="207"/>
      <c r="H7" s="65"/>
      <c r="I7" s="55"/>
      <c r="J7" s="8"/>
      <c r="K7" s="8"/>
      <c r="L7" s="8"/>
      <c r="M7" s="8"/>
      <c r="N7" s="8"/>
      <c r="O7" s="38"/>
      <c r="P7" s="50"/>
      <c r="Q7" s="8"/>
      <c r="R7" s="211" t="e" vm="5">
        <f>(K17*1000)/N32/N29</f>
        <v>#VALUE!</v>
      </c>
      <c r="S7" s="211" t="e" vm="5">
        <f>(K17*1000)/N32/N30</f>
        <v>#VALUE!</v>
      </c>
      <c r="T7" s="211" t="e" vm="5">
        <f>S7/(S30*100)</f>
        <v>#VALUE!</v>
      </c>
      <c r="U7" s="202" t="e" vm="5">
        <f>1/S7</f>
        <v>#VALUE!</v>
      </c>
      <c r="V7" s="38"/>
      <c r="W7" s="8"/>
      <c r="X7" s="8"/>
      <c r="Y7" s="8"/>
      <c r="Z7" s="8"/>
      <c r="AA7" s="8"/>
      <c r="AB7" s="8"/>
      <c r="AC7" s="8"/>
      <c r="AD7" s="19">
        <f>AD6+(AD6*$T$10)</f>
        <v>0</v>
      </c>
      <c r="AE7" s="19">
        <v>3</v>
      </c>
    </row>
    <row r="8" spans="1:31" ht="15" customHeight="1" x14ac:dyDescent="0.25">
      <c r="A8" s="97" t="s">
        <v>89</v>
      </c>
      <c r="B8" s="8"/>
      <c r="C8" s="37"/>
      <c r="D8" s="207"/>
      <c r="E8" s="207"/>
      <c r="F8" s="207"/>
      <c r="G8" s="207"/>
      <c r="H8" s="65"/>
      <c r="I8" s="55"/>
      <c r="J8" s="68" t="s">
        <v>39</v>
      </c>
      <c r="K8" s="103" t="e" cm="1" vm="8">
        <f t="array" ref="K8">_FV(D2,"52 week high",TRUE)</f>
        <v>#VALUE!</v>
      </c>
      <c r="L8" s="204" t="s">
        <v>43</v>
      </c>
      <c r="M8" s="204"/>
      <c r="N8" s="74" t="e" vm="5">
        <f>-N31/J5</f>
        <v>#VALUE!</v>
      </c>
      <c r="O8" s="38"/>
      <c r="P8" s="50"/>
      <c r="Q8" s="8"/>
      <c r="R8" s="211"/>
      <c r="S8" s="211"/>
      <c r="T8" s="211"/>
      <c r="U8" s="202"/>
      <c r="V8" s="38"/>
      <c r="W8" s="8"/>
      <c r="X8" s="8"/>
      <c r="Y8" s="8"/>
      <c r="Z8" s="8"/>
      <c r="AA8" s="8"/>
      <c r="AB8" s="8"/>
      <c r="AC8" s="8"/>
      <c r="AD8" s="19">
        <f>AD7+(AD7*$T$10)</f>
        <v>0</v>
      </c>
      <c r="AE8" s="19">
        <v>4</v>
      </c>
    </row>
    <row r="9" spans="1:31" ht="15" customHeight="1" x14ac:dyDescent="0.25">
      <c r="A9" s="100">
        <f>T30</f>
        <v>-1</v>
      </c>
      <c r="B9" s="8"/>
      <c r="C9" s="37"/>
      <c r="D9" s="207"/>
      <c r="E9" s="207"/>
      <c r="F9" s="207"/>
      <c r="G9" s="207"/>
      <c r="H9" s="65"/>
      <c r="I9" s="55"/>
      <c r="J9" s="71" t="s">
        <v>40</v>
      </c>
      <c r="K9" s="103" t="e" cm="1" vm="9">
        <f t="array" ref="K9">_FV(D2,"52 week low",TRUE)</f>
        <v>#VALUE!</v>
      </c>
      <c r="L9" s="204" t="s">
        <v>44</v>
      </c>
      <c r="M9" s="204"/>
      <c r="N9" s="74" t="e">
        <f>-N31/N29</f>
        <v>#DIV/0!</v>
      </c>
      <c r="O9" s="38"/>
      <c r="P9" s="50"/>
      <c r="Q9" s="8"/>
      <c r="R9" s="8"/>
      <c r="S9" s="55"/>
      <c r="T9" s="55"/>
      <c r="U9" s="8"/>
      <c r="V9" s="38"/>
      <c r="W9" s="8"/>
      <c r="X9" s="8"/>
      <c r="Y9" s="8"/>
      <c r="Z9" s="8"/>
      <c r="AA9" s="8"/>
      <c r="AB9" s="8"/>
      <c r="AC9" s="8"/>
      <c r="AD9" s="19">
        <f>AD8+(AD8*$T$10)</f>
        <v>0</v>
      </c>
      <c r="AE9" s="19">
        <v>5</v>
      </c>
    </row>
    <row r="10" spans="1:31" ht="15" customHeight="1" x14ac:dyDescent="0.25">
      <c r="A10" s="97"/>
      <c r="B10" s="8"/>
      <c r="C10" s="37"/>
      <c r="D10" s="207"/>
      <c r="E10" s="207"/>
      <c r="F10" s="207"/>
      <c r="G10" s="207"/>
      <c r="H10" s="65"/>
      <c r="I10" s="55"/>
      <c r="J10" s="71"/>
      <c r="K10" s="68"/>
      <c r="L10" s="8"/>
      <c r="M10" s="8"/>
      <c r="N10" s="8"/>
      <c r="O10" s="38"/>
      <c r="P10" s="102"/>
      <c r="Q10" s="8"/>
      <c r="R10" s="203" t="s">
        <v>62</v>
      </c>
      <c r="S10" s="203"/>
      <c r="T10" s="85">
        <v>-0.04</v>
      </c>
      <c r="U10" s="8"/>
      <c r="V10" s="38"/>
      <c r="W10" s="8"/>
      <c r="X10" s="8"/>
      <c r="Y10" s="8"/>
      <c r="Z10" s="8"/>
      <c r="AA10" s="8"/>
      <c r="AB10" s="8"/>
      <c r="AC10" s="8"/>
      <c r="AD10" s="19">
        <f>AD9+(AD9*$T$11)</f>
        <v>0</v>
      </c>
      <c r="AE10" s="19">
        <v>6</v>
      </c>
    </row>
    <row r="11" spans="1:31" ht="15" customHeight="1" x14ac:dyDescent="0.25">
      <c r="A11" s="97" t="s">
        <v>90</v>
      </c>
      <c r="B11" s="8"/>
      <c r="C11" s="37"/>
      <c r="D11" s="207"/>
      <c r="E11" s="207"/>
      <c r="F11" s="207"/>
      <c r="G11" s="207"/>
      <c r="H11" s="65"/>
      <c r="I11" s="55"/>
      <c r="J11" s="71"/>
      <c r="K11" s="68"/>
      <c r="L11" s="8"/>
      <c r="M11" s="8"/>
      <c r="N11" s="8"/>
      <c r="O11" s="38"/>
      <c r="P11" s="50"/>
      <c r="Q11" s="8"/>
      <c r="R11" s="203" t="s">
        <v>63</v>
      </c>
      <c r="S11" s="203"/>
      <c r="T11" s="86">
        <v>-0.04</v>
      </c>
      <c r="U11" s="8"/>
      <c r="V11" s="38"/>
      <c r="W11" s="8"/>
      <c r="X11" s="8"/>
      <c r="Y11" s="8"/>
      <c r="Z11" s="8"/>
      <c r="AA11" s="8"/>
      <c r="AB11" s="8"/>
      <c r="AC11" s="8"/>
      <c r="AD11" s="19">
        <f>AD10+(AD10*$T$11)</f>
        <v>0</v>
      </c>
      <c r="AE11" s="19">
        <v>7</v>
      </c>
    </row>
    <row r="12" spans="1:31" ht="15" customHeight="1" x14ac:dyDescent="0.25">
      <c r="A12" s="99">
        <f>(N38/100)</f>
        <v>0</v>
      </c>
      <c r="B12" s="8"/>
      <c r="C12" s="37"/>
      <c r="D12" s="207"/>
      <c r="E12" s="207"/>
      <c r="F12" s="207"/>
      <c r="G12" s="207"/>
      <c r="H12" s="65"/>
      <c r="I12" s="55"/>
      <c r="J12" s="196" t="s">
        <v>46</v>
      </c>
      <c r="K12" s="196"/>
      <c r="L12" s="196" t="s">
        <v>45</v>
      </c>
      <c r="M12" s="196"/>
      <c r="N12" s="8"/>
      <c r="O12" s="38"/>
      <c r="P12" s="50"/>
      <c r="Q12" s="8"/>
      <c r="R12" s="203" t="s">
        <v>64</v>
      </c>
      <c r="S12" s="203"/>
      <c r="T12" s="86">
        <v>0.14000000000000001</v>
      </c>
      <c r="U12" s="8"/>
      <c r="V12" s="38"/>
      <c r="W12" s="8"/>
      <c r="X12" s="8"/>
      <c r="Y12" s="8"/>
      <c r="Z12" s="8"/>
      <c r="AA12" s="8"/>
      <c r="AB12" s="8"/>
      <c r="AC12" s="8"/>
      <c r="AD12" s="19">
        <f>AD11+(AD11*$T$11)</f>
        <v>0</v>
      </c>
      <c r="AE12" s="19">
        <v>8</v>
      </c>
    </row>
    <row r="13" spans="1:31" ht="15" customHeight="1" x14ac:dyDescent="0.25">
      <c r="A13" s="97"/>
      <c r="B13" s="8"/>
      <c r="C13" s="37"/>
      <c r="D13" s="207"/>
      <c r="E13" s="207"/>
      <c r="F13" s="207"/>
      <c r="G13" s="207"/>
      <c r="H13" s="65"/>
      <c r="I13" s="55"/>
      <c r="J13" s="213" t="s">
        <v>92</v>
      </c>
      <c r="K13" s="214"/>
      <c r="L13" s="200" t="s">
        <v>92</v>
      </c>
      <c r="M13" s="200"/>
      <c r="N13" s="8"/>
      <c r="O13" s="38"/>
      <c r="P13" s="50"/>
      <c r="Q13" s="8"/>
      <c r="R13" s="203" t="s">
        <v>65</v>
      </c>
      <c r="S13" s="203"/>
      <c r="T13" s="32">
        <v>12</v>
      </c>
      <c r="U13" s="8"/>
      <c r="V13" s="38"/>
      <c r="W13" s="8"/>
      <c r="X13" s="8"/>
      <c r="Y13" s="8"/>
      <c r="Z13" s="8"/>
      <c r="AA13" s="8"/>
      <c r="AB13" s="8"/>
      <c r="AC13" s="8"/>
      <c r="AD13" s="19">
        <f>AD12+(AD12*$T$11)</f>
        <v>0</v>
      </c>
      <c r="AE13" s="19">
        <v>9</v>
      </c>
    </row>
    <row r="14" spans="1:31" ht="15" customHeight="1" x14ac:dyDescent="0.25">
      <c r="A14" s="97" t="s">
        <v>61</v>
      </c>
      <c r="B14" s="8"/>
      <c r="C14" s="37"/>
      <c r="D14" s="207"/>
      <c r="E14" s="207"/>
      <c r="F14" s="207"/>
      <c r="G14" s="207"/>
      <c r="H14" s="65"/>
      <c r="I14" s="55"/>
      <c r="J14" s="214"/>
      <c r="K14" s="214"/>
      <c r="L14" s="200"/>
      <c r="M14" s="200"/>
      <c r="N14" s="8"/>
      <c r="O14" s="38"/>
      <c r="P14" s="50"/>
      <c r="Q14" s="8"/>
      <c r="R14" s="203" t="s">
        <v>66</v>
      </c>
      <c r="S14" s="203"/>
      <c r="T14" s="87">
        <f>N25</f>
        <v>0</v>
      </c>
      <c r="U14" s="8"/>
      <c r="V14" s="38"/>
      <c r="W14" s="8"/>
      <c r="X14" s="8"/>
      <c r="Y14" s="8"/>
      <c r="Z14" s="8"/>
      <c r="AA14" s="8"/>
      <c r="AB14" s="8"/>
      <c r="AC14" s="8"/>
      <c r="AD14" s="19">
        <f>AD13+(AD13*$T$11)</f>
        <v>0</v>
      </c>
      <c r="AE14" s="19">
        <v>10</v>
      </c>
    </row>
    <row r="15" spans="1:31" ht="15" customHeight="1" x14ac:dyDescent="0.25">
      <c r="A15" s="100" t="e" vm="5">
        <f>U7</f>
        <v>#VALUE!</v>
      </c>
      <c r="B15" s="8"/>
      <c r="C15" s="37"/>
      <c r="D15" s="207"/>
      <c r="E15" s="207"/>
      <c r="F15" s="207"/>
      <c r="G15" s="207"/>
      <c r="H15" s="55"/>
      <c r="I15" s="55"/>
      <c r="J15" s="71"/>
      <c r="K15" s="68"/>
      <c r="L15" s="8"/>
      <c r="M15" s="8"/>
      <c r="N15" s="8"/>
      <c r="O15" s="38"/>
      <c r="P15" s="50"/>
      <c r="Q15" s="8"/>
      <c r="R15" s="8"/>
      <c r="S15" s="55"/>
      <c r="T15" s="55"/>
      <c r="U15" s="8"/>
      <c r="V15" s="38"/>
      <c r="W15" s="8"/>
      <c r="X15" s="8"/>
      <c r="Y15" s="8"/>
      <c r="Z15" s="8"/>
      <c r="AA15" s="8"/>
      <c r="AB15" s="8"/>
      <c r="AC15" s="8"/>
      <c r="AD15" s="19" t="s">
        <v>67</v>
      </c>
      <c r="AE15" s="19">
        <f>AD14*T13</f>
        <v>0</v>
      </c>
    </row>
    <row r="16" spans="1:31" ht="15" customHeight="1" x14ac:dyDescent="0.25">
      <c r="A16" s="98"/>
      <c r="B16" s="8"/>
      <c r="C16" s="37"/>
      <c r="D16" s="207"/>
      <c r="E16" s="207"/>
      <c r="F16" s="207"/>
      <c r="G16" s="207"/>
      <c r="H16" s="55"/>
      <c r="I16" s="55"/>
      <c r="J16" s="71"/>
      <c r="K16" s="209" t="s">
        <v>51</v>
      </c>
      <c r="L16" s="209"/>
      <c r="M16" s="8"/>
      <c r="N16" s="8"/>
      <c r="O16" s="38"/>
      <c r="P16" s="50"/>
      <c r="Q16" s="8"/>
      <c r="R16" s="8"/>
      <c r="S16" s="201" t="e">
        <f>((NPV(T12,AD5:AD13,AE15) - AE16)/N32)*R17</f>
        <v>#DIV/0!</v>
      </c>
      <c r="T16" s="201"/>
      <c r="U16" s="8" t="s">
        <v>91</v>
      </c>
      <c r="V16" s="38"/>
      <c r="W16" s="8"/>
      <c r="X16" s="8"/>
      <c r="Y16" s="8"/>
      <c r="Z16" s="8"/>
      <c r="AA16" s="8"/>
      <c r="AB16" s="8"/>
      <c r="AC16" s="8"/>
      <c r="AD16" s="19" t="s">
        <v>15</v>
      </c>
      <c r="AE16" s="88">
        <f>E70</f>
        <v>-353.62200000000001</v>
      </c>
    </row>
    <row r="17" spans="1:31" ht="19.5" customHeight="1" x14ac:dyDescent="0.25">
      <c r="B17" s="8"/>
      <c r="C17" s="37"/>
      <c r="D17" s="207"/>
      <c r="E17" s="207"/>
      <c r="F17" s="207"/>
      <c r="G17" s="207"/>
      <c r="H17" s="55"/>
      <c r="I17" s="55"/>
      <c r="J17" s="8"/>
      <c r="K17" s="210" t="e" vm="5">
        <f>I2+(E70/1000)</f>
        <v>#VALUE!</v>
      </c>
      <c r="L17" s="210"/>
      <c r="M17" s="84" t="s">
        <v>57</v>
      </c>
      <c r="N17" s="8"/>
      <c r="O17" s="38"/>
      <c r="P17" s="50"/>
      <c r="Q17" s="8"/>
      <c r="R17" s="8">
        <v>0.15</v>
      </c>
      <c r="S17" s="201"/>
      <c r="T17" s="201"/>
      <c r="U17" s="101" t="e">
        <f>S16/J5 -1</f>
        <v>#DIV/0!</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t="s">
        <v>249</v>
      </c>
      <c r="B20" s="20"/>
      <c r="C20" s="21"/>
      <c r="D20" s="2"/>
      <c r="E20" s="14">
        <v>2013</v>
      </c>
      <c r="F20" s="14">
        <v>2014</v>
      </c>
      <c r="G20" s="14">
        <v>2015</v>
      </c>
      <c r="H20" s="14">
        <v>2016</v>
      </c>
      <c r="I20" s="14">
        <v>2017</v>
      </c>
      <c r="J20" s="14">
        <v>2018</v>
      </c>
      <c r="K20" s="14">
        <v>2019</v>
      </c>
      <c r="L20" s="14">
        <v>2020</v>
      </c>
      <c r="M20" s="14">
        <v>2021</v>
      </c>
      <c r="N20" s="14"/>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t="s">
        <v>250</v>
      </c>
      <c r="B21" s="23"/>
      <c r="C21" s="25"/>
      <c r="D21" s="4" t="s">
        <v>1</v>
      </c>
      <c r="E21" s="5">
        <v>38.770282999999999</v>
      </c>
      <c r="F21" s="5">
        <v>48.531553000000002</v>
      </c>
      <c r="G21" s="5">
        <v>76.358999999999995</v>
      </c>
      <c r="H21" s="5">
        <v>115.461</v>
      </c>
      <c r="I21" s="5">
        <v>178.38499999999999</v>
      </c>
      <c r="J21" s="5">
        <v>245.41800000000001</v>
      </c>
      <c r="K21" s="5">
        <v>365.75200000000001</v>
      </c>
      <c r="L21" s="5">
        <v>561.13400000000001</v>
      </c>
      <c r="M21" s="5">
        <v>1068.777</v>
      </c>
      <c r="N21" s="5"/>
      <c r="O21" s="26"/>
      <c r="P21" s="23"/>
      <c r="Q21" s="35"/>
      <c r="R21" s="43">
        <f t="shared" ref="R21:R34" si="0">IFERROR((N21/M21-1),"")</f>
        <v>-1</v>
      </c>
      <c r="S21" s="43">
        <f t="shared" ref="S21:S34" si="1">IFERROR(((N21/K21)^(1/3) -1),"")</f>
        <v>-1</v>
      </c>
      <c r="T21" s="43">
        <f t="shared" ref="T21:T34" si="2">IFERROR(((N21/I21)^(1/5) -1),"")</f>
        <v>-1</v>
      </c>
      <c r="U21" s="43">
        <f t="shared" ref="U21:U34" si="3">IFERROR(((N21/E21)^(1/9) -1),"")</f>
        <v>-1</v>
      </c>
      <c r="V21" s="36"/>
      <c r="W21" s="23"/>
      <c r="X21" s="49"/>
      <c r="Y21" s="23"/>
      <c r="Z21" s="23"/>
      <c r="AA21" s="23"/>
      <c r="AB21" s="23"/>
      <c r="AC21" s="23"/>
    </row>
    <row r="22" spans="1:31" s="24" customFormat="1" ht="20.100000000000001" customHeight="1" x14ac:dyDescent="0.25">
      <c r="A22" s="23"/>
      <c r="B22" s="23"/>
      <c r="C22" s="25"/>
      <c r="D22" s="4" t="s">
        <v>2</v>
      </c>
      <c r="E22" s="5">
        <v>22.452026</v>
      </c>
      <c r="F22" s="5">
        <v>29.848243</v>
      </c>
      <c r="G22" s="5"/>
      <c r="H22" s="5"/>
      <c r="I22" s="5"/>
      <c r="J22" s="5"/>
      <c r="K22" s="5"/>
      <c r="L22" s="5"/>
      <c r="M22" s="5">
        <v>905.21199999999999</v>
      </c>
      <c r="N22" s="5"/>
      <c r="O22" s="26"/>
      <c r="P22" s="23"/>
      <c r="Q22" s="35"/>
      <c r="R22" s="43">
        <f t="shared" si="0"/>
        <v>-1</v>
      </c>
      <c r="S22" s="43" t="str">
        <f t="shared" si="1"/>
        <v/>
      </c>
      <c r="T22" s="43" t="str">
        <f t="shared" si="2"/>
        <v/>
      </c>
      <c r="U22" s="43">
        <f t="shared" si="3"/>
        <v>-1</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c r="O23" s="26"/>
      <c r="P23" s="23"/>
      <c r="Q23" s="35"/>
      <c r="R23" s="43">
        <f t="shared" si="0"/>
        <v>-1</v>
      </c>
      <c r="S23" s="43">
        <f t="shared" si="1"/>
        <v>-1</v>
      </c>
      <c r="T23" s="43">
        <f t="shared" si="2"/>
        <v>-1</v>
      </c>
      <c r="U23" s="43">
        <f t="shared" si="3"/>
        <v>-1</v>
      </c>
      <c r="V23" s="36"/>
      <c r="W23" s="23"/>
      <c r="X23" s="49"/>
      <c r="Y23" s="23"/>
      <c r="Z23" s="23"/>
      <c r="AA23" s="23"/>
      <c r="AB23" s="23"/>
      <c r="AC23" s="23"/>
    </row>
    <row r="24" spans="1:31" s="24" customFormat="1" ht="20.100000000000001" customHeight="1" x14ac:dyDescent="0.25">
      <c r="A24" s="23"/>
      <c r="B24" s="23"/>
      <c r="C24" s="25"/>
      <c r="D24" s="4" t="s">
        <v>4</v>
      </c>
      <c r="E24" s="5">
        <v>8.6309280000000008</v>
      </c>
      <c r="F24" s="5">
        <v>13.091184999999999</v>
      </c>
      <c r="G24" s="5">
        <v>21.082999999999998</v>
      </c>
      <c r="H24" s="5">
        <v>34.863999999999997</v>
      </c>
      <c r="I24" s="5">
        <v>66.881</v>
      </c>
      <c r="J24" s="5">
        <v>89.483999999999995</v>
      </c>
      <c r="K24" s="5">
        <v>157.47200000000001</v>
      </c>
      <c r="L24" s="5">
        <v>299.7</v>
      </c>
      <c r="M24" s="5">
        <v>654.00400000000002</v>
      </c>
      <c r="N24" s="5"/>
      <c r="O24" s="26"/>
      <c r="P24" s="23"/>
      <c r="Q24" s="35"/>
      <c r="R24" s="43">
        <f t="shared" si="0"/>
        <v>-1</v>
      </c>
      <c r="S24" s="43">
        <f t="shared" si="1"/>
        <v>-1</v>
      </c>
      <c r="T24" s="43">
        <f t="shared" si="2"/>
        <v>-1</v>
      </c>
      <c r="U24" s="43">
        <f t="shared" si="3"/>
        <v>-1</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c r="O25" s="26"/>
      <c r="P25" s="23"/>
      <c r="Q25" s="35"/>
      <c r="R25" s="43">
        <f t="shared" si="0"/>
        <v>-1</v>
      </c>
      <c r="S25" s="43">
        <f t="shared" si="1"/>
        <v>-1</v>
      </c>
      <c r="T25" s="43">
        <f t="shared" si="2"/>
        <v>-1</v>
      </c>
      <c r="U25" s="43">
        <f t="shared" si="3"/>
        <v>-1</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c r="O26" s="26"/>
      <c r="P26" s="23"/>
      <c r="Q26" s="35"/>
      <c r="R26" s="43">
        <f t="shared" si="0"/>
        <v>-1</v>
      </c>
      <c r="S26" s="43">
        <f t="shared" si="1"/>
        <v>-1</v>
      </c>
      <c r="T26" s="43">
        <f t="shared" si="2"/>
        <v>-1</v>
      </c>
      <c r="U26" s="43">
        <f t="shared" si="3"/>
        <v>-1</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5.8108471462855436</v>
      </c>
      <c r="N27" s="16"/>
      <c r="O27" s="26"/>
      <c r="P27" s="23"/>
      <c r="Q27" s="35"/>
      <c r="R27" s="43">
        <f t="shared" si="0"/>
        <v>-1</v>
      </c>
      <c r="S27" s="43">
        <f t="shared" si="1"/>
        <v>-1</v>
      </c>
      <c r="T27" s="43">
        <f t="shared" si="2"/>
        <v>-1</v>
      </c>
      <c r="U27" s="43">
        <f t="shared" si="3"/>
        <v>-1</v>
      </c>
      <c r="V27" s="36"/>
      <c r="W27" s="23"/>
      <c r="X27" s="49"/>
      <c r="Y27" s="23"/>
      <c r="Z27" s="23"/>
      <c r="AA27" s="23"/>
      <c r="AB27" s="23"/>
      <c r="AC27" s="23"/>
    </row>
    <row r="28" spans="1:31" s="24" customFormat="1" ht="20.100000000000001" customHeight="1" x14ac:dyDescent="0.25">
      <c r="A28" s="23"/>
      <c r="B28" s="23"/>
      <c r="C28" s="25"/>
      <c r="D28" s="4" t="s">
        <v>17</v>
      </c>
      <c r="E28" s="6">
        <v>4.7989088354564648E-2</v>
      </c>
      <c r="F28" s="6">
        <v>7.2788700546563639E-2</v>
      </c>
      <c r="G28" s="6">
        <v>0.11743894531215403</v>
      </c>
      <c r="H28" s="6">
        <v>0.19384839919804009</v>
      </c>
      <c r="I28" s="6">
        <v>0.37186710609121498</v>
      </c>
      <c r="J28" s="6">
        <v>0.49754274190676401</v>
      </c>
      <c r="K28" s="6">
        <v>0.87127557866374072</v>
      </c>
      <c r="L28" s="6">
        <v>1.6294427085741716</v>
      </c>
      <c r="M28" s="6">
        <v>3.5557625931876626</v>
      </c>
      <c r="N28" s="6"/>
      <c r="O28" s="26"/>
      <c r="P28" s="23"/>
      <c r="Q28" s="35"/>
      <c r="R28" s="43">
        <f t="shared" si="0"/>
        <v>-1</v>
      </c>
      <c r="S28" s="43">
        <f t="shared" si="1"/>
        <v>-1</v>
      </c>
      <c r="T28" s="43">
        <f t="shared" si="2"/>
        <v>-1</v>
      </c>
      <c r="U28" s="43">
        <f t="shared" si="3"/>
        <v>-1</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3.29</v>
      </c>
      <c r="N29" s="6"/>
      <c r="O29" s="26"/>
      <c r="P29" s="23"/>
      <c r="Q29" s="35"/>
      <c r="R29" s="43">
        <f t="shared" si="0"/>
        <v>-1</v>
      </c>
      <c r="S29" s="43">
        <f t="shared" si="1"/>
        <v>-1</v>
      </c>
      <c r="T29" s="43">
        <f t="shared" si="2"/>
        <v>-1</v>
      </c>
      <c r="U29" s="43">
        <f t="shared" si="3"/>
        <v>-1</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2.9212694549383653</v>
      </c>
      <c r="N30" s="6"/>
      <c r="O30" s="26"/>
      <c r="P30" s="23"/>
      <c r="Q30" s="35"/>
      <c r="R30" s="43">
        <f t="shared" si="0"/>
        <v>-1</v>
      </c>
      <c r="S30" s="43">
        <f t="shared" si="1"/>
        <v>-1</v>
      </c>
      <c r="T30" s="43">
        <f t="shared" si="2"/>
        <v>-1</v>
      </c>
      <c r="U30" s="43">
        <f t="shared" si="3"/>
        <v>-1</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-0.78499231614733411</v>
      </c>
      <c r="N31" s="6"/>
      <c r="O31" s="26"/>
      <c r="P31" s="23"/>
      <c r="Q31" s="35"/>
      <c r="R31" s="43">
        <f t="shared" si="0"/>
        <v>-1</v>
      </c>
      <c r="S31" s="43">
        <f t="shared" si="1"/>
        <v>-1</v>
      </c>
      <c r="T31" s="43">
        <f t="shared" si="2"/>
        <v>-1</v>
      </c>
      <c r="U31" s="43">
        <f t="shared" si="3"/>
        <v>-1</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183.92791500000001</v>
      </c>
      <c r="N32" s="6"/>
      <c r="O32" s="26"/>
      <c r="P32" s="23"/>
      <c r="Q32" s="35"/>
      <c r="R32" s="43">
        <f t="shared" si="0"/>
        <v>-1</v>
      </c>
      <c r="S32" s="43">
        <f t="shared" si="1"/>
        <v>-1</v>
      </c>
      <c r="T32" s="43">
        <f t="shared" si="2"/>
        <v>-1</v>
      </c>
      <c r="U32" s="43">
        <f t="shared" si="3"/>
        <v>-1</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189.02134599999999</v>
      </c>
      <c r="N33" s="6"/>
      <c r="O33" s="26"/>
      <c r="P33" s="23"/>
      <c r="Q33" s="35"/>
      <c r="R33" s="43">
        <f t="shared" si="0"/>
        <v>-1</v>
      </c>
      <c r="S33" s="43">
        <f t="shared" si="1"/>
        <v>-1</v>
      </c>
      <c r="T33" s="43">
        <f t="shared" si="2"/>
        <v>-1</v>
      </c>
      <c r="U33" s="43">
        <f t="shared" si="3"/>
        <v>-1</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17.348916286035212</v>
      </c>
      <c r="N34" s="6"/>
      <c r="O34" s="7"/>
      <c r="P34" s="8"/>
      <c r="Q34" s="37"/>
      <c r="R34" s="43">
        <f t="shared" si="0"/>
        <v>-1</v>
      </c>
      <c r="S34" s="43">
        <f t="shared" si="1"/>
        <v>-1</v>
      </c>
      <c r="T34" s="43">
        <f t="shared" si="2"/>
        <v>-1</v>
      </c>
      <c r="U34" s="43">
        <f t="shared" si="3"/>
        <v>-1</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8"/>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c r="O37" s="7"/>
      <c r="P37" s="8"/>
      <c r="Q37" s="37"/>
      <c r="R37" s="43">
        <f t="shared" ref="R37:R47" si="4">IFERROR((N37/M37-1),"")</f>
        <v>-1</v>
      </c>
      <c r="S37" s="43">
        <f t="shared" ref="S37:S47" si="5">IFERROR(((N37/K37)^(1/3) -1),"")</f>
        <v>-1</v>
      </c>
      <c r="T37" s="43">
        <f t="shared" ref="T37:T47" si="6">IFERROR(((N37/I37)^(1/5) -1),"")</f>
        <v>-1</v>
      </c>
      <c r="U37" s="43">
        <f t="shared" ref="U37:U47" si="7">IFERROR(((N37/E37)^(1/9) -1),"")</f>
        <v>-1</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84.7</v>
      </c>
      <c r="N38" s="12"/>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23.504248313726812</v>
      </c>
      <c r="N41" s="10"/>
      <c r="O41" s="7"/>
      <c r="P41" s="8"/>
      <c r="Q41" s="37"/>
      <c r="R41" s="43">
        <f t="shared" si="4"/>
        <v>-1</v>
      </c>
      <c r="S41" s="43">
        <f t="shared" si="5"/>
        <v>-1</v>
      </c>
      <c r="T41" s="43">
        <f t="shared" si="6"/>
        <v>-1</v>
      </c>
      <c r="U41" s="43">
        <f t="shared" si="7"/>
        <v>-1</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c r="O42" s="7"/>
      <c r="P42" s="8"/>
      <c r="Q42" s="37"/>
      <c r="R42" s="43">
        <f t="shared" si="4"/>
        <v>-1</v>
      </c>
      <c r="S42" s="43">
        <f t="shared" si="5"/>
        <v>-1</v>
      </c>
      <c r="T42" s="43">
        <f t="shared" si="6"/>
        <v>-1</v>
      </c>
      <c r="U42" s="43">
        <f t="shared" si="7"/>
        <v>-1</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c r="O43" s="7"/>
      <c r="P43" s="8"/>
      <c r="Q43" s="37"/>
      <c r="R43" s="43">
        <f t="shared" si="4"/>
        <v>-1</v>
      </c>
      <c r="S43" s="43">
        <f t="shared" si="5"/>
        <v>-1</v>
      </c>
      <c r="T43" s="43">
        <f t="shared" si="6"/>
        <v>-1</v>
      </c>
      <c r="U43" s="43">
        <f t="shared" si="7"/>
        <v>-1</v>
      </c>
      <c r="V43" s="38"/>
      <c r="W43" s="8"/>
      <c r="X43" s="52"/>
      <c r="Y43" s="8"/>
      <c r="Z43" s="8"/>
      <c r="AA43" s="8"/>
      <c r="AB43" s="8"/>
      <c r="AC43" s="8"/>
    </row>
    <row r="44" spans="1:29" ht="20.100000000000001" customHeight="1" x14ac:dyDescent="0.25">
      <c r="B44" s="8"/>
      <c r="C44" s="27"/>
      <c r="D44" s="11" t="s">
        <v>85</v>
      </c>
      <c r="E44" s="13">
        <v>22.259999999999998</v>
      </c>
      <c r="F44" s="13">
        <v>26.97</v>
      </c>
      <c r="G44" s="13">
        <v>27.61</v>
      </c>
      <c r="H44" s="13">
        <v>30.2</v>
      </c>
      <c r="I44" s="13">
        <v>37.49</v>
      </c>
      <c r="J44" s="13">
        <v>36.46</v>
      </c>
      <c r="K44" s="13">
        <v>43.05</v>
      </c>
      <c r="L44" s="13">
        <v>53.410000000000004</v>
      </c>
      <c r="M44" s="13">
        <v>61.19</v>
      </c>
      <c r="N44" s="13"/>
      <c r="O44" s="7"/>
      <c r="P44" s="8"/>
      <c r="Q44" s="37"/>
      <c r="R44" s="43">
        <f t="shared" si="4"/>
        <v>-1</v>
      </c>
      <c r="S44" s="43">
        <f t="shared" si="5"/>
        <v>-1</v>
      </c>
      <c r="T44" s="43">
        <f t="shared" si="6"/>
        <v>-1</v>
      </c>
      <c r="U44" s="43">
        <f t="shared" si="7"/>
        <v>-1</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c r="O45" s="7"/>
      <c r="P45" s="8"/>
      <c r="Q45" s="37"/>
      <c r="R45" s="43">
        <f t="shared" si="4"/>
        <v>-1</v>
      </c>
      <c r="S45" s="43">
        <f t="shared" si="5"/>
        <v>-1</v>
      </c>
      <c r="T45" s="43">
        <f t="shared" si="6"/>
        <v>-1</v>
      </c>
      <c r="U45" s="43">
        <f t="shared" si="7"/>
        <v>-1</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c r="O46" s="7"/>
      <c r="P46" s="8"/>
      <c r="Q46" s="37"/>
      <c r="R46" s="43">
        <f t="shared" si="4"/>
        <v>-1</v>
      </c>
      <c r="S46" s="43">
        <f t="shared" si="5"/>
        <v>-1</v>
      </c>
      <c r="T46" s="43">
        <f t="shared" si="6"/>
        <v>-1</v>
      </c>
      <c r="U46" s="43">
        <f t="shared" si="7"/>
        <v>-1</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c r="O47" s="7"/>
      <c r="P47" s="8"/>
      <c r="Q47" s="37"/>
      <c r="R47" s="43">
        <f t="shared" si="4"/>
        <v>-1</v>
      </c>
      <c r="S47" s="43">
        <f t="shared" si="5"/>
        <v>-1</v>
      </c>
      <c r="T47" s="43">
        <f t="shared" si="6"/>
        <v>-1</v>
      </c>
      <c r="U47" s="43">
        <f t="shared" si="7"/>
        <v>-1</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8"/>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38.043589011743485</v>
      </c>
      <c r="G50" s="48">
        <v>33.597825904614922</v>
      </c>
      <c r="H50" s="48">
        <v>30.720687585899842</v>
      </c>
      <c r="I50" s="48">
        <v>37.128070898844847</v>
      </c>
      <c r="J50" s="48">
        <v>34.680063326643314</v>
      </c>
      <c r="K50" s="48">
        <v>34.486364473926663</v>
      </c>
      <c r="L50" s="48">
        <v>8.9811278364412495</v>
      </c>
      <c r="M50" s="48">
        <v>15.511775739437731</v>
      </c>
      <c r="N50" s="48"/>
      <c r="O50" s="7"/>
      <c r="P50" s="8"/>
      <c r="Q50" s="37"/>
      <c r="R50" s="43">
        <f>IFERROR((N50/M50-1),"")</f>
        <v>-1</v>
      </c>
      <c r="S50" s="43">
        <f>IFERROR(((N50/K50)^(1/3) -1),"")</f>
        <v>-1</v>
      </c>
      <c r="T50" s="43">
        <f>IFERROR(((N50/I50)^(1/5) -1),"")</f>
        <v>-1</v>
      </c>
      <c r="U50" s="43">
        <f>IFERROR(((N50/E50)^(1/9) -1),"")</f>
        <v>-1</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c r="O51" s="7"/>
      <c r="P51" s="8"/>
      <c r="Q51" s="37"/>
      <c r="R51" s="43">
        <f>IFERROR((N51/M51-1),"")</f>
        <v>-1</v>
      </c>
      <c r="S51" s="43">
        <f>IFERROR(((N51/K51)^(1/3) -1),"")</f>
        <v>-1</v>
      </c>
      <c r="T51" s="43">
        <f>IFERROR(((N51/I51)^(1/5) -1),"")</f>
        <v>-1</v>
      </c>
      <c r="U51" s="43">
        <f>IFERROR(((N51/E51)^(1/9) -1),"")</f>
        <v>-1</v>
      </c>
      <c r="V51" s="38"/>
      <c r="W51" s="8"/>
      <c r="X51" s="52"/>
      <c r="Y51" s="8"/>
      <c r="Z51" s="8"/>
      <c r="AA51" s="8"/>
      <c r="AB51" s="8"/>
      <c r="AC51" s="8"/>
    </row>
    <row r="52" spans="2:29" ht="18.95" customHeight="1" x14ac:dyDescent="0.25">
      <c r="B52" s="8"/>
      <c r="C52" s="27"/>
      <c r="D52" s="4" t="s">
        <v>81</v>
      </c>
      <c r="E52" s="48">
        <v>60.657211718416072</v>
      </c>
      <c r="F52" s="48">
        <v>54.758421147670269</v>
      </c>
      <c r="G52" s="48">
        <v>47.770426428603798</v>
      </c>
      <c r="H52" s="48">
        <v>48.377204545769906</v>
      </c>
      <c r="I52" s="48">
        <v>57.095416556398803</v>
      </c>
      <c r="J52" s="48">
        <v>53.299501456319355</v>
      </c>
      <c r="K52" s="48">
        <v>53.119423577073967</v>
      </c>
      <c r="L52" s="48">
        <v>10.700074796985986</v>
      </c>
      <c r="M52" s="48">
        <v>18.51162361513947</v>
      </c>
      <c r="N52" s="48"/>
      <c r="O52" s="7"/>
      <c r="P52" s="8"/>
      <c r="Q52" s="37"/>
      <c r="R52" s="43">
        <f>IFERROR((N52/M52-1),"")</f>
        <v>-1</v>
      </c>
      <c r="S52" s="43">
        <f>IFERROR(((N52/K52)^(1/3) -1),"")</f>
        <v>-1</v>
      </c>
      <c r="T52" s="43">
        <f>IFERROR(((N52/I52)^(1/5) -1),"")</f>
        <v>-1</v>
      </c>
      <c r="U52" s="43">
        <f>IFERROR(((N52/E52)^(1/9) -1),"")</f>
        <v>-1</v>
      </c>
      <c r="V52" s="38"/>
      <c r="W52" s="8"/>
      <c r="X52" s="54"/>
      <c r="Y52" s="8"/>
      <c r="Z52" s="8"/>
      <c r="AA52" s="8"/>
      <c r="AB52" s="8"/>
      <c r="AC52" s="8"/>
    </row>
    <row r="53" spans="2:29" ht="20.100000000000001" customHeight="1" x14ac:dyDescent="0.25">
      <c r="B53" s="8"/>
      <c r="C53" s="27"/>
      <c r="D53" s="4" t="s">
        <v>34</v>
      </c>
      <c r="E53" s="48">
        <v>55.197853201424209</v>
      </c>
      <c r="F53" s="48">
        <v>50.565445432181789</v>
      </c>
      <c r="G53" s="48">
        <v>45.395260690803589</v>
      </c>
      <c r="H53" s="48">
        <v>44.339950109232944</v>
      </c>
      <c r="I53" s="48">
        <v>53.211345482306818</v>
      </c>
      <c r="J53" s="48">
        <v>49.79934612032794</v>
      </c>
      <c r="K53" s="48">
        <v>50.570723425027829</v>
      </c>
      <c r="L53" s="48">
        <v>10.196385081349883</v>
      </c>
      <c r="M53" s="48">
        <v>17.309251933126433</v>
      </c>
      <c r="N53" s="48"/>
      <c r="O53" s="7"/>
      <c r="P53" s="8"/>
      <c r="Q53" s="37"/>
      <c r="R53" s="43">
        <f>IFERROR((N53/M53-1),"")</f>
        <v>-1</v>
      </c>
      <c r="S53" s="43">
        <f>IFERROR(((N53/K53)^(1/3) -1),"")</f>
        <v>-1</v>
      </c>
      <c r="T53" s="43">
        <f>IFERROR(((N53/I53)^(1/5) -1),"")</f>
        <v>-1</v>
      </c>
      <c r="U53" s="43">
        <f>IFERROR(((N53/E53)^(1/9) -1),"")</f>
        <v>-1</v>
      </c>
      <c r="V53" s="38"/>
      <c r="W53" s="8"/>
      <c r="X53" s="54"/>
      <c r="Y53" s="8"/>
      <c r="Z53" s="8"/>
      <c r="AA53" s="8"/>
      <c r="AB53" s="8"/>
      <c r="AC53" s="8"/>
    </row>
    <row r="54" spans="2:29" ht="20.100000000000001" customHeight="1" x14ac:dyDescent="0.25">
      <c r="B54" s="8"/>
      <c r="C54" s="27"/>
      <c r="D54" s="4" t="s">
        <v>82</v>
      </c>
      <c r="E54" s="48">
        <v>80.233265504825283</v>
      </c>
      <c r="F54" s="48">
        <v>58.265754912032008</v>
      </c>
      <c r="G54" s="48">
        <v>54.150994697965281</v>
      </c>
      <c r="H54" s="48">
        <v>52.588563420150692</v>
      </c>
      <c r="I54" s="48">
        <v>52.126960277960379</v>
      </c>
      <c r="J54" s="48">
        <v>57.585071088635942</v>
      </c>
      <c r="K54" s="48">
        <v>58.201916687187335</v>
      </c>
      <c r="L54" s="48">
        <v>10.113123747061229</v>
      </c>
      <c r="M54" s="48">
        <v>16.906924748445839</v>
      </c>
      <c r="N54" s="48"/>
      <c r="O54" s="7"/>
      <c r="P54" s="8"/>
      <c r="Q54" s="37"/>
      <c r="R54" s="43">
        <f>IFERROR((N54/M54-1),"")</f>
        <v>-1</v>
      </c>
      <c r="S54" s="43">
        <f>IFERROR(((N54/K54)^(1/3) -1),"")</f>
        <v>-1</v>
      </c>
      <c r="T54" s="43">
        <f>IFERROR(((N54/I54)^(1/5) -1),"")</f>
        <v>-1</v>
      </c>
      <c r="U54" s="43">
        <f>IFERROR(((N54/E54)^(1/9) -1),"")</f>
        <v>-1</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8">
        <v>2021</v>
      </c>
      <c r="F60" s="8"/>
      <c r="G60" s="196" t="s">
        <v>118</v>
      </c>
      <c r="H60" s="196"/>
      <c r="I60" s="196" t="s">
        <v>119</v>
      </c>
      <c r="J60" s="196"/>
      <c r="K60" s="196" t="s">
        <v>120</v>
      </c>
      <c r="L60" s="196"/>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421.43200000000002</v>
      </c>
      <c r="F61" s="8"/>
      <c r="G61" s="197">
        <v>2.1868316537432793</v>
      </c>
      <c r="H61" s="197"/>
      <c r="I61" s="197">
        <v>20.628696767314675</v>
      </c>
      <c r="J61" s="197"/>
      <c r="K61" s="197">
        <v>-2.0670009218883441</v>
      </c>
      <c r="L61" s="197"/>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197"/>
      <c r="H62" s="197"/>
      <c r="I62" s="197"/>
      <c r="J62" s="197"/>
      <c r="K62" s="197"/>
      <c r="L62" s="197"/>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421.43200000000002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421.43200000000002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14.638999999999999</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53.170999999999999</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67.81</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67.81</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-353.62200000000001</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8"/>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1.526209553910739</v>
      </c>
      <c r="G73" s="48">
        <v>1.2809548573249903</v>
      </c>
      <c r="H73" s="48">
        <v>1.1175303432122186</v>
      </c>
      <c r="I73" s="48">
        <v>1.0660224576752302</v>
      </c>
      <c r="J73" s="48">
        <v>1.0197833430982686</v>
      </c>
      <c r="K73" s="48">
        <v>0.84243596830661505</v>
      </c>
      <c r="L73" s="48">
        <v>0.177063480243046</v>
      </c>
      <c r="M73" s="48">
        <v>0.27383004186195115</v>
      </c>
      <c r="N73" s="48"/>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46.414585698070375</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8"/>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 ref="U7:U8"/>
    <mergeCell ref="R10:S10"/>
    <mergeCell ref="R11:S11"/>
    <mergeCell ref="R12:S12"/>
    <mergeCell ref="L9:M9"/>
    <mergeCell ref="L12:M12"/>
    <mergeCell ref="G60:H60"/>
    <mergeCell ref="G61:H62"/>
    <mergeCell ref="I60:J60"/>
    <mergeCell ref="I61:J62"/>
    <mergeCell ref="L2:O2"/>
    <mergeCell ref="L13:M14"/>
    <mergeCell ref="J5:M5"/>
    <mergeCell ref="K60:L60"/>
    <mergeCell ref="K61:L6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workbookViewId="0">
      <selection activeCell="A18" sqref="A18:XFD18"/>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1.85546875" bestFit="1" customWidth="1"/>
    <col min="8" max="8" width="16" bestFit="1"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114" customFormat="1" ht="17.100000000000001" customHeight="1" x14ac:dyDescent="0.25">
      <c r="A1" s="142" t="s">
        <v>106</v>
      </c>
      <c r="B1" s="143" t="s">
        <v>107</v>
      </c>
      <c r="C1" s="144" t="s">
        <v>108</v>
      </c>
      <c r="D1" s="144" t="s">
        <v>129</v>
      </c>
      <c r="E1" s="144" t="s">
        <v>109</v>
      </c>
      <c r="F1" s="144" t="s">
        <v>110</v>
      </c>
      <c r="G1" s="144" t="s">
        <v>130</v>
      </c>
      <c r="H1" s="145" t="s">
        <v>111</v>
      </c>
      <c r="I1" s="145" t="s">
        <v>61</v>
      </c>
      <c r="J1" s="145" t="s">
        <v>123</v>
      </c>
      <c r="K1" s="145" t="s">
        <v>112</v>
      </c>
      <c r="L1" s="145" t="s">
        <v>121</v>
      </c>
      <c r="M1" s="145" t="s">
        <v>122</v>
      </c>
      <c r="N1" s="145" t="s">
        <v>126</v>
      </c>
      <c r="O1" s="145" t="s">
        <v>124</v>
      </c>
      <c r="P1" s="145" t="s">
        <v>125</v>
      </c>
      <c r="Q1" s="145" t="s">
        <v>117</v>
      </c>
      <c r="R1" s="145" t="s">
        <v>113</v>
      </c>
      <c r="S1" s="145" t="s">
        <v>114</v>
      </c>
      <c r="T1" s="144" t="s">
        <v>115</v>
      </c>
    </row>
    <row r="2" spans="1:20" ht="17.100000000000001" customHeight="1" x14ac:dyDescent="0.25">
      <c r="A2" s="186" t="str" cm="1">
        <f t="array" ref="A2">_FV(B2,"Ticker symbol",TRUE)</f>
        <v>GOOGL</v>
      </c>
      <c r="B2" s="187" t="e" vm="10">
        <v>#VALUE!</v>
      </c>
      <c r="C2" s="188" t="str" cm="1">
        <f t="array" ref="C2">_FV(B2,"Industry")</f>
        <v>Software &amp; IT Services</v>
      </c>
      <c r="D2" s="189"/>
      <c r="E2" s="190" cm="1">
        <f t="array" ref="E2">_FV(B2,"Price")</f>
        <v>92.12</v>
      </c>
      <c r="F2" s="191">
        <v>5808</v>
      </c>
      <c r="G2" s="183">
        <f t="shared" ref="G2:G33" si="0">(F2/E2)^(1/5) -1</f>
        <v>1.2905223598917339</v>
      </c>
      <c r="H2" s="179">
        <f t="shared" ref="H2:H33" si="1">F2/E2</f>
        <v>63.048198002605297</v>
      </c>
      <c r="I2" s="136"/>
      <c r="J2" s="123" t="s">
        <v>96</v>
      </c>
      <c r="K2" s="123" t="s">
        <v>98</v>
      </c>
      <c r="L2" s="123"/>
      <c r="M2" s="128">
        <v>0.29499999999999998</v>
      </c>
      <c r="N2" s="128">
        <v>0.41149999999999998</v>
      </c>
      <c r="O2" s="128"/>
      <c r="P2" s="128">
        <v>0.8881</v>
      </c>
      <c r="Q2" s="128">
        <v>0.25900000000000001</v>
      </c>
      <c r="R2" s="123" t="s">
        <v>97</v>
      </c>
      <c r="S2" s="123" t="s">
        <v>94</v>
      </c>
      <c r="T2" s="146">
        <v>44633</v>
      </c>
    </row>
    <row r="3" spans="1:20" ht="17.100000000000001" customHeight="1" x14ac:dyDescent="0.25">
      <c r="A3" s="192" t="str" cm="1">
        <f t="array" ref="A3">_FV(B3,"Ticker symbol",TRUE)</f>
        <v>MSTR</v>
      </c>
      <c r="B3" s="115" t="e" vm="11">
        <v>#VALUE!</v>
      </c>
      <c r="C3" s="116" t="str" cm="1">
        <f t="array" ref="C3">_FV(B3,"Industry")</f>
        <v>Software &amp; IT Services</v>
      </c>
      <c r="D3" s="176"/>
      <c r="E3" s="117" cm="1">
        <f t="array" ref="E3">_FV(B3,"Price")</f>
        <v>216.97</v>
      </c>
      <c r="F3" s="193">
        <v>8499</v>
      </c>
      <c r="G3" s="184">
        <f t="shared" si="0"/>
        <v>1.0825413247357707</v>
      </c>
      <c r="H3" s="180">
        <f t="shared" si="1"/>
        <v>39.171314006544684</v>
      </c>
      <c r="I3" s="139"/>
      <c r="J3" s="121" t="s">
        <v>93</v>
      </c>
      <c r="K3" s="122"/>
      <c r="L3" s="122"/>
      <c r="M3" s="122"/>
      <c r="N3" s="122"/>
      <c r="O3" s="122"/>
      <c r="P3" s="122"/>
      <c r="Q3" s="122"/>
      <c r="R3" s="122"/>
      <c r="S3" s="123" t="s">
        <v>94</v>
      </c>
      <c r="T3" s="147">
        <v>44561</v>
      </c>
    </row>
    <row r="4" spans="1:20" ht="17.100000000000001" customHeight="1" x14ac:dyDescent="0.25">
      <c r="A4" s="192" t="str" cm="1">
        <f t="array" ref="A4">_FV(B4,"Ticker symbol",TRUE)</f>
        <v>TUEM</v>
      </c>
      <c r="B4" s="115" t="e" vm="12">
        <v>#VALUE!</v>
      </c>
      <c r="C4" s="116" t="str" cm="1">
        <f t="array" ref="C4">_FV(B4,"Industry")</f>
        <v>Diversified Retail</v>
      </c>
      <c r="D4" s="176"/>
      <c r="E4" s="117" cm="1">
        <f t="array" ref="E4">_FV(B4,"Price")</f>
        <v>0.46</v>
      </c>
      <c r="F4" s="137">
        <v>7.9</v>
      </c>
      <c r="G4" s="184">
        <f t="shared" si="0"/>
        <v>0.76593149397266269</v>
      </c>
      <c r="H4" s="179">
        <f t="shared" si="1"/>
        <v>17.173913043478262</v>
      </c>
      <c r="I4" s="177"/>
      <c r="J4" s="121" t="s">
        <v>93</v>
      </c>
      <c r="K4" s="121" t="s">
        <v>99</v>
      </c>
      <c r="L4" s="124"/>
      <c r="M4" s="125">
        <v>4.0000000000000001E-3</v>
      </c>
      <c r="N4" s="125">
        <v>-0.2104</v>
      </c>
      <c r="O4" s="125"/>
      <c r="P4" s="125">
        <v>-1.0179</v>
      </c>
      <c r="Q4" s="125">
        <v>3.7999999999999999E-2</v>
      </c>
      <c r="R4" s="121" t="s">
        <v>116</v>
      </c>
      <c r="S4" s="123" t="s">
        <v>94</v>
      </c>
      <c r="T4" s="147">
        <v>44868</v>
      </c>
    </row>
    <row r="5" spans="1:20" ht="17.100000000000001" customHeight="1" x14ac:dyDescent="0.25">
      <c r="A5" s="192" t="str" cm="1">
        <f t="array" ref="A5">_FV(B5,"Ticker symbol",TRUE)</f>
        <v>NTDOY</v>
      </c>
      <c r="B5" s="115" t="e" vm="13">
        <v>#VALUE!</v>
      </c>
      <c r="C5" s="116" t="str" cm="1">
        <f t="array" ref="C5">_FV(B5,"Industry")</f>
        <v>Leisure Products</v>
      </c>
      <c r="D5" s="176"/>
      <c r="E5" s="117" cm="1">
        <f t="array" ref="E5">_FV(B5,"Price")</f>
        <v>10.45</v>
      </c>
      <c r="F5" s="137">
        <v>89</v>
      </c>
      <c r="G5" s="184">
        <f t="shared" si="0"/>
        <v>0.53481043494668001</v>
      </c>
      <c r="H5" s="179">
        <f t="shared" si="1"/>
        <v>8.5167464114832541</v>
      </c>
      <c r="I5" s="136"/>
      <c r="J5" s="123" t="s">
        <v>96</v>
      </c>
      <c r="K5" s="123" t="s">
        <v>98</v>
      </c>
      <c r="L5" s="123"/>
      <c r="M5" s="128">
        <v>0.28000000000000003</v>
      </c>
      <c r="N5" s="127">
        <v>0.1</v>
      </c>
      <c r="O5" s="127"/>
      <c r="P5" s="128">
        <v>0.2</v>
      </c>
      <c r="Q5" s="128">
        <v>0.25</v>
      </c>
      <c r="R5" s="123" t="s">
        <v>97</v>
      </c>
      <c r="S5" s="129" t="s">
        <v>103</v>
      </c>
      <c r="T5" s="147">
        <v>44622</v>
      </c>
    </row>
    <row r="6" spans="1:20" ht="17.100000000000001" customHeight="1" x14ac:dyDescent="0.25">
      <c r="A6" s="192" t="str" cm="1">
        <f t="array" ref="A6">_FV(B6,"Ticker symbol",TRUE)</f>
        <v>GBUS</v>
      </c>
      <c r="B6" s="115" t="e" vm="14">
        <v>#VALUE!</v>
      </c>
      <c r="C6" s="116" t="str" cm="1">
        <f t="array" ref="C6">_FV(B6,"Industry")</f>
        <v>Homebuilding &amp; Construction Supplies</v>
      </c>
      <c r="D6" s="176"/>
      <c r="E6" s="118" cm="1">
        <f t="array" ref="E6">_FV(B6,"Price")</f>
        <v>16.7</v>
      </c>
      <c r="F6" s="137">
        <v>87</v>
      </c>
      <c r="G6" s="184">
        <f t="shared" si="0"/>
        <v>0.39110706508513227</v>
      </c>
      <c r="H6" s="179">
        <f t="shared" si="1"/>
        <v>5.2095808383233537</v>
      </c>
      <c r="I6" s="136"/>
      <c r="J6" s="123" t="s">
        <v>96</v>
      </c>
      <c r="K6" s="126" t="s">
        <v>95</v>
      </c>
      <c r="L6" s="126"/>
      <c r="M6" s="127">
        <v>0.16</v>
      </c>
      <c r="N6" s="128">
        <v>0.4</v>
      </c>
      <c r="O6" s="128"/>
      <c r="P6" s="128">
        <v>1</v>
      </c>
      <c r="Q6" s="128">
        <v>0.42</v>
      </c>
      <c r="R6" s="123" t="s">
        <v>97</v>
      </c>
      <c r="S6" s="123" t="s">
        <v>94</v>
      </c>
      <c r="T6" s="147">
        <v>44670</v>
      </c>
    </row>
    <row r="7" spans="1:20" ht="17.100000000000001" customHeight="1" x14ac:dyDescent="0.25">
      <c r="A7" s="192" t="str" cm="1">
        <f t="array" ref="A7">_FV(B7,"Ticker symbol",TRUE)</f>
        <v>327</v>
      </c>
      <c r="B7" s="115" t="e" vm="15">
        <v>#VALUE!</v>
      </c>
      <c r="C7" s="116" t="str" cm="1">
        <f t="array" ref="C7">_FV(B7,"Industry")</f>
        <v>Office Equipment</v>
      </c>
      <c r="D7" s="176"/>
      <c r="E7" s="117" cm="1">
        <f t="array" ref="E7">_FV(B7,"Price")</f>
        <v>7.05</v>
      </c>
      <c r="F7" s="137">
        <v>36</v>
      </c>
      <c r="G7" s="184">
        <f t="shared" si="0"/>
        <v>0.38555151246969244</v>
      </c>
      <c r="H7" s="179">
        <f t="shared" si="1"/>
        <v>5.1063829787234045</v>
      </c>
      <c r="I7" s="135"/>
      <c r="J7" s="124" t="s">
        <v>99</v>
      </c>
      <c r="K7" s="126" t="s">
        <v>95</v>
      </c>
      <c r="L7" s="126"/>
      <c r="M7" s="127">
        <v>0.16</v>
      </c>
      <c r="N7" s="128">
        <v>0.1472</v>
      </c>
      <c r="O7" s="128"/>
      <c r="P7" s="128">
        <v>0.45150000000000001</v>
      </c>
      <c r="Q7" s="127">
        <v>0.17929999999999999</v>
      </c>
      <c r="R7" s="123" t="s">
        <v>97</v>
      </c>
      <c r="S7" s="123" t="s">
        <v>94</v>
      </c>
      <c r="T7" s="147">
        <v>44199</v>
      </c>
    </row>
    <row r="8" spans="1:20" ht="17.100000000000001" customHeight="1" x14ac:dyDescent="0.25">
      <c r="A8" s="192" t="str" cm="1">
        <f t="array" ref="A8">_FV(B8,"Ticker symbol",TRUE)</f>
        <v>HEAR</v>
      </c>
      <c r="B8" s="115" t="e" vm="16">
        <v>#VALUE!</v>
      </c>
      <c r="C8" s="116" t="str" cm="1">
        <f t="array" ref="C8">_FV(B8,"Industry")</f>
        <v>Computers, Phones &amp; Household Electronics</v>
      </c>
      <c r="D8" s="176"/>
      <c r="E8" s="117" cm="1">
        <f t="array" ref="E8">_FV(B8,"Price")</f>
        <v>8.86</v>
      </c>
      <c r="F8" s="137">
        <v>41</v>
      </c>
      <c r="G8" s="185">
        <f t="shared" si="0"/>
        <v>0.35853248284768946</v>
      </c>
      <c r="H8" s="179">
        <f t="shared" si="1"/>
        <v>4.6275395033860045</v>
      </c>
      <c r="I8" s="135"/>
      <c r="J8" s="126" t="s">
        <v>95</v>
      </c>
      <c r="K8" s="126" t="s">
        <v>95</v>
      </c>
      <c r="L8" s="126"/>
      <c r="M8" s="130">
        <v>4.8000000000000001E-2</v>
      </c>
      <c r="N8" s="125">
        <v>1.7399999999999999E-2</v>
      </c>
      <c r="O8" s="125"/>
      <c r="P8" s="125">
        <v>-0.54259999999999997</v>
      </c>
      <c r="Q8" s="131">
        <v>0.11899999999999999</v>
      </c>
      <c r="R8" s="123" t="s">
        <v>97</v>
      </c>
      <c r="S8" s="126" t="s">
        <v>95</v>
      </c>
      <c r="T8" s="147">
        <v>44584</v>
      </c>
    </row>
    <row r="9" spans="1:20" ht="17.100000000000001" customHeight="1" x14ac:dyDescent="0.25">
      <c r="A9" s="192" t="str" cm="1">
        <f t="array" ref="A9">_FV(B9,"Ticker symbol",TRUE)</f>
        <v>BOTB</v>
      </c>
      <c r="B9" s="115" t="e" vm="17">
        <v>#VALUE!</v>
      </c>
      <c r="C9" s="116" t="str" cm="1">
        <f t="array" ref="C9">_FV(B9,"Industry")</f>
        <v>Hotels &amp; Entertainment Services</v>
      </c>
      <c r="D9" s="176"/>
      <c r="E9" s="117" cm="1">
        <f t="array" ref="E9">_FV(B9,"Price")/100</f>
        <v>3.78</v>
      </c>
      <c r="F9" s="137">
        <v>16</v>
      </c>
      <c r="G9" s="184">
        <f t="shared" si="0"/>
        <v>0.33452168934997695</v>
      </c>
      <c r="H9" s="179">
        <f t="shared" si="1"/>
        <v>4.2328042328042335</v>
      </c>
      <c r="I9" s="135"/>
      <c r="J9" s="126" t="s">
        <v>95</v>
      </c>
      <c r="K9" s="121" t="s">
        <v>99</v>
      </c>
      <c r="L9" s="124"/>
      <c r="M9" s="127">
        <v>0.2</v>
      </c>
      <c r="N9" s="128">
        <v>1.5</v>
      </c>
      <c r="O9" s="128"/>
      <c r="P9" s="128">
        <v>1</v>
      </c>
      <c r="Q9" s="128">
        <v>1.6</v>
      </c>
      <c r="R9" s="123" t="s">
        <v>97</v>
      </c>
      <c r="S9" s="129" t="s">
        <v>103</v>
      </c>
      <c r="T9" s="147">
        <v>44714</v>
      </c>
    </row>
    <row r="10" spans="1:20" ht="17.100000000000001" customHeight="1" x14ac:dyDescent="0.25">
      <c r="A10" s="192" t="str" cm="1">
        <f t="array" ref="A10">_FV(B10,"Ticker symbol",TRUE)</f>
        <v>AQB</v>
      </c>
      <c r="B10" s="115" t="e" vm="18">
        <v>#VALUE!</v>
      </c>
      <c r="C10" s="116" t="str" cm="1">
        <f t="array" ref="C10">_FV(B10,"Industry")</f>
        <v>Biotechnology &amp; Medical Research</v>
      </c>
      <c r="D10" s="176"/>
      <c r="E10" s="117" cm="1">
        <f t="array" ref="E10">_FV(B10,"Price")</f>
        <v>0.95269999999999999</v>
      </c>
      <c r="F10" s="137">
        <v>4</v>
      </c>
      <c r="G10" s="184">
        <f t="shared" si="0"/>
        <v>0.33235748238267848</v>
      </c>
      <c r="H10" s="179">
        <f t="shared" si="1"/>
        <v>4.1985934711871522</v>
      </c>
      <c r="I10" s="139"/>
      <c r="J10" s="121" t="s">
        <v>93</v>
      </c>
      <c r="K10" s="123" t="s">
        <v>98</v>
      </c>
      <c r="L10" s="123"/>
      <c r="M10" s="125">
        <v>-19.001000000000001</v>
      </c>
      <c r="N10" s="128">
        <v>8.2026000000000003</v>
      </c>
      <c r="O10" s="128"/>
      <c r="P10" s="128">
        <v>0.36109999999999998</v>
      </c>
      <c r="Q10" s="125">
        <v>-0.10199999999999999</v>
      </c>
      <c r="R10" s="123" t="s">
        <v>97</v>
      </c>
      <c r="S10" s="126" t="s">
        <v>95</v>
      </c>
      <c r="T10" s="147">
        <v>44575</v>
      </c>
    </row>
    <row r="11" spans="1:20" ht="17.100000000000001" customHeight="1" x14ac:dyDescent="0.25">
      <c r="A11" s="192" t="str" cm="1">
        <f t="array" ref="A11">_FV(B11,"Ticker symbol",TRUE)</f>
        <v>HZO</v>
      </c>
      <c r="B11" s="115" t="e" vm="19">
        <v>#VALUE!</v>
      </c>
      <c r="C11" s="116" t="str" cm="1">
        <f t="array" ref="C11">_FV(B11,"Industry")</f>
        <v>Leisure Products</v>
      </c>
      <c r="D11" s="176"/>
      <c r="E11" s="117" cm="1">
        <f t="array" ref="E11">_FV(B11,"Price")</f>
        <v>34.47</v>
      </c>
      <c r="F11" s="137">
        <v>143</v>
      </c>
      <c r="G11" s="184">
        <f t="shared" si="0"/>
        <v>0.32916516537824836</v>
      </c>
      <c r="H11" s="179">
        <f t="shared" si="1"/>
        <v>4.1485349579344355</v>
      </c>
      <c r="I11" s="140"/>
      <c r="J11" s="124" t="s">
        <v>99</v>
      </c>
      <c r="K11" s="126" t="s">
        <v>95</v>
      </c>
      <c r="L11" s="126"/>
      <c r="M11" s="130">
        <v>7.4999999999999997E-2</v>
      </c>
      <c r="N11" s="128">
        <v>0.36670000000000003</v>
      </c>
      <c r="O11" s="128"/>
      <c r="P11" s="128">
        <v>1.0765</v>
      </c>
      <c r="Q11" s="127">
        <v>0.20799999999999999</v>
      </c>
      <c r="R11" s="129" t="s">
        <v>101</v>
      </c>
      <c r="S11" s="126" t="s">
        <v>95</v>
      </c>
      <c r="T11" s="147">
        <v>44584</v>
      </c>
    </row>
    <row r="12" spans="1:20" ht="17.100000000000001" customHeight="1" x14ac:dyDescent="0.25">
      <c r="A12" s="192" t="str" cm="1">
        <f t="array" ref="A12">_FV(B12,"Ticker symbol",TRUE)</f>
        <v>FLWS</v>
      </c>
      <c r="B12" s="115" t="e" vm="20">
        <v>#VALUE!</v>
      </c>
      <c r="C12" s="116" t="str" cm="1">
        <f t="array" ref="C12">_FV(B12,"Industry")</f>
        <v>Specialty Retailers</v>
      </c>
      <c r="D12" s="176"/>
      <c r="E12" s="117" cm="1">
        <f t="array" ref="E12">_FV(B12,"Price")</f>
        <v>10.43</v>
      </c>
      <c r="F12" s="137">
        <v>40</v>
      </c>
      <c r="G12" s="184">
        <f t="shared" si="0"/>
        <v>0.30844398958991581</v>
      </c>
      <c r="H12" s="179">
        <f t="shared" si="1"/>
        <v>3.8350910834132312</v>
      </c>
      <c r="I12" s="140"/>
      <c r="J12" s="124" t="s">
        <v>99</v>
      </c>
      <c r="K12" s="129" t="s">
        <v>100</v>
      </c>
      <c r="L12" s="129"/>
      <c r="M12" s="130">
        <v>5.6000000000000001E-2</v>
      </c>
      <c r="N12" s="128">
        <v>0.42470000000000002</v>
      </c>
      <c r="O12" s="128"/>
      <c r="P12" s="128">
        <v>1.0111000000000001</v>
      </c>
      <c r="Q12" s="127">
        <v>0.152</v>
      </c>
      <c r="R12" s="129" t="s">
        <v>101</v>
      </c>
      <c r="S12" s="123" t="s">
        <v>94</v>
      </c>
      <c r="T12" s="147">
        <v>44868</v>
      </c>
    </row>
    <row r="13" spans="1:20" ht="17.100000000000001" customHeight="1" x14ac:dyDescent="0.25">
      <c r="A13" s="192" t="str" cm="1">
        <f t="array" ref="A13">_FV(B13,"Ticker symbol",TRUE)</f>
        <v>NGMS</v>
      </c>
      <c r="B13" s="115" t="e" vm="21">
        <v>#VALUE!</v>
      </c>
      <c r="C13" s="116" t="str" cm="1">
        <f t="array" ref="C13">_FV(B13,"Industry")</f>
        <v>Software &amp; IT Services</v>
      </c>
      <c r="D13" s="176"/>
      <c r="E13" s="117" cm="1">
        <f t="array" ref="E13">_FV(B13,"Price")</f>
        <v>12.26</v>
      </c>
      <c r="F13" s="137">
        <v>47</v>
      </c>
      <c r="G13" s="184">
        <f t="shared" si="0"/>
        <v>0.30834258547304283</v>
      </c>
      <c r="H13" s="180">
        <f t="shared" si="1"/>
        <v>3.8336052202283852</v>
      </c>
      <c r="I13" s="135">
        <v>0.06</v>
      </c>
      <c r="J13" s="124" t="s">
        <v>99</v>
      </c>
      <c r="K13" s="123" t="s">
        <v>98</v>
      </c>
      <c r="L13" s="136">
        <v>1</v>
      </c>
      <c r="M13" s="130">
        <v>0.13</v>
      </c>
      <c r="N13" s="128">
        <v>0.28999999999999998</v>
      </c>
      <c r="O13" s="128"/>
      <c r="P13" s="128"/>
      <c r="Q13" s="128">
        <v>0.4</v>
      </c>
      <c r="R13" s="123" t="s">
        <v>97</v>
      </c>
      <c r="S13" s="123" t="s">
        <v>94</v>
      </c>
      <c r="T13" s="147">
        <v>44685</v>
      </c>
    </row>
    <row r="14" spans="1:20" ht="17.100000000000001" customHeight="1" x14ac:dyDescent="0.25">
      <c r="A14" s="192" t="str" cm="1">
        <f t="array" ref="A14">_FV(B14,"Ticker symbol",TRUE)</f>
        <v>META</v>
      </c>
      <c r="B14" s="115" t="e" vm="22">
        <v>#VALUE!</v>
      </c>
      <c r="C14" s="116" t="str" cm="1">
        <f t="array" ref="C14">_FV(B14,"Industry")</f>
        <v>Software &amp; IT Services</v>
      </c>
      <c r="D14" s="176"/>
      <c r="E14" s="117" cm="1">
        <f t="array" ref="E14">_FV(B14,"Price")</f>
        <v>136.97999999999999</v>
      </c>
      <c r="F14" s="137">
        <v>516</v>
      </c>
      <c r="G14" s="184">
        <f t="shared" si="0"/>
        <v>0.30376256796223222</v>
      </c>
      <c r="H14" s="179">
        <f t="shared" si="1"/>
        <v>3.7669732807709155</v>
      </c>
      <c r="I14" s="171"/>
      <c r="J14" s="174" t="s">
        <v>96</v>
      </c>
      <c r="K14" s="174" t="s">
        <v>98</v>
      </c>
      <c r="L14" s="174"/>
      <c r="M14" s="132">
        <v>0.33400000000000002</v>
      </c>
      <c r="N14" s="132">
        <v>0.37180000000000002</v>
      </c>
      <c r="O14" s="132"/>
      <c r="P14" s="132">
        <v>0.3508</v>
      </c>
      <c r="Q14" s="132">
        <v>0.27200000000000002</v>
      </c>
      <c r="R14" s="174" t="s">
        <v>97</v>
      </c>
      <c r="S14" s="174" t="s">
        <v>94</v>
      </c>
      <c r="T14" s="147">
        <v>44595</v>
      </c>
    </row>
    <row r="15" spans="1:20" ht="17.100000000000001" customHeight="1" x14ac:dyDescent="0.25">
      <c r="A15" s="192" t="str" cm="1">
        <f t="array" ref="A15">_FV(B15,"Ticker symbol",TRUE)</f>
        <v>SFTBF</v>
      </c>
      <c r="B15" s="115" t="e" vm="23">
        <v>#VALUE!</v>
      </c>
      <c r="C15" s="116" t="str" cm="1">
        <f t="array" ref="C15">_FV(B15,"Industry")</f>
        <v>Telecommunications Services</v>
      </c>
      <c r="D15" s="176"/>
      <c r="E15" s="117" cm="1">
        <f t="array" ref="E15">_FV(B15,"Price")</f>
        <v>45.2</v>
      </c>
      <c r="F15" s="137">
        <v>156</v>
      </c>
      <c r="G15" s="184">
        <f t="shared" si="0"/>
        <v>0.28114189291375657</v>
      </c>
      <c r="H15" s="179">
        <f t="shared" si="1"/>
        <v>3.4513274336283182</v>
      </c>
      <c r="I15" s="135"/>
      <c r="J15" s="124" t="s">
        <v>99</v>
      </c>
      <c r="K15" s="122"/>
      <c r="L15" s="122"/>
      <c r="M15" s="122"/>
      <c r="N15" s="122"/>
      <c r="O15" s="122"/>
      <c r="P15" s="122"/>
      <c r="Q15" s="122"/>
      <c r="R15" s="122"/>
      <c r="S15" s="123" t="s">
        <v>94</v>
      </c>
      <c r="T15" s="147">
        <v>44694</v>
      </c>
    </row>
    <row r="16" spans="1:20" ht="17.100000000000001" customHeight="1" x14ac:dyDescent="0.25">
      <c r="A16" s="192" t="str" cm="1">
        <f t="array" ref="A16">_FV(B16,"Ticker symbol",TRUE)</f>
        <v>CRMT</v>
      </c>
      <c r="B16" s="115" t="e" vm="24">
        <v>#VALUE!</v>
      </c>
      <c r="C16" s="116" t="str" cm="1">
        <f t="array" ref="C16">_FV(B16,"Industry")</f>
        <v>Specialty Retailers</v>
      </c>
      <c r="D16" s="176"/>
      <c r="E16" s="117" cm="1">
        <f t="array" ref="E16">_FV(B16,"Price")</f>
        <v>78.400000000000006</v>
      </c>
      <c r="F16" s="137">
        <v>227</v>
      </c>
      <c r="G16" s="184">
        <f t="shared" si="0"/>
        <v>0.23692098867179734</v>
      </c>
      <c r="H16" s="179">
        <f t="shared" si="1"/>
        <v>2.8954081632653059</v>
      </c>
      <c r="I16" s="135"/>
      <c r="J16" s="126" t="s">
        <v>95</v>
      </c>
      <c r="K16" s="126" t="s">
        <v>95</v>
      </c>
      <c r="L16" s="126"/>
      <c r="M16" s="130">
        <v>0.113</v>
      </c>
      <c r="N16" s="128">
        <v>0.23369999999999999</v>
      </c>
      <c r="O16" s="128"/>
      <c r="P16" s="128">
        <v>1.0283</v>
      </c>
      <c r="Q16" s="131">
        <v>0.13700000000000001</v>
      </c>
      <c r="R16" s="126" t="s">
        <v>102</v>
      </c>
      <c r="S16" s="129" t="s">
        <v>103</v>
      </c>
      <c r="T16" s="147">
        <v>44584</v>
      </c>
    </row>
    <row r="17" spans="1:20" ht="17.100000000000001" customHeight="1" x14ac:dyDescent="0.25">
      <c r="A17" s="192">
        <v>4934</v>
      </c>
      <c r="B17" s="115" t="s">
        <v>104</v>
      </c>
      <c r="C17" s="116" t="s">
        <v>105</v>
      </c>
      <c r="D17" s="176"/>
      <c r="E17" s="119">
        <v>3770</v>
      </c>
      <c r="F17" s="193">
        <v>9800</v>
      </c>
      <c r="G17" s="184">
        <f t="shared" si="0"/>
        <v>0.21053386959483555</v>
      </c>
      <c r="H17" s="179">
        <f t="shared" si="1"/>
        <v>2.5994694960212201</v>
      </c>
      <c r="I17" s="135"/>
      <c r="J17" s="126" t="s">
        <v>95</v>
      </c>
      <c r="K17" s="126" t="s">
        <v>95</v>
      </c>
      <c r="L17" s="126"/>
      <c r="M17" s="130">
        <v>7.0000000000000007E-2</v>
      </c>
      <c r="N17" s="128">
        <v>0.6</v>
      </c>
      <c r="O17" s="128"/>
      <c r="P17" s="128">
        <v>2</v>
      </c>
      <c r="Q17" s="128">
        <v>0.4</v>
      </c>
      <c r="R17" s="123" t="s">
        <v>97</v>
      </c>
      <c r="S17" s="129" t="s">
        <v>103</v>
      </c>
      <c r="T17" s="147">
        <v>44681</v>
      </c>
    </row>
    <row r="18" spans="1:20" ht="17.100000000000001" customHeight="1" x14ac:dyDescent="0.25">
      <c r="A18" s="192" t="str" cm="1">
        <f t="array" ref="A18">_FV(B18,"Ticker symbol",TRUE)</f>
        <v>EVVTY</v>
      </c>
      <c r="B18" s="115" t="e" vm="25">
        <v>#VALUE!</v>
      </c>
      <c r="C18" s="116" t="str" cm="1">
        <f t="array" ref="C18">_FV(B18,"Industry")</f>
        <v>Hotels &amp; Entertainment Services</v>
      </c>
      <c r="D18" s="176">
        <v>0.1</v>
      </c>
      <c r="E18" s="117" cm="1">
        <f t="array" ref="E18">_FV(B18,"Price")</f>
        <v>110.04</v>
      </c>
      <c r="F18" s="137">
        <v>276</v>
      </c>
      <c r="G18" s="184">
        <f t="shared" si="0"/>
        <v>0.20190931230385001</v>
      </c>
      <c r="H18" s="179">
        <f t="shared" si="1"/>
        <v>2.5081788440567063</v>
      </c>
      <c r="I18" s="136"/>
      <c r="J18" s="124" t="s">
        <v>99</v>
      </c>
      <c r="K18" s="123" t="s">
        <v>98</v>
      </c>
      <c r="L18" s="123"/>
      <c r="M18" s="128">
        <v>0.54</v>
      </c>
      <c r="N18" s="128">
        <v>0.90500000000000003</v>
      </c>
      <c r="O18" s="128"/>
      <c r="P18" s="128">
        <v>0.8</v>
      </c>
      <c r="Q18" s="127">
        <v>0.2</v>
      </c>
      <c r="R18" s="123" t="s">
        <v>97</v>
      </c>
      <c r="S18" s="123" t="s">
        <v>94</v>
      </c>
      <c r="T18" s="147">
        <v>44940</v>
      </c>
    </row>
    <row r="19" spans="1:20" ht="17.100000000000001" customHeight="1" x14ac:dyDescent="0.25">
      <c r="A19" s="192" t="str" cm="1">
        <f t="array" ref="A19">_FV(B19,"Ticker symbol",TRUE)</f>
        <v>NVDA</v>
      </c>
      <c r="B19" s="115" t="e" vm="26">
        <v>#VALUE!</v>
      </c>
      <c r="C19" s="116" t="str" cm="1">
        <f t="array" ref="C19">_FV(B19,"Industry")</f>
        <v>Semiconductors &amp; Semiconductor Equipment</v>
      </c>
      <c r="D19" s="176"/>
      <c r="E19" s="117" cm="1">
        <f t="array" ref="E19">_FV(B19,"Price")</f>
        <v>168.99</v>
      </c>
      <c r="F19" s="137">
        <v>310</v>
      </c>
      <c r="G19" s="184">
        <f t="shared" si="0"/>
        <v>0.12901610644397832</v>
      </c>
      <c r="H19" s="180">
        <f t="shared" si="1"/>
        <v>1.8344280726670217</v>
      </c>
      <c r="I19" s="139">
        <v>0.02</v>
      </c>
      <c r="J19" s="123" t="s">
        <v>96</v>
      </c>
      <c r="K19" s="123" t="s">
        <v>98</v>
      </c>
      <c r="L19" s="168">
        <v>0.65</v>
      </c>
      <c r="M19" s="128">
        <v>0.36</v>
      </c>
      <c r="N19" s="128">
        <v>0.3</v>
      </c>
      <c r="O19" s="132">
        <v>0.4</v>
      </c>
      <c r="P19" s="128">
        <v>0.42</v>
      </c>
      <c r="Q19" s="128">
        <v>0.41</v>
      </c>
      <c r="R19" s="123" t="s">
        <v>97</v>
      </c>
      <c r="S19" s="123" t="s">
        <v>94</v>
      </c>
      <c r="T19" s="147">
        <v>44687</v>
      </c>
    </row>
    <row r="20" spans="1:20" ht="17.100000000000001" customHeight="1" x14ac:dyDescent="0.25">
      <c r="A20" s="192" t="str" cm="1">
        <f t="array" ref="A20">_FV(B20,"Ticker symbol",TRUE)</f>
        <v>CRSR</v>
      </c>
      <c r="B20" s="115" t="e" vm="27">
        <v>#VALUE!</v>
      </c>
      <c r="C20" s="116" t="str" cm="1">
        <f t="array" ref="C20">_FV(B20,"Industry")</f>
        <v>Computers, Phones &amp; Household Electronics</v>
      </c>
      <c r="D20" s="176"/>
      <c r="E20" s="117" cm="1">
        <f t="array" ref="E20">_FV(B20,"Price")</f>
        <v>14.89</v>
      </c>
      <c r="F20" s="137">
        <v>26</v>
      </c>
      <c r="G20" s="184">
        <f t="shared" si="0"/>
        <v>0.11793288124381229</v>
      </c>
      <c r="H20" s="179">
        <f t="shared" si="1"/>
        <v>1.7461383478844861</v>
      </c>
      <c r="I20" s="140"/>
      <c r="J20" s="124" t="s">
        <v>99</v>
      </c>
      <c r="K20" s="129" t="s">
        <v>100</v>
      </c>
      <c r="L20" s="129"/>
      <c r="M20" s="130">
        <v>5.2999999999999999E-2</v>
      </c>
      <c r="N20" s="127">
        <v>0.11849999999999999</v>
      </c>
      <c r="O20" s="127"/>
      <c r="P20" s="125">
        <v>-2.1899999999999999E-2</v>
      </c>
      <c r="Q20" s="131">
        <v>0.13100000000000001</v>
      </c>
      <c r="R20" s="129" t="s">
        <v>101</v>
      </c>
      <c r="S20" s="129" t="s">
        <v>103</v>
      </c>
      <c r="T20" s="148">
        <v>44599</v>
      </c>
    </row>
    <row r="21" spans="1:20" ht="17.100000000000001" customHeight="1" x14ac:dyDescent="0.25">
      <c r="A21" s="192" t="str" cm="1">
        <f t="array" ref="A21">_FV(B21,"Ticker symbol",TRUE)</f>
        <v>SAND</v>
      </c>
      <c r="B21" s="115" t="e" vm="28">
        <v>#VALUE!</v>
      </c>
      <c r="C21" s="116" t="str" cm="1">
        <f t="array" ref="C21">_FV(B21,"Industry")</f>
        <v>Metals &amp; Mining</v>
      </c>
      <c r="D21" s="176"/>
      <c r="E21" s="117" cm="1">
        <f t="array" ref="E21">_FV(B21,"Price")</f>
        <v>5.8550000000000004</v>
      </c>
      <c r="F21" s="137">
        <v>10</v>
      </c>
      <c r="G21" s="184">
        <f t="shared" si="0"/>
        <v>0.11299860529552652</v>
      </c>
      <c r="H21" s="179">
        <f t="shared" si="1"/>
        <v>1.7079419299743808</v>
      </c>
      <c r="I21" s="140"/>
      <c r="J21" s="124" t="s">
        <v>99</v>
      </c>
      <c r="K21" s="123" t="s">
        <v>98</v>
      </c>
      <c r="L21" s="123"/>
      <c r="M21" s="127">
        <v>0.24</v>
      </c>
      <c r="N21" s="128">
        <v>0.23469999999999999</v>
      </c>
      <c r="O21" s="132"/>
      <c r="P21" s="132">
        <v>0.99909999999999999</v>
      </c>
      <c r="Q21" s="125">
        <v>4.7E-2</v>
      </c>
      <c r="R21" s="123" t="s">
        <v>97</v>
      </c>
      <c r="S21" s="123" t="s">
        <v>94</v>
      </c>
      <c r="T21" s="147">
        <v>44584</v>
      </c>
    </row>
    <row r="22" spans="1:20" ht="17.100000000000001" customHeight="1" x14ac:dyDescent="0.25">
      <c r="A22" s="192" t="str" cm="1">
        <f t="array" ref="A22">_FV(B22,"Ticker symbol",TRUE)</f>
        <v>OPRA</v>
      </c>
      <c r="B22" s="115" t="e" vm="29">
        <v>#VALUE!</v>
      </c>
      <c r="C22" s="116" t="str" cm="1">
        <f t="array" ref="C22">_FV(B22,"Industry")</f>
        <v>Software &amp; IT Services</v>
      </c>
      <c r="D22" s="176"/>
      <c r="E22" s="117" cm="1">
        <f t="array" ref="E22">_FV(B22,"Price")</f>
        <v>6.89</v>
      </c>
      <c r="F22" s="137">
        <v>10</v>
      </c>
      <c r="G22" s="185">
        <f t="shared" si="0"/>
        <v>7.7348361810405608E-2</v>
      </c>
      <c r="H22" s="179">
        <f t="shared" si="1"/>
        <v>1.4513788098693761</v>
      </c>
      <c r="I22" s="136"/>
      <c r="J22" s="126" t="s">
        <v>95</v>
      </c>
      <c r="K22" s="121" t="s">
        <v>99</v>
      </c>
      <c r="L22" s="136">
        <v>0.94</v>
      </c>
      <c r="M22" s="125">
        <v>-6.3E-2</v>
      </c>
      <c r="N22" s="128">
        <v>0.13</v>
      </c>
      <c r="O22" s="173">
        <v>-0.1</v>
      </c>
      <c r="P22" s="173">
        <v>-1.72</v>
      </c>
      <c r="Q22" s="125">
        <v>2.5000000000000001E-2</v>
      </c>
      <c r="R22" s="123" t="s">
        <v>97</v>
      </c>
      <c r="S22" s="121" t="s">
        <v>128</v>
      </c>
      <c r="T22" s="147">
        <v>44694</v>
      </c>
    </row>
    <row r="23" spans="1:20" ht="17.100000000000001" customHeight="1" x14ac:dyDescent="0.25">
      <c r="A23" s="192" t="str" cm="1">
        <f t="array" ref="A23">_FV(B23,"Ticker symbol",TRUE)</f>
        <v>CROX</v>
      </c>
      <c r="B23" s="115" t="e" vm="30">
        <v>#VALUE!</v>
      </c>
      <c r="C23" s="116" t="str" cm="1">
        <f t="array" ref="C23">_FV(B23,"Industry")</f>
        <v>Textiles &amp; Apparel</v>
      </c>
      <c r="D23" s="176"/>
      <c r="E23" s="117" cm="1">
        <f t="array" ref="E23">_FV(B23,"Price")</f>
        <v>125.82</v>
      </c>
      <c r="F23" s="137">
        <v>180</v>
      </c>
      <c r="G23" s="184">
        <f t="shared" si="0"/>
        <v>7.4248027331504041E-2</v>
      </c>
      <c r="H23" s="180">
        <f t="shared" si="1"/>
        <v>1.4306151645207439</v>
      </c>
      <c r="I23" s="136">
        <v>0.11</v>
      </c>
      <c r="J23" s="123" t="s">
        <v>96</v>
      </c>
      <c r="K23" s="123" t="s">
        <v>98</v>
      </c>
      <c r="L23" s="168">
        <v>0.6</v>
      </c>
      <c r="M23" s="128">
        <v>0.3</v>
      </c>
      <c r="N23" s="127">
        <v>0.08</v>
      </c>
      <c r="O23" s="128">
        <v>0.25</v>
      </c>
      <c r="P23" s="128">
        <v>0.2</v>
      </c>
      <c r="Q23" s="128">
        <v>0.3</v>
      </c>
      <c r="R23" s="121" t="s">
        <v>116</v>
      </c>
      <c r="S23" s="123" t="s">
        <v>94</v>
      </c>
      <c r="T23" s="147">
        <v>44689</v>
      </c>
    </row>
    <row r="24" spans="1:20" ht="17.100000000000001" customHeight="1" x14ac:dyDescent="0.25">
      <c r="A24" s="192" t="str" cm="1">
        <f t="array" ref="A24">_FV(B24,"Ticker symbol",TRUE)</f>
        <v>ATHM</v>
      </c>
      <c r="B24" s="115" t="e" vm="31">
        <v>#VALUE!</v>
      </c>
      <c r="C24" s="116" t="str" cm="1">
        <f t="array" ref="C24">_FV(B24,"Industry")</f>
        <v>Media &amp; Publishing</v>
      </c>
      <c r="D24" s="176"/>
      <c r="E24" s="117" cm="1">
        <f t="array" ref="E24">_FV(B24,"Price")</f>
        <v>35.869999999999997</v>
      </c>
      <c r="F24" s="137">
        <v>49</v>
      </c>
      <c r="G24" s="185">
        <f t="shared" si="0"/>
        <v>6.4370773245915558E-2</v>
      </c>
      <c r="H24" s="179">
        <f t="shared" si="1"/>
        <v>1.3660440479509339</v>
      </c>
      <c r="I24" s="139"/>
      <c r="J24" s="121" t="s">
        <v>93</v>
      </c>
      <c r="K24" s="126" t="s">
        <v>95</v>
      </c>
      <c r="L24" s="136">
        <v>0.85</v>
      </c>
      <c r="M24" s="128">
        <v>0.35399999999999998</v>
      </c>
      <c r="N24" s="125">
        <v>0</v>
      </c>
      <c r="O24" s="125">
        <v>0.03</v>
      </c>
      <c r="P24" s="125">
        <v>-0.04</v>
      </c>
      <c r="Q24" s="131">
        <v>0.16700000000000001</v>
      </c>
      <c r="R24" s="123" t="s">
        <v>97</v>
      </c>
      <c r="S24" s="121" t="s">
        <v>128</v>
      </c>
      <c r="T24" s="147">
        <v>44694</v>
      </c>
    </row>
    <row r="25" spans="1:20" ht="17.100000000000001" customHeight="1" x14ac:dyDescent="0.25">
      <c r="A25" s="192" t="str" cm="1">
        <f t="array" ref="A25">_FV(B25,"Ticker symbol",TRUE)</f>
        <v>DNP</v>
      </c>
      <c r="B25" s="115" t="e" vm="32">
        <v>#VALUE!</v>
      </c>
      <c r="C25" s="116" t="str" cm="1">
        <f t="array" ref="C25">_FV(B25,"Industry")</f>
        <v>Food &amp; Drug Retailing</v>
      </c>
      <c r="D25" s="176"/>
      <c r="E25" s="120" cm="1">
        <f t="array" ref="E25">_FV(B25,"Price")</f>
        <v>363.5</v>
      </c>
      <c r="F25" s="137">
        <v>492</v>
      </c>
      <c r="G25" s="184">
        <f t="shared" si="0"/>
        <v>6.2409969782309282E-2</v>
      </c>
      <c r="H25" s="179">
        <f t="shared" si="1"/>
        <v>1.3535075653370015</v>
      </c>
      <c r="I25" s="136"/>
      <c r="J25" s="123" t="s">
        <v>96</v>
      </c>
      <c r="K25" s="123" t="s">
        <v>98</v>
      </c>
      <c r="L25" s="123"/>
      <c r="M25" s="130">
        <v>0.06</v>
      </c>
      <c r="N25" s="128">
        <v>0.3</v>
      </c>
      <c r="O25" s="132"/>
      <c r="P25" s="132">
        <v>0.25</v>
      </c>
      <c r="Q25" s="127">
        <v>0.22</v>
      </c>
      <c r="R25" s="129" t="s">
        <v>101</v>
      </c>
      <c r="S25" s="129" t="s">
        <v>103</v>
      </c>
      <c r="T25" s="147">
        <v>44631</v>
      </c>
    </row>
    <row r="26" spans="1:20" ht="17.100000000000001" customHeight="1" x14ac:dyDescent="0.25">
      <c r="A26" s="192" t="str" cm="1">
        <f t="array" ref="A26">_FV(B26,"Ticker symbol",TRUE)</f>
        <v>XPEL</v>
      </c>
      <c r="B26" s="115" t="e" vm="33">
        <v>#VALUE!</v>
      </c>
      <c r="C26" s="116" t="str" cm="1">
        <f t="array" ref="C26">_FV(B26,"Industry")</f>
        <v>Automobiles &amp; Auto Parts</v>
      </c>
      <c r="D26" s="176"/>
      <c r="E26" s="117" cm="1">
        <f t="array" ref="E26">_FV(B26,"Price")</f>
        <v>73.040000000000006</v>
      </c>
      <c r="F26" s="137">
        <v>98</v>
      </c>
      <c r="G26" s="184">
        <f t="shared" si="0"/>
        <v>6.0554673847449836E-2</v>
      </c>
      <c r="H26" s="180">
        <f t="shared" si="1"/>
        <v>1.3417305585980284</v>
      </c>
      <c r="I26" s="139">
        <v>0.01</v>
      </c>
      <c r="J26" s="123" t="s">
        <v>96</v>
      </c>
      <c r="K26" s="123" t="s">
        <v>98</v>
      </c>
      <c r="L26" s="130">
        <v>0.35</v>
      </c>
      <c r="M26" s="130">
        <v>0.12</v>
      </c>
      <c r="N26" s="128">
        <v>0.3</v>
      </c>
      <c r="O26" s="128">
        <v>0.3</v>
      </c>
      <c r="P26" s="128">
        <v>0.5</v>
      </c>
      <c r="Q26" s="141">
        <v>0.49</v>
      </c>
      <c r="R26" s="129" t="s">
        <v>101</v>
      </c>
      <c r="S26" s="123" t="s">
        <v>94</v>
      </c>
      <c r="T26" s="147">
        <v>44685</v>
      </c>
    </row>
    <row r="27" spans="1:20" ht="17.100000000000001" customHeight="1" x14ac:dyDescent="0.25">
      <c r="A27" s="192" t="str" cm="1">
        <f t="array" ref="A27">_FV(B27,"Ticker symbol",TRUE)</f>
        <v>1830</v>
      </c>
      <c r="B27" s="115" t="e" vm="34">
        <v>#VALUE!</v>
      </c>
      <c r="C27" s="116" t="str" cm="1">
        <f t="array" ref="C27">_FV(B27,"Industry")</f>
        <v>Personal &amp; Household Products &amp; Services</v>
      </c>
      <c r="D27" s="176"/>
      <c r="E27" s="117" cm="1">
        <f t="array" ref="E27">_FV(B27,"Price")</f>
        <v>4.4800000000000004</v>
      </c>
      <c r="F27" s="137">
        <v>6</v>
      </c>
      <c r="G27" s="184">
        <f t="shared" si="0"/>
        <v>6.0167892317174232E-2</v>
      </c>
      <c r="H27" s="179">
        <f t="shared" si="1"/>
        <v>1.3392857142857142</v>
      </c>
      <c r="I27" s="139"/>
      <c r="J27" s="121" t="s">
        <v>93</v>
      </c>
      <c r="K27" s="121" t="s">
        <v>99</v>
      </c>
      <c r="L27" s="124"/>
      <c r="M27" s="128">
        <v>0.26</v>
      </c>
      <c r="N27" s="128">
        <v>0.3</v>
      </c>
      <c r="O27" s="128"/>
      <c r="P27" s="128">
        <v>0.25</v>
      </c>
      <c r="Q27" s="128">
        <v>0.32</v>
      </c>
      <c r="R27" s="123" t="s">
        <v>97</v>
      </c>
      <c r="S27" s="129" t="s">
        <v>103</v>
      </c>
      <c r="T27" s="147">
        <v>44671</v>
      </c>
    </row>
    <row r="28" spans="1:20" ht="17.100000000000001" customHeight="1" x14ac:dyDescent="0.25">
      <c r="A28" s="192" t="str" cm="1">
        <f t="array" ref="A28">_FV(B28,"Ticker symbol",TRUE)</f>
        <v>SPGI</v>
      </c>
      <c r="B28" s="115" t="e" vm="35">
        <v>#VALUE!</v>
      </c>
      <c r="C28" s="116" t="str" cm="1">
        <f t="array" ref="C28">_FV(B28,"Industry")</f>
        <v>Professional &amp; Commercial Services</v>
      </c>
      <c r="D28" s="176"/>
      <c r="E28" s="117" cm="1">
        <f t="array" ref="E28">_FV(B28,"Price")</f>
        <v>366.13</v>
      </c>
      <c r="F28" s="137">
        <v>471</v>
      </c>
      <c r="G28" s="184">
        <f t="shared" si="0"/>
        <v>5.1664267985658929E-2</v>
      </c>
      <c r="H28" s="180">
        <f t="shared" si="1"/>
        <v>1.2864283178106137</v>
      </c>
      <c r="I28" s="136">
        <v>0.03</v>
      </c>
      <c r="J28" s="123" t="s">
        <v>96</v>
      </c>
      <c r="K28" s="123" t="s">
        <v>98</v>
      </c>
      <c r="L28" s="168">
        <v>0.73</v>
      </c>
      <c r="M28" s="128">
        <v>0.36</v>
      </c>
      <c r="N28" s="127">
        <v>0.1</v>
      </c>
      <c r="O28" s="132">
        <v>0.24</v>
      </c>
      <c r="P28" s="132">
        <v>0.2</v>
      </c>
      <c r="Q28" s="128">
        <v>0.36</v>
      </c>
      <c r="R28" s="123" t="s">
        <v>97</v>
      </c>
      <c r="S28" s="126"/>
      <c r="T28" s="147">
        <v>44694</v>
      </c>
    </row>
    <row r="29" spans="1:20" ht="17.100000000000001" customHeight="1" x14ac:dyDescent="0.25">
      <c r="A29" s="192" t="str" cm="1">
        <f t="array" ref="A29">_FV(B29,"Ticker symbol",TRUE)</f>
        <v>FLEX</v>
      </c>
      <c r="B29" s="115" t="e" vm="36">
        <v>#VALUE!</v>
      </c>
      <c r="C29" s="116" t="str" cm="1">
        <f t="array" ref="C29">_FV(B29,"Industry")</f>
        <v>Electronic Equipment &amp; Parts</v>
      </c>
      <c r="D29" s="176"/>
      <c r="E29" s="117" cm="1">
        <f t="array" ref="E29">_FV(B29,"Price")</f>
        <v>24.03</v>
      </c>
      <c r="F29" s="137">
        <v>29</v>
      </c>
      <c r="G29" s="184">
        <f t="shared" si="0"/>
        <v>3.8314324195243499E-2</v>
      </c>
      <c r="H29" s="181">
        <f t="shared" si="1"/>
        <v>1.2068248023304202</v>
      </c>
      <c r="I29" s="135"/>
      <c r="J29" s="126" t="s">
        <v>95</v>
      </c>
      <c r="K29" s="126" t="s">
        <v>95</v>
      </c>
      <c r="L29" s="126"/>
      <c r="M29" s="175">
        <v>2.5000000000000001E-2</v>
      </c>
      <c r="N29" s="175">
        <v>-3.5000000000000001E-3</v>
      </c>
      <c r="O29" s="125"/>
      <c r="P29" s="128">
        <v>5.9993999999999996</v>
      </c>
      <c r="Q29" s="172">
        <v>9.2999999999999999E-2</v>
      </c>
      <c r="R29" s="126" t="s">
        <v>102</v>
      </c>
      <c r="S29" s="129" t="s">
        <v>103</v>
      </c>
      <c r="T29" s="149">
        <v>44584</v>
      </c>
    </row>
    <row r="30" spans="1:20" ht="17.100000000000001" customHeight="1" x14ac:dyDescent="0.25">
      <c r="A30" s="192" t="str" cm="1">
        <f t="array" ref="A30">_FV(B30,"Ticker symbol",TRUE)</f>
        <v>MTCH</v>
      </c>
      <c r="B30" s="115" t="e" vm="37">
        <v>#VALUE!</v>
      </c>
      <c r="C30" s="116" t="str" cm="1">
        <f t="array" ref="C30">_FV(B30,"Industry")</f>
        <v>Software &amp; IT Services</v>
      </c>
      <c r="D30" s="176"/>
      <c r="E30" s="117" cm="1">
        <f t="array" ref="E30">_FV(B30,"Price")</f>
        <v>46.13</v>
      </c>
      <c r="F30" s="137">
        <v>46</v>
      </c>
      <c r="G30" s="184">
        <f t="shared" si="0"/>
        <v>-5.6426096100037348E-4</v>
      </c>
      <c r="H30" s="181">
        <f t="shared" si="1"/>
        <v>0.99718187730327335</v>
      </c>
      <c r="I30" s="136"/>
      <c r="J30" s="123" t="s">
        <v>96</v>
      </c>
      <c r="K30" s="123" t="s">
        <v>98</v>
      </c>
      <c r="L30" s="123"/>
      <c r="M30" s="130">
        <v>9.2999999999999999E-2</v>
      </c>
      <c r="N30" s="138">
        <v>0.24759999999999999</v>
      </c>
      <c r="O30" s="128"/>
      <c r="P30" s="132">
        <v>1.1601999999999999</v>
      </c>
      <c r="Q30" s="131">
        <v>0.108</v>
      </c>
      <c r="R30" s="129" t="s">
        <v>101</v>
      </c>
      <c r="S30" s="126" t="s">
        <v>95</v>
      </c>
      <c r="T30" s="149">
        <v>44631</v>
      </c>
    </row>
    <row r="31" spans="1:20" ht="17.100000000000001" customHeight="1" x14ac:dyDescent="0.25">
      <c r="A31" s="192" t="str" cm="1">
        <f t="array" ref="A31">_FV(B31,"Ticker symbol",TRUE)</f>
        <v>GMWKF</v>
      </c>
      <c r="B31" s="115" t="e" vm="38">
        <v>#VALUE!</v>
      </c>
      <c r="C31" s="116" t="str" cm="1">
        <f t="array" ref="C31">_FV(B31,"Industry")</f>
        <v>Leisure Products</v>
      </c>
      <c r="D31" s="176"/>
      <c r="E31" s="117" cm="1">
        <f t="array" ref="E31">_FV(B31,"Price")</f>
        <v>114.5</v>
      </c>
      <c r="F31" s="137">
        <v>101</v>
      </c>
      <c r="G31" s="184">
        <f t="shared" si="0"/>
        <v>-2.4778701804655467E-2</v>
      </c>
      <c r="H31" s="181">
        <f t="shared" si="1"/>
        <v>0.88209606986899558</v>
      </c>
      <c r="I31" s="169"/>
      <c r="J31" s="123" t="s">
        <v>96</v>
      </c>
      <c r="K31" s="123" t="s">
        <v>98</v>
      </c>
      <c r="L31" s="123"/>
      <c r="M31" s="128">
        <v>0.33</v>
      </c>
      <c r="N31" s="128">
        <v>0.3</v>
      </c>
      <c r="O31" s="128"/>
      <c r="P31" s="132">
        <v>0.6</v>
      </c>
      <c r="Q31" s="128">
        <v>0.52</v>
      </c>
      <c r="R31" s="123" t="s">
        <v>97</v>
      </c>
      <c r="S31" s="123" t="s">
        <v>94</v>
      </c>
      <c r="T31" s="149">
        <v>44583</v>
      </c>
    </row>
    <row r="32" spans="1:20" ht="17.100000000000001" customHeight="1" x14ac:dyDescent="0.25">
      <c r="A32" s="192" t="str" cm="1">
        <f t="array" ref="A32">_FV(B32,"Ticker symbol",TRUE)</f>
        <v>MAD</v>
      </c>
      <c r="B32" s="115" t="e" vm="39">
        <v>#VALUE!</v>
      </c>
      <c r="C32" s="116" t="str" cm="1">
        <f t="array" ref="C32">_FV(B32,"Industry")</f>
        <v>Professional &amp; Commercial Services</v>
      </c>
      <c r="D32" s="176"/>
      <c r="E32" s="117" cm="1">
        <f t="array" ref="E32">_FV(B32,"Price")</f>
        <v>3.69</v>
      </c>
      <c r="F32" s="137">
        <v>3</v>
      </c>
      <c r="G32" s="184">
        <f t="shared" si="0"/>
        <v>-4.0557443874002841E-2</v>
      </c>
      <c r="H32" s="181">
        <f t="shared" si="1"/>
        <v>0.81300813008130079</v>
      </c>
      <c r="I32" s="169"/>
      <c r="J32" s="123" t="s">
        <v>96</v>
      </c>
      <c r="K32" s="126" t="s">
        <v>95</v>
      </c>
      <c r="L32" s="126"/>
      <c r="M32" s="125">
        <v>0.03</v>
      </c>
      <c r="N32" s="128">
        <v>0.3</v>
      </c>
      <c r="O32" s="128"/>
      <c r="P32" s="132">
        <v>0.2</v>
      </c>
      <c r="Q32" s="138">
        <v>0.25</v>
      </c>
      <c r="R32" s="126" t="s">
        <v>102</v>
      </c>
      <c r="S32" s="178" t="s">
        <v>94</v>
      </c>
      <c r="T32" s="149">
        <v>44653</v>
      </c>
    </row>
    <row r="33" spans="1:20" ht="17.100000000000001" customHeight="1" x14ac:dyDescent="0.25">
      <c r="A33" s="194" t="str" cm="1">
        <f t="array" ref="A33">_FV(B33,"Ticker symbol",TRUE)</f>
        <v>DOCS</v>
      </c>
      <c r="B33" s="156" t="e" vm="40">
        <v>#VALUE!</v>
      </c>
      <c r="C33" s="156" t="str" cm="1">
        <f t="array" ref="C33">_FV(B33,"Industry")</f>
        <v>Textiles &amp; Apparel</v>
      </c>
      <c r="D33" s="195"/>
      <c r="E33" s="157" cm="1">
        <f t="array" ref="E33">_FV(B33,"Price")/100</f>
        <v>2.1</v>
      </c>
      <c r="F33" s="158"/>
      <c r="G33" s="182">
        <f t="shared" si="0"/>
        <v>-1</v>
      </c>
      <c r="H33" s="181">
        <f t="shared" si="1"/>
        <v>0</v>
      </c>
      <c r="I33" s="140"/>
      <c r="J33" s="124" t="s">
        <v>99</v>
      </c>
      <c r="K33" s="123" t="s">
        <v>98</v>
      </c>
      <c r="L33" s="123"/>
      <c r="M33" s="123"/>
      <c r="N33" s="159"/>
      <c r="O33" s="159"/>
      <c r="P33" s="160"/>
      <c r="Q33" s="159"/>
      <c r="R33" s="159"/>
      <c r="S33" s="161"/>
      <c r="T33" s="148">
        <v>44677</v>
      </c>
    </row>
    <row r="34" spans="1:20" ht="15.75" x14ac:dyDescent="0.25">
      <c r="A34" s="151" t="s">
        <v>127</v>
      </c>
      <c r="B34" s="152">
        <f>SUBTOTAL(103,Tabla1[Nombre])</f>
        <v>32</v>
      </c>
      <c r="C34" s="152"/>
      <c r="D34" s="152"/>
      <c r="E34" s="153"/>
      <c r="F34" s="154"/>
      <c r="G34" s="154"/>
      <c r="H34" s="155">
        <f>MEDIAN(H2:H33)</f>
        <v>2.553824170038963</v>
      </c>
      <c r="I34" s="162">
        <f>SUBTOTAL(101,Tabla1[FCF Yield])</f>
        <v>4.5999999999999999E-2</v>
      </c>
      <c r="J34" s="165"/>
      <c r="K34" s="163"/>
      <c r="L34" s="170">
        <f>SUBTOTAL(101,Tabla1[M. Bruto])</f>
        <v>0.73142857142857132</v>
      </c>
      <c r="M34" s="166">
        <f>SUBTOTAL(101,Tabla1[M. Neto])</f>
        <v>-0.48324137931034505</v>
      </c>
      <c r="N34" s="164">
        <f>SUBTOTAL(101,Tabla1[Δ Rev.])</f>
        <v>0.56784482758620691</v>
      </c>
      <c r="O34" s="164">
        <f>SUBTOTAL(101,Tabla1[Δ FCF])</f>
        <v>0.18666666666666668</v>
      </c>
      <c r="P34" s="164">
        <f>SUBTOTAL(101,Tabla1[Δ EPS])</f>
        <v>0.62870357142857147</v>
      </c>
      <c r="Q34" s="166">
        <f>SUBTOTAL(101,Tabla1[CFROIC])</f>
        <v>0.27494137931034485</v>
      </c>
      <c r="R34" s="165"/>
      <c r="S34" s="167"/>
      <c r="T34" s="150">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B20" sqref="B20"/>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
  <sheetViews>
    <sheetView workbookViewId="0">
      <selection activeCell="B4" sqref="B4"/>
    </sheetView>
  </sheetViews>
  <sheetFormatPr baseColWidth="10" defaultColWidth="9.140625" defaultRowHeight="15" x14ac:dyDescent="0.25"/>
  <cols>
    <col min="1"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23.460999999999999</v>
      </c>
      <c r="M3" s="108"/>
      <c r="N3" s="104"/>
      <c r="O3" s="104"/>
      <c r="P3" s="109"/>
    </row>
    <row r="4" spans="1:16" x14ac:dyDescent="0.25">
      <c r="B4" s="93"/>
      <c r="M4" s="108"/>
      <c r="N4" s="104"/>
      <c r="O4" s="104"/>
      <c r="P4" s="109"/>
    </row>
    <row r="5" spans="1:16" ht="15.75" thickBot="1" x14ac:dyDescent="0.3">
      <c r="M5" s="110"/>
      <c r="N5" s="111"/>
      <c r="O5" s="111"/>
      <c r="P5"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1:J134"/>
  <sheetViews>
    <sheetView workbookViewId="0">
      <selection activeCell="J24" sqref="J24"/>
    </sheetView>
  </sheetViews>
  <sheetFormatPr baseColWidth="10" defaultColWidth="9.140625" defaultRowHeight="15" x14ac:dyDescent="0.25"/>
  <cols>
    <col min="1" max="1" width="43.140625" bestFit="1" customWidth="1"/>
    <col min="12" max="12" width="12" bestFit="1" customWidth="1"/>
  </cols>
  <sheetData>
    <row r="1" spans="1:10" x14ac:dyDescent="0.25">
      <c r="B1">
        <v>2013</v>
      </c>
      <c r="C1">
        <v>2014</v>
      </c>
      <c r="D1">
        <v>2015</v>
      </c>
      <c r="E1">
        <v>2016</v>
      </c>
      <c r="F1">
        <v>2017</v>
      </c>
      <c r="G1">
        <v>2018</v>
      </c>
      <c r="H1">
        <v>2019</v>
      </c>
      <c r="I1">
        <v>2020</v>
      </c>
      <c r="J1">
        <v>2021</v>
      </c>
    </row>
    <row r="2" spans="1:10" x14ac:dyDescent="0.25">
      <c r="A2" t="s">
        <v>1</v>
      </c>
      <c r="B2">
        <v>38770283</v>
      </c>
      <c r="C2">
        <v>48531553</v>
      </c>
      <c r="D2">
        <v>76359000</v>
      </c>
      <c r="E2">
        <v>115461000</v>
      </c>
      <c r="F2">
        <v>178385000</v>
      </c>
      <c r="G2">
        <v>245418000</v>
      </c>
      <c r="H2">
        <v>365752000</v>
      </c>
      <c r="I2">
        <v>561134000</v>
      </c>
      <c r="J2">
        <v>1068777000</v>
      </c>
    </row>
    <row r="3" spans="1:10" x14ac:dyDescent="0.25">
      <c r="A3" t="s">
        <v>132</v>
      </c>
      <c r="B3">
        <v>16318257</v>
      </c>
      <c r="C3">
        <v>18683310</v>
      </c>
      <c r="J3">
        <v>163565000</v>
      </c>
    </row>
    <row r="4" spans="1:10" x14ac:dyDescent="0.25">
      <c r="A4" t="s">
        <v>2</v>
      </c>
      <c r="B4">
        <v>22452026</v>
      </c>
      <c r="C4">
        <v>29848243</v>
      </c>
      <c r="J4">
        <v>905212000</v>
      </c>
    </row>
    <row r="5" spans="1:10" x14ac:dyDescent="0.25">
      <c r="A5" t="s">
        <v>134</v>
      </c>
      <c r="B5">
        <v>0.57909999999999995</v>
      </c>
      <c r="C5">
        <v>0.61499999999999999</v>
      </c>
      <c r="J5">
        <v>0.84699999999999998</v>
      </c>
    </row>
    <row r="6" spans="1:10" x14ac:dyDescent="0.25">
      <c r="A6" t="s">
        <v>135</v>
      </c>
      <c r="B6">
        <v>0</v>
      </c>
      <c r="C6">
        <v>0</v>
      </c>
      <c r="D6">
        <v>0</v>
      </c>
      <c r="E6">
        <v>0</v>
      </c>
      <c r="F6">
        <v>0</v>
      </c>
      <c r="G6">
        <v>0</v>
      </c>
      <c r="H6">
        <v>0</v>
      </c>
      <c r="I6">
        <v>0</v>
      </c>
      <c r="J6">
        <v>0</v>
      </c>
    </row>
    <row r="7" spans="1:10" x14ac:dyDescent="0.25">
      <c r="A7" t="s">
        <v>138</v>
      </c>
      <c r="B7">
        <v>0</v>
      </c>
      <c r="C7">
        <v>0</v>
      </c>
      <c r="D7">
        <v>0</v>
      </c>
      <c r="E7">
        <v>0</v>
      </c>
      <c r="F7">
        <v>0</v>
      </c>
      <c r="G7">
        <v>0</v>
      </c>
      <c r="H7">
        <v>0</v>
      </c>
      <c r="I7">
        <v>0</v>
      </c>
      <c r="J7">
        <v>0</v>
      </c>
    </row>
    <row r="8" spans="1:10" x14ac:dyDescent="0.25">
      <c r="A8" t="s">
        <v>139</v>
      </c>
      <c r="B8">
        <v>13821098</v>
      </c>
      <c r="C8">
        <v>16757058</v>
      </c>
      <c r="D8">
        <v>55276000</v>
      </c>
      <c r="E8">
        <v>80597000</v>
      </c>
      <c r="F8">
        <v>111504000</v>
      </c>
      <c r="G8">
        <v>155934000</v>
      </c>
      <c r="H8">
        <v>208280000</v>
      </c>
      <c r="I8">
        <v>261434000</v>
      </c>
      <c r="J8">
        <v>251208000</v>
      </c>
    </row>
    <row r="9" spans="1:10" x14ac:dyDescent="0.25">
      <c r="A9" t="s">
        <v>140</v>
      </c>
      <c r="B9">
        <v>13821098</v>
      </c>
      <c r="C9">
        <v>16757058</v>
      </c>
      <c r="D9">
        <v>55276000</v>
      </c>
      <c r="E9">
        <v>80597000</v>
      </c>
      <c r="F9">
        <v>111504000</v>
      </c>
      <c r="G9">
        <v>155934000</v>
      </c>
      <c r="H9">
        <v>208280000</v>
      </c>
      <c r="I9">
        <v>261434000</v>
      </c>
      <c r="J9">
        <v>251208000</v>
      </c>
    </row>
    <row r="10" spans="1:10" x14ac:dyDescent="0.25">
      <c r="A10" t="s">
        <v>141</v>
      </c>
      <c r="B10">
        <v>30139355</v>
      </c>
      <c r="C10">
        <v>35440368</v>
      </c>
      <c r="D10">
        <v>55276000</v>
      </c>
      <c r="E10">
        <v>80597000</v>
      </c>
      <c r="F10">
        <v>111504000</v>
      </c>
      <c r="G10">
        <v>155934000</v>
      </c>
      <c r="H10">
        <v>208280000</v>
      </c>
      <c r="I10">
        <v>261434000</v>
      </c>
      <c r="J10">
        <v>414773000</v>
      </c>
    </row>
    <row r="11" spans="1:10" x14ac:dyDescent="0.25">
      <c r="A11" t="s">
        <v>142</v>
      </c>
      <c r="B11">
        <v>19195</v>
      </c>
      <c r="C11">
        <v>9541</v>
      </c>
      <c r="D11">
        <v>6000</v>
      </c>
      <c r="E11">
        <v>10000</v>
      </c>
      <c r="F11">
        <v>6000</v>
      </c>
      <c r="G11">
        <v>13000</v>
      </c>
      <c r="H11">
        <v>45000</v>
      </c>
      <c r="I11">
        <v>47000</v>
      </c>
      <c r="J11">
        <v>230000</v>
      </c>
    </row>
    <row r="12" spans="1:10" x14ac:dyDescent="0.25">
      <c r="A12" t="s">
        <v>143</v>
      </c>
      <c r="B12">
        <v>0</v>
      </c>
      <c r="C12">
        <v>0</v>
      </c>
      <c r="D12">
        <v>1000</v>
      </c>
      <c r="E12">
        <v>227000</v>
      </c>
      <c r="F12">
        <v>182000</v>
      </c>
      <c r="G12">
        <v>159000</v>
      </c>
      <c r="H12">
        <v>218000</v>
      </c>
      <c r="I12">
        <v>1065000</v>
      </c>
      <c r="J12">
        <v>2800000</v>
      </c>
    </row>
    <row r="13" spans="1:10" x14ac:dyDescent="0.25">
      <c r="A13" t="s">
        <v>144</v>
      </c>
      <c r="B13">
        <v>3467671</v>
      </c>
      <c r="C13">
        <v>3892846</v>
      </c>
      <c r="D13">
        <v>5945000</v>
      </c>
      <c r="E13">
        <v>9760000</v>
      </c>
      <c r="F13">
        <v>13754000</v>
      </c>
      <c r="G13">
        <v>18197000</v>
      </c>
      <c r="H13">
        <v>25476000</v>
      </c>
      <c r="I13">
        <v>32513000</v>
      </c>
      <c r="J13">
        <v>80646000</v>
      </c>
    </row>
    <row r="14" spans="1:10" x14ac:dyDescent="0.25">
      <c r="A14" t="s">
        <v>3</v>
      </c>
      <c r="B14">
        <v>11344391</v>
      </c>
      <c r="C14">
        <v>16993368</v>
      </c>
      <c r="D14">
        <v>27021000</v>
      </c>
      <c r="E14">
        <v>44617000</v>
      </c>
      <c r="F14">
        <v>80600000</v>
      </c>
      <c r="G14">
        <v>107682000</v>
      </c>
      <c r="H14">
        <v>182966000</v>
      </c>
      <c r="I14">
        <v>332260000</v>
      </c>
      <c r="J14">
        <v>730937000</v>
      </c>
    </row>
    <row r="15" spans="1:10" x14ac:dyDescent="0.25">
      <c r="A15" t="s">
        <v>145</v>
      </c>
      <c r="B15">
        <v>0.29260000000000003</v>
      </c>
      <c r="C15">
        <v>0.35020000000000001</v>
      </c>
      <c r="D15">
        <v>0.35389999999999999</v>
      </c>
      <c r="E15">
        <v>0.38640000000000002</v>
      </c>
      <c r="F15">
        <v>0.45179999999999998</v>
      </c>
      <c r="G15">
        <v>0.43880000000000002</v>
      </c>
      <c r="H15">
        <v>0.50019999999999998</v>
      </c>
      <c r="I15">
        <v>0.59209999999999996</v>
      </c>
      <c r="J15">
        <v>0.68389999999999995</v>
      </c>
    </row>
    <row r="16" spans="1:10" x14ac:dyDescent="0.25">
      <c r="A16" t="s">
        <v>4</v>
      </c>
      <c r="B16">
        <v>8630928</v>
      </c>
      <c r="C16">
        <v>13091185</v>
      </c>
      <c r="D16">
        <v>21083000</v>
      </c>
      <c r="E16">
        <v>34864000</v>
      </c>
      <c r="F16">
        <v>66881000</v>
      </c>
      <c r="G16">
        <v>89484000</v>
      </c>
      <c r="H16">
        <v>157472000</v>
      </c>
      <c r="I16">
        <v>299700000</v>
      </c>
      <c r="J16">
        <v>654004000</v>
      </c>
    </row>
    <row r="17" spans="1:10" x14ac:dyDescent="0.25">
      <c r="A17" t="s">
        <v>146</v>
      </c>
      <c r="B17">
        <v>0.22259999999999999</v>
      </c>
      <c r="C17">
        <v>0.2697</v>
      </c>
      <c r="D17">
        <v>0.27610000000000001</v>
      </c>
      <c r="E17">
        <v>0.30199999999999999</v>
      </c>
      <c r="F17">
        <v>0.37490000000000001</v>
      </c>
      <c r="G17">
        <v>0.36459999999999998</v>
      </c>
      <c r="H17">
        <v>0.43049999999999999</v>
      </c>
      <c r="I17">
        <v>0.53410000000000002</v>
      </c>
      <c r="J17">
        <v>0.6119</v>
      </c>
    </row>
    <row r="18" spans="1:10" x14ac:dyDescent="0.25">
      <c r="A18" t="s">
        <v>147</v>
      </c>
      <c r="B18">
        <v>-754208</v>
      </c>
      <c r="C18">
        <v>9337</v>
      </c>
      <c r="D18">
        <v>-7000</v>
      </c>
      <c r="E18">
        <v>-234000</v>
      </c>
      <c r="F18">
        <v>-217000</v>
      </c>
      <c r="G18">
        <v>-158000</v>
      </c>
      <c r="H18">
        <v>-200000</v>
      </c>
      <c r="I18">
        <v>-1018000</v>
      </c>
      <c r="J18">
        <v>-6513000</v>
      </c>
    </row>
    <row r="19" spans="1:10" x14ac:dyDescent="0.25">
      <c r="A19" t="s">
        <v>148</v>
      </c>
      <c r="B19">
        <v>7876720</v>
      </c>
      <c r="C19">
        <v>13100522</v>
      </c>
      <c r="D19">
        <v>21076000</v>
      </c>
      <c r="E19">
        <v>34630000</v>
      </c>
      <c r="F19">
        <v>66664000</v>
      </c>
      <c r="G19">
        <v>89326000</v>
      </c>
      <c r="H19">
        <v>157272000</v>
      </c>
      <c r="I19">
        <v>298682000</v>
      </c>
      <c r="J19">
        <v>647491000</v>
      </c>
    </row>
    <row r="20" spans="1:10" x14ac:dyDescent="0.25">
      <c r="A20" t="s">
        <v>149</v>
      </c>
      <c r="B20">
        <v>0.20319999999999999</v>
      </c>
      <c r="C20">
        <v>0.26989999999999997</v>
      </c>
      <c r="D20">
        <v>0.27600000000000002</v>
      </c>
      <c r="E20">
        <v>0.2999</v>
      </c>
      <c r="F20">
        <v>0.37369999999999998</v>
      </c>
      <c r="G20">
        <v>0.36399999999999999</v>
      </c>
      <c r="H20">
        <v>0.43</v>
      </c>
      <c r="I20">
        <v>0.5323</v>
      </c>
      <c r="J20">
        <v>0.60580000000000001</v>
      </c>
    </row>
    <row r="21" spans="1:10" x14ac:dyDescent="0.25">
      <c r="A21" t="s">
        <v>150</v>
      </c>
      <c r="B21">
        <v>708932</v>
      </c>
      <c r="C21">
        <v>1003137</v>
      </c>
      <c r="D21">
        <v>1047000</v>
      </c>
      <c r="E21">
        <v>2890000</v>
      </c>
      <c r="F21">
        <v>4535000</v>
      </c>
      <c r="G21">
        <v>5866000</v>
      </c>
      <c r="H21">
        <v>7546000</v>
      </c>
      <c r="I21">
        <v>14060000</v>
      </c>
      <c r="J21">
        <v>42056000</v>
      </c>
    </row>
    <row r="22" spans="1:10" x14ac:dyDescent="0.25">
      <c r="A22" t="s">
        <v>5</v>
      </c>
      <c r="B22">
        <v>7167788</v>
      </c>
      <c r="C22">
        <v>12097385</v>
      </c>
      <c r="D22">
        <v>20028000</v>
      </c>
      <c r="E22">
        <v>31740000</v>
      </c>
      <c r="F22">
        <v>62129000</v>
      </c>
      <c r="G22">
        <v>83460000</v>
      </c>
      <c r="H22">
        <v>149726000</v>
      </c>
      <c r="I22">
        <v>284622000</v>
      </c>
      <c r="J22">
        <v>605435000</v>
      </c>
    </row>
    <row r="23" spans="1:10" x14ac:dyDescent="0.25">
      <c r="A23" t="s">
        <v>151</v>
      </c>
      <c r="B23">
        <v>0.18490000000000001</v>
      </c>
      <c r="C23">
        <v>0.24929999999999999</v>
      </c>
      <c r="D23">
        <v>0.26229999999999998</v>
      </c>
      <c r="E23">
        <v>0.27489999999999998</v>
      </c>
      <c r="F23">
        <v>0.3483</v>
      </c>
      <c r="G23">
        <v>0.34010000000000001</v>
      </c>
      <c r="H23">
        <v>0.40939999999999999</v>
      </c>
      <c r="I23">
        <v>0.50719999999999998</v>
      </c>
      <c r="J23">
        <v>0.5665</v>
      </c>
    </row>
    <row r="24" spans="1:10" x14ac:dyDescent="0.25">
      <c r="A24" t="s">
        <v>6</v>
      </c>
      <c r="B24">
        <v>0.04</v>
      </c>
      <c r="C24">
        <v>7.0000000000000007E-2</v>
      </c>
      <c r="D24">
        <v>0.11</v>
      </c>
      <c r="E24">
        <v>0.18</v>
      </c>
      <c r="F24">
        <v>0.35</v>
      </c>
      <c r="G24">
        <v>0.46</v>
      </c>
      <c r="H24">
        <v>0.83</v>
      </c>
      <c r="I24">
        <v>1.55</v>
      </c>
      <c r="J24">
        <v>3.29</v>
      </c>
    </row>
    <row r="25" spans="1:10" x14ac:dyDescent="0.25">
      <c r="A25" t="s">
        <v>152</v>
      </c>
      <c r="B25">
        <v>0.04</v>
      </c>
      <c r="C25">
        <v>7.0000000000000007E-2</v>
      </c>
      <c r="D25">
        <v>0.11</v>
      </c>
      <c r="E25">
        <v>0.18</v>
      </c>
      <c r="F25">
        <v>0.34</v>
      </c>
      <c r="G25">
        <v>0.46</v>
      </c>
      <c r="H25">
        <v>0.82</v>
      </c>
      <c r="I25">
        <v>1.51</v>
      </c>
      <c r="J25">
        <v>3.2</v>
      </c>
    </row>
    <row r="26" spans="1:10" x14ac:dyDescent="0.25">
      <c r="A26" t="s">
        <v>153</v>
      </c>
      <c r="B26">
        <v>179851885</v>
      </c>
      <c r="C26">
        <v>179851885</v>
      </c>
      <c r="D26">
        <v>179523070</v>
      </c>
      <c r="E26">
        <v>179851885</v>
      </c>
      <c r="F26">
        <v>179851885</v>
      </c>
      <c r="G26">
        <v>179851885</v>
      </c>
      <c r="H26">
        <v>180737305</v>
      </c>
      <c r="I26">
        <v>183927915</v>
      </c>
      <c r="J26">
        <v>183927915</v>
      </c>
    </row>
    <row r="27" spans="1:10" s="80" customFormat="1" x14ac:dyDescent="0.25">
      <c r="A27" s="80" t="s">
        <v>154</v>
      </c>
      <c r="B27" s="80">
        <v>179851885</v>
      </c>
      <c r="C27" s="80">
        <v>179851885</v>
      </c>
      <c r="D27" s="80">
        <v>179523070</v>
      </c>
      <c r="E27" s="80">
        <v>180764595</v>
      </c>
      <c r="F27" s="80">
        <v>181685230</v>
      </c>
      <c r="G27" s="80">
        <v>182625245</v>
      </c>
      <c r="H27" s="80">
        <v>183387341</v>
      </c>
      <c r="I27" s="80">
        <v>189021346</v>
      </c>
      <c r="J27" s="80">
        <v>189021346</v>
      </c>
    </row>
    <row r="28" spans="1:10" x14ac:dyDescent="0.25">
      <c r="A28" t="s">
        <v>157</v>
      </c>
      <c r="B28">
        <v>5602174</v>
      </c>
      <c r="C28">
        <v>8295043</v>
      </c>
      <c r="D28">
        <v>19930000</v>
      </c>
      <c r="E28">
        <v>26188000</v>
      </c>
      <c r="F28">
        <v>49272000</v>
      </c>
      <c r="G28">
        <v>84951000</v>
      </c>
      <c r="H28">
        <v>182520000</v>
      </c>
      <c r="I28">
        <v>221675000</v>
      </c>
      <c r="J28">
        <v>421432000</v>
      </c>
    </row>
    <row r="29" spans="1:10" x14ac:dyDescent="0.25">
      <c r="A29" t="s">
        <v>7</v>
      </c>
      <c r="B29">
        <v>0</v>
      </c>
      <c r="C29">
        <v>0</v>
      </c>
      <c r="D29">
        <v>0</v>
      </c>
      <c r="E29">
        <v>0</v>
      </c>
      <c r="F29">
        <v>0</v>
      </c>
      <c r="G29">
        <v>0</v>
      </c>
      <c r="H29">
        <v>0</v>
      </c>
      <c r="I29">
        <v>0</v>
      </c>
      <c r="J29">
        <v>0</v>
      </c>
    </row>
    <row r="30" spans="1:10" x14ac:dyDescent="0.25">
      <c r="A30" t="s">
        <v>8</v>
      </c>
      <c r="B30">
        <v>5602174</v>
      </c>
      <c r="C30">
        <v>8295043</v>
      </c>
      <c r="D30">
        <v>19930000</v>
      </c>
      <c r="E30">
        <v>26188000</v>
      </c>
      <c r="F30">
        <v>49272000</v>
      </c>
      <c r="G30">
        <v>84951000</v>
      </c>
      <c r="H30">
        <v>182520000</v>
      </c>
      <c r="I30">
        <v>221675000</v>
      </c>
      <c r="J30">
        <v>421432000</v>
      </c>
    </row>
    <row r="31" spans="1:10" x14ac:dyDescent="0.25">
      <c r="A31" t="s">
        <v>158</v>
      </c>
      <c r="B31">
        <v>0</v>
      </c>
      <c r="C31">
        <v>0</v>
      </c>
      <c r="D31">
        <v>0</v>
      </c>
      <c r="E31">
        <v>0</v>
      </c>
      <c r="F31">
        <v>0</v>
      </c>
      <c r="G31">
        <v>0</v>
      </c>
      <c r="H31">
        <v>0</v>
      </c>
      <c r="I31">
        <v>0</v>
      </c>
      <c r="J31">
        <v>0</v>
      </c>
    </row>
    <row r="32" spans="1:10" x14ac:dyDescent="0.25">
      <c r="A32" t="s">
        <v>159</v>
      </c>
      <c r="B32">
        <v>0</v>
      </c>
      <c r="C32">
        <v>0</v>
      </c>
      <c r="D32">
        <v>0</v>
      </c>
      <c r="E32">
        <v>0</v>
      </c>
      <c r="F32">
        <v>0</v>
      </c>
      <c r="G32">
        <v>845000</v>
      </c>
      <c r="H32">
        <v>1395000</v>
      </c>
      <c r="I32">
        <v>1475000</v>
      </c>
      <c r="J32">
        <v>3524000</v>
      </c>
    </row>
    <row r="33" spans="1:10" x14ac:dyDescent="0.25">
      <c r="A33" t="s">
        <v>160</v>
      </c>
      <c r="B33">
        <v>8101414</v>
      </c>
      <c r="C33">
        <v>12074085</v>
      </c>
      <c r="D33">
        <v>21369000</v>
      </c>
      <c r="E33">
        <v>37266000</v>
      </c>
      <c r="F33">
        <v>69526000</v>
      </c>
      <c r="G33">
        <v>92766000</v>
      </c>
      <c r="H33">
        <v>145254000</v>
      </c>
      <c r="I33">
        <v>276079000</v>
      </c>
      <c r="J33">
        <v>384456000</v>
      </c>
    </row>
    <row r="34" spans="1:10" x14ac:dyDescent="0.25">
      <c r="A34" t="s">
        <v>161</v>
      </c>
      <c r="B34">
        <v>13703588</v>
      </c>
      <c r="C34">
        <v>20369128</v>
      </c>
      <c r="D34">
        <v>41299000</v>
      </c>
      <c r="E34">
        <v>63454000</v>
      </c>
      <c r="F34">
        <v>118798000</v>
      </c>
      <c r="G34">
        <v>178562000</v>
      </c>
      <c r="H34">
        <v>329169000</v>
      </c>
      <c r="I34">
        <v>499229000</v>
      </c>
      <c r="J34">
        <v>809412000</v>
      </c>
    </row>
    <row r="35" spans="1:10" x14ac:dyDescent="0.25">
      <c r="A35" t="s">
        <v>162</v>
      </c>
      <c r="B35">
        <v>4912023</v>
      </c>
      <c r="C35">
        <v>4834910</v>
      </c>
      <c r="D35">
        <v>7343000</v>
      </c>
      <c r="E35">
        <v>24340000</v>
      </c>
      <c r="F35">
        <v>29463000</v>
      </c>
      <c r="G35">
        <v>39619000</v>
      </c>
      <c r="H35">
        <v>67489000</v>
      </c>
      <c r="I35">
        <v>106365000</v>
      </c>
      <c r="J35">
        <v>134467000</v>
      </c>
    </row>
    <row r="36" spans="1:10" x14ac:dyDescent="0.25">
      <c r="A36" t="s">
        <v>163</v>
      </c>
      <c r="B36">
        <v>0</v>
      </c>
      <c r="C36">
        <v>0</v>
      </c>
      <c r="D36">
        <v>0</v>
      </c>
      <c r="E36">
        <v>0</v>
      </c>
      <c r="F36">
        <v>0</v>
      </c>
      <c r="G36">
        <v>0</v>
      </c>
      <c r="H36">
        <v>12485000</v>
      </c>
      <c r="I36">
        <v>1834333000</v>
      </c>
      <c r="J36">
        <v>2188482000</v>
      </c>
    </row>
    <row r="37" spans="1:10" x14ac:dyDescent="0.25">
      <c r="A37" t="s">
        <v>164</v>
      </c>
      <c r="B37">
        <v>4398641</v>
      </c>
      <c r="C37">
        <v>6550092</v>
      </c>
      <c r="D37">
        <v>10032000</v>
      </c>
      <c r="E37">
        <v>14452000</v>
      </c>
      <c r="F37">
        <v>16567000</v>
      </c>
      <c r="G37">
        <v>21344000</v>
      </c>
      <c r="H37">
        <v>23743000</v>
      </c>
      <c r="I37">
        <v>723187000</v>
      </c>
      <c r="J37">
        <v>757250000</v>
      </c>
    </row>
    <row r="38" spans="1:10" x14ac:dyDescent="0.25">
      <c r="A38" t="s">
        <v>165</v>
      </c>
      <c r="B38">
        <v>0</v>
      </c>
      <c r="C38">
        <v>0</v>
      </c>
      <c r="D38">
        <v>0</v>
      </c>
      <c r="E38">
        <v>0</v>
      </c>
      <c r="F38">
        <v>0</v>
      </c>
      <c r="G38">
        <v>0</v>
      </c>
      <c r="H38">
        <v>0</v>
      </c>
      <c r="I38">
        <v>0</v>
      </c>
      <c r="J38">
        <v>0</v>
      </c>
    </row>
    <row r="39" spans="1:10" x14ac:dyDescent="0.25">
      <c r="A39" t="s">
        <v>166</v>
      </c>
      <c r="B39">
        <v>0</v>
      </c>
      <c r="C39">
        <v>0</v>
      </c>
      <c r="D39">
        <v>617000</v>
      </c>
      <c r="E39">
        <v>550000</v>
      </c>
      <c r="F39">
        <v>78000</v>
      </c>
      <c r="G39">
        <v>180000</v>
      </c>
      <c r="H39">
        <v>156000</v>
      </c>
      <c r="I39">
        <v>2696000</v>
      </c>
      <c r="J39">
        <v>2360000</v>
      </c>
    </row>
    <row r="40" spans="1:10" x14ac:dyDescent="0.25">
      <c r="A40" t="s">
        <v>167</v>
      </c>
      <c r="B40">
        <v>49659</v>
      </c>
      <c r="C40">
        <v>44618</v>
      </c>
      <c r="D40">
        <v>320000</v>
      </c>
      <c r="E40">
        <v>522000</v>
      </c>
      <c r="F40">
        <v>2431000</v>
      </c>
      <c r="G40">
        <v>952000</v>
      </c>
      <c r="H40">
        <v>1118000</v>
      </c>
      <c r="I40">
        <v>3302000</v>
      </c>
      <c r="J40">
        <v>11096000</v>
      </c>
    </row>
    <row r="41" spans="1:10" x14ac:dyDescent="0.25">
      <c r="A41" t="s">
        <v>168</v>
      </c>
      <c r="B41">
        <v>9360323</v>
      </c>
      <c r="C41">
        <v>11429620</v>
      </c>
      <c r="D41">
        <v>18312000</v>
      </c>
      <c r="E41">
        <v>39864000</v>
      </c>
      <c r="F41">
        <v>48539000</v>
      </c>
      <c r="G41">
        <v>62095000</v>
      </c>
      <c r="H41">
        <v>104991000</v>
      </c>
      <c r="I41">
        <v>2669883000</v>
      </c>
      <c r="J41">
        <v>3093655000</v>
      </c>
    </row>
    <row r="42" spans="1:10" x14ac:dyDescent="0.25">
      <c r="A42" t="s">
        <v>169</v>
      </c>
      <c r="B42">
        <v>0</v>
      </c>
      <c r="C42">
        <v>0</v>
      </c>
      <c r="D42">
        <v>0</v>
      </c>
      <c r="E42">
        <v>0</v>
      </c>
      <c r="F42">
        <v>0</v>
      </c>
      <c r="G42">
        <v>0</v>
      </c>
      <c r="H42">
        <v>0</v>
      </c>
      <c r="I42">
        <v>0</v>
      </c>
      <c r="J42">
        <v>0</v>
      </c>
    </row>
    <row r="43" spans="1:10" x14ac:dyDescent="0.25">
      <c r="A43" t="s">
        <v>170</v>
      </c>
      <c r="B43">
        <v>23063911</v>
      </c>
      <c r="C43">
        <v>31798748</v>
      </c>
      <c r="D43">
        <v>59611000</v>
      </c>
      <c r="E43">
        <v>103318000</v>
      </c>
      <c r="F43">
        <v>167337000</v>
      </c>
      <c r="G43">
        <v>240657000</v>
      </c>
      <c r="H43">
        <v>434160000</v>
      </c>
      <c r="I43">
        <v>3169112000</v>
      </c>
      <c r="J43">
        <v>3903067000</v>
      </c>
    </row>
    <row r="44" spans="1:10" x14ac:dyDescent="0.25">
      <c r="A44" t="s">
        <v>171</v>
      </c>
      <c r="B44">
        <v>754972</v>
      </c>
      <c r="C44">
        <v>607549</v>
      </c>
      <c r="D44">
        <v>2293000</v>
      </c>
      <c r="E44">
        <v>2169000</v>
      </c>
      <c r="F44">
        <v>3951000</v>
      </c>
      <c r="G44">
        <v>3190000</v>
      </c>
      <c r="H44">
        <v>5300000</v>
      </c>
      <c r="I44">
        <v>15335000</v>
      </c>
      <c r="J44">
        <v>8578000</v>
      </c>
    </row>
    <row r="45" spans="1:10" x14ac:dyDescent="0.25">
      <c r="A45" t="s">
        <v>9</v>
      </c>
      <c r="B45">
        <v>2629451</v>
      </c>
      <c r="C45">
        <v>4545108</v>
      </c>
      <c r="D45">
        <v>7227000</v>
      </c>
      <c r="E45">
        <v>1130000</v>
      </c>
      <c r="F45">
        <v>950000</v>
      </c>
      <c r="G45">
        <v>950000</v>
      </c>
      <c r="H45">
        <v>9555000</v>
      </c>
      <c r="I45">
        <v>11891000</v>
      </c>
      <c r="J45">
        <v>14639000</v>
      </c>
    </row>
    <row r="46" spans="1:10" x14ac:dyDescent="0.25">
      <c r="A46" t="s">
        <v>172</v>
      </c>
      <c r="B46">
        <v>2629451</v>
      </c>
      <c r="C46">
        <v>4545108</v>
      </c>
      <c r="D46">
        <v>7227000</v>
      </c>
      <c r="E46">
        <v>18695000</v>
      </c>
      <c r="F46">
        <v>31898000</v>
      </c>
      <c r="G46">
        <v>49939000</v>
      </c>
      <c r="H46">
        <v>81524000</v>
      </c>
      <c r="I46">
        <v>164082000</v>
      </c>
      <c r="J46">
        <v>189053000</v>
      </c>
    </row>
    <row r="47" spans="1:10" x14ac:dyDescent="0.25">
      <c r="A47" t="s">
        <v>173</v>
      </c>
      <c r="B47">
        <v>0</v>
      </c>
      <c r="C47">
        <v>0</v>
      </c>
      <c r="D47">
        <v>0</v>
      </c>
      <c r="E47">
        <v>0</v>
      </c>
      <c r="F47">
        <v>0</v>
      </c>
      <c r="G47">
        <v>0</v>
      </c>
      <c r="H47">
        <v>0</v>
      </c>
      <c r="I47">
        <v>0</v>
      </c>
      <c r="J47">
        <v>0</v>
      </c>
    </row>
    <row r="48" spans="1:10" x14ac:dyDescent="0.25">
      <c r="A48" t="s">
        <v>174</v>
      </c>
      <c r="B48">
        <v>5450466</v>
      </c>
      <c r="C48">
        <v>2738928</v>
      </c>
      <c r="D48">
        <v>5957000</v>
      </c>
      <c r="E48">
        <v>9257000</v>
      </c>
      <c r="F48">
        <v>13399000</v>
      </c>
      <c r="G48">
        <v>18689000</v>
      </c>
      <c r="H48">
        <v>41332000</v>
      </c>
      <c r="I48">
        <v>176889000</v>
      </c>
      <c r="J48">
        <v>157860000</v>
      </c>
    </row>
    <row r="49" spans="1:10" x14ac:dyDescent="0.25">
      <c r="A49" t="s">
        <v>175</v>
      </c>
      <c r="B49">
        <v>8834889</v>
      </c>
      <c r="C49">
        <v>7891585</v>
      </c>
      <c r="D49">
        <v>15477000</v>
      </c>
      <c r="E49">
        <v>31251000</v>
      </c>
      <c r="F49">
        <v>50198000</v>
      </c>
      <c r="G49">
        <v>72768000</v>
      </c>
      <c r="H49">
        <v>137711000</v>
      </c>
      <c r="I49">
        <v>368197000</v>
      </c>
      <c r="J49">
        <v>370130000</v>
      </c>
    </row>
    <row r="50" spans="1:10" x14ac:dyDescent="0.25">
      <c r="A50" t="s">
        <v>10</v>
      </c>
      <c r="B50">
        <v>0</v>
      </c>
      <c r="C50">
        <v>0</v>
      </c>
      <c r="D50">
        <v>0</v>
      </c>
      <c r="E50">
        <v>7441000</v>
      </c>
      <c r="F50">
        <v>6693000</v>
      </c>
      <c r="G50">
        <v>5619000</v>
      </c>
      <c r="H50">
        <v>15483000</v>
      </c>
      <c r="I50">
        <v>38078000</v>
      </c>
      <c r="J50">
        <v>53171000</v>
      </c>
    </row>
    <row r="51" spans="1:10" x14ac:dyDescent="0.25">
      <c r="A51" t="s">
        <v>176</v>
      </c>
      <c r="B51">
        <v>174646</v>
      </c>
      <c r="C51">
        <v>192129</v>
      </c>
      <c r="D51">
        <v>324000</v>
      </c>
      <c r="E51">
        <v>729000</v>
      </c>
      <c r="F51">
        <v>565000</v>
      </c>
      <c r="G51">
        <v>0</v>
      </c>
      <c r="H51">
        <v>69000</v>
      </c>
      <c r="I51">
        <v>36666000</v>
      </c>
      <c r="J51">
        <v>58816000</v>
      </c>
    </row>
    <row r="52" spans="1:10" x14ac:dyDescent="0.25">
      <c r="A52" t="s">
        <v>177</v>
      </c>
      <c r="E52">
        <v>1000</v>
      </c>
      <c r="J52">
        <v>230000000</v>
      </c>
    </row>
    <row r="53" spans="1:10" x14ac:dyDescent="0.25">
      <c r="A53" t="s">
        <v>178</v>
      </c>
      <c r="B53">
        <v>174646</v>
      </c>
      <c r="C53">
        <v>192129</v>
      </c>
      <c r="D53">
        <v>324000</v>
      </c>
      <c r="E53">
        <v>8171000</v>
      </c>
      <c r="F53">
        <v>7258000</v>
      </c>
      <c r="G53">
        <v>5619000</v>
      </c>
      <c r="H53">
        <v>15552000</v>
      </c>
      <c r="I53">
        <v>74744000</v>
      </c>
      <c r="J53">
        <v>341987000</v>
      </c>
    </row>
    <row r="54" spans="1:10" x14ac:dyDescent="0.25">
      <c r="A54" t="s">
        <v>179</v>
      </c>
      <c r="B54">
        <v>0</v>
      </c>
      <c r="C54">
        <v>0</v>
      </c>
      <c r="D54">
        <v>0</v>
      </c>
      <c r="E54">
        <v>0</v>
      </c>
      <c r="F54">
        <v>0</v>
      </c>
      <c r="G54">
        <v>0</v>
      </c>
      <c r="H54">
        <v>0</v>
      </c>
      <c r="I54">
        <v>0</v>
      </c>
      <c r="J54">
        <v>0</v>
      </c>
    </row>
    <row r="55" spans="1:10" x14ac:dyDescent="0.25">
      <c r="A55" t="s">
        <v>180</v>
      </c>
      <c r="B55">
        <v>0</v>
      </c>
      <c r="C55">
        <v>0</v>
      </c>
      <c r="D55">
        <v>0</v>
      </c>
      <c r="E55">
        <v>0</v>
      </c>
      <c r="F55">
        <v>0</v>
      </c>
      <c r="G55">
        <v>0</v>
      </c>
      <c r="H55">
        <v>19419000</v>
      </c>
      <c r="I55">
        <v>49969000</v>
      </c>
      <c r="J55">
        <v>67810000</v>
      </c>
    </row>
    <row r="56" spans="1:10" x14ac:dyDescent="0.25">
      <c r="A56" t="s">
        <v>181</v>
      </c>
      <c r="B56">
        <v>9009535</v>
      </c>
      <c r="C56">
        <v>8083714</v>
      </c>
      <c r="D56">
        <v>15801000</v>
      </c>
      <c r="E56">
        <v>39422000</v>
      </c>
      <c r="F56">
        <v>57456000</v>
      </c>
      <c r="G56">
        <v>78387000</v>
      </c>
      <c r="H56">
        <v>153263000</v>
      </c>
      <c r="I56">
        <v>442941000</v>
      </c>
      <c r="J56">
        <v>712117000</v>
      </c>
    </row>
    <row r="57" spans="1:10" x14ac:dyDescent="0.25">
      <c r="A57" t="s">
        <v>182</v>
      </c>
      <c r="B57">
        <v>0</v>
      </c>
      <c r="C57">
        <v>0</v>
      </c>
      <c r="D57">
        <v>0</v>
      </c>
      <c r="E57">
        <v>0</v>
      </c>
      <c r="F57">
        <v>0</v>
      </c>
      <c r="G57">
        <v>0</v>
      </c>
      <c r="H57">
        <v>0</v>
      </c>
      <c r="I57">
        <v>0</v>
      </c>
      <c r="J57">
        <v>0</v>
      </c>
    </row>
    <row r="58" spans="1:10" x14ac:dyDescent="0.25">
      <c r="A58" t="s">
        <v>183</v>
      </c>
      <c r="B58">
        <v>2658</v>
      </c>
      <c r="C58">
        <v>525540</v>
      </c>
      <c r="D58">
        <v>540000</v>
      </c>
      <c r="E58">
        <v>540000</v>
      </c>
      <c r="F58">
        <v>540000</v>
      </c>
      <c r="G58">
        <v>540000</v>
      </c>
      <c r="H58">
        <v>545000</v>
      </c>
      <c r="I58">
        <v>638000</v>
      </c>
      <c r="J58">
        <v>647000</v>
      </c>
    </row>
    <row r="59" spans="1:10" x14ac:dyDescent="0.25">
      <c r="A59" t="s">
        <v>184</v>
      </c>
      <c r="B59">
        <v>9302310</v>
      </c>
      <c r="C59">
        <v>18376813</v>
      </c>
      <c r="D59">
        <v>38405000</v>
      </c>
      <c r="E59">
        <v>58667000</v>
      </c>
      <c r="F59">
        <v>104688000</v>
      </c>
      <c r="G59">
        <v>155971000</v>
      </c>
      <c r="H59">
        <v>262823000</v>
      </c>
      <c r="I59">
        <v>462168000</v>
      </c>
      <c r="J59">
        <v>802967000</v>
      </c>
    </row>
    <row r="60" spans="1:10" x14ac:dyDescent="0.25">
      <c r="A60" t="s">
        <v>185</v>
      </c>
      <c r="B60">
        <v>0</v>
      </c>
      <c r="C60">
        <v>0</v>
      </c>
      <c r="D60">
        <v>0</v>
      </c>
      <c r="E60">
        <v>0</v>
      </c>
      <c r="F60">
        <v>0</v>
      </c>
      <c r="G60">
        <v>0</v>
      </c>
      <c r="H60">
        <v>0</v>
      </c>
      <c r="I60">
        <v>0</v>
      </c>
      <c r="J60">
        <v>0</v>
      </c>
    </row>
    <row r="61" spans="1:10" x14ac:dyDescent="0.25">
      <c r="A61" t="s">
        <v>186</v>
      </c>
      <c r="B61">
        <v>4749408</v>
      </c>
      <c r="C61">
        <v>4812680</v>
      </c>
      <c r="D61">
        <v>4867000</v>
      </c>
      <c r="E61">
        <v>4689000</v>
      </c>
      <c r="F61">
        <v>4653000</v>
      </c>
      <c r="G61">
        <v>5759000</v>
      </c>
      <c r="H61">
        <v>17529000</v>
      </c>
      <c r="I61">
        <v>2263365000</v>
      </c>
      <c r="J61">
        <v>2387336000</v>
      </c>
    </row>
    <row r="62" spans="1:10" x14ac:dyDescent="0.25">
      <c r="A62" t="s">
        <v>187</v>
      </c>
      <c r="B62">
        <v>14054376</v>
      </c>
      <c r="C62">
        <v>23715033</v>
      </c>
      <c r="D62">
        <v>43812000</v>
      </c>
      <c r="E62">
        <v>63896000</v>
      </c>
      <c r="F62">
        <v>109881000</v>
      </c>
      <c r="G62">
        <v>162270000</v>
      </c>
      <c r="H62">
        <v>280897000</v>
      </c>
      <c r="I62">
        <v>2726171000</v>
      </c>
      <c r="J62">
        <v>3190950000</v>
      </c>
    </row>
    <row r="63" spans="1:10" x14ac:dyDescent="0.25">
      <c r="A63" t="s">
        <v>188</v>
      </c>
      <c r="B63">
        <v>23063911</v>
      </c>
      <c r="C63">
        <v>31798747</v>
      </c>
      <c r="D63">
        <v>59613000</v>
      </c>
      <c r="E63">
        <v>103318000</v>
      </c>
      <c r="F63">
        <v>167337000</v>
      </c>
      <c r="G63">
        <v>240657000</v>
      </c>
      <c r="H63">
        <v>434160000</v>
      </c>
      <c r="I63">
        <v>3169112000</v>
      </c>
      <c r="J63">
        <v>3903067000</v>
      </c>
    </row>
    <row r="64" spans="1:10" x14ac:dyDescent="0.25">
      <c r="A64" t="s">
        <v>189</v>
      </c>
      <c r="B64">
        <v>0</v>
      </c>
      <c r="C64">
        <v>1</v>
      </c>
      <c r="D64">
        <v>-2000</v>
      </c>
      <c r="E64">
        <v>0</v>
      </c>
      <c r="F64">
        <v>0</v>
      </c>
      <c r="G64">
        <v>0</v>
      </c>
      <c r="H64">
        <v>0</v>
      </c>
      <c r="I64">
        <v>0</v>
      </c>
      <c r="J64">
        <v>0</v>
      </c>
    </row>
    <row r="65" spans="1:10" s="80" customFormat="1" x14ac:dyDescent="0.25">
      <c r="A65" s="80" t="s">
        <v>190</v>
      </c>
      <c r="B65" s="80">
        <v>23063911</v>
      </c>
      <c r="C65" s="80">
        <v>31798748</v>
      </c>
      <c r="D65" s="80">
        <v>59611000</v>
      </c>
      <c r="E65" s="80">
        <v>103318000</v>
      </c>
      <c r="F65" s="80">
        <v>167337000</v>
      </c>
      <c r="G65" s="80">
        <v>240657000</v>
      </c>
      <c r="H65" s="80">
        <v>434160000</v>
      </c>
      <c r="I65" s="80">
        <v>3169112000</v>
      </c>
      <c r="J65" s="80">
        <v>3903067000</v>
      </c>
    </row>
    <row r="66" spans="1:10" x14ac:dyDescent="0.25">
      <c r="A66" t="s">
        <v>192</v>
      </c>
      <c r="B66">
        <v>0</v>
      </c>
      <c r="C66">
        <v>0</v>
      </c>
      <c r="D66">
        <v>0</v>
      </c>
      <c r="E66">
        <v>0</v>
      </c>
      <c r="F66">
        <v>0</v>
      </c>
      <c r="G66">
        <v>0</v>
      </c>
      <c r="H66">
        <v>0</v>
      </c>
      <c r="I66">
        <v>0</v>
      </c>
      <c r="J66">
        <v>0</v>
      </c>
    </row>
    <row r="67" spans="1:10" x14ac:dyDescent="0.25">
      <c r="A67" t="s">
        <v>193</v>
      </c>
      <c r="B67">
        <v>0</v>
      </c>
      <c r="C67">
        <v>0</v>
      </c>
      <c r="D67">
        <v>0</v>
      </c>
      <c r="E67">
        <v>0</v>
      </c>
      <c r="F67">
        <v>0</v>
      </c>
      <c r="G67">
        <v>0</v>
      </c>
      <c r="H67">
        <v>0</v>
      </c>
      <c r="I67">
        <v>0</v>
      </c>
      <c r="J67">
        <v>0</v>
      </c>
    </row>
    <row r="68" spans="1:10" x14ac:dyDescent="0.25">
      <c r="A68" t="s">
        <v>194</v>
      </c>
      <c r="B68">
        <v>26742</v>
      </c>
      <c r="C68">
        <v>-2051205</v>
      </c>
      <c r="D68">
        <v>-2082000</v>
      </c>
      <c r="E68">
        <v>-3835000</v>
      </c>
      <c r="F68">
        <v>-15039000</v>
      </c>
      <c r="G68">
        <v>-5136000</v>
      </c>
      <c r="H68">
        <v>-2863000</v>
      </c>
      <c r="I68">
        <v>-34893000</v>
      </c>
      <c r="J68">
        <v>-95283000</v>
      </c>
    </row>
    <row r="69" spans="1:10" x14ac:dyDescent="0.25">
      <c r="A69" t="s">
        <v>195</v>
      </c>
      <c r="B69">
        <v>0</v>
      </c>
      <c r="C69">
        <v>0</v>
      </c>
      <c r="D69">
        <v>0</v>
      </c>
      <c r="E69">
        <v>0</v>
      </c>
      <c r="F69">
        <v>0</v>
      </c>
      <c r="G69">
        <v>0</v>
      </c>
      <c r="H69">
        <v>0</v>
      </c>
      <c r="I69">
        <v>0</v>
      </c>
      <c r="J69">
        <v>0</v>
      </c>
    </row>
    <row r="70" spans="1:10" x14ac:dyDescent="0.25">
      <c r="A70" t="s">
        <v>196</v>
      </c>
      <c r="B70">
        <v>0</v>
      </c>
      <c r="C70">
        <v>0</v>
      </c>
      <c r="D70">
        <v>0</v>
      </c>
      <c r="E70">
        <v>0</v>
      </c>
      <c r="F70">
        <v>0</v>
      </c>
      <c r="G70">
        <v>0</v>
      </c>
      <c r="H70">
        <v>0</v>
      </c>
      <c r="I70">
        <v>0</v>
      </c>
      <c r="J70">
        <v>0</v>
      </c>
    </row>
    <row r="71" spans="1:10" x14ac:dyDescent="0.25">
      <c r="A71" t="s">
        <v>197</v>
      </c>
      <c r="B71">
        <v>-197120</v>
      </c>
      <c r="C71">
        <v>279264</v>
      </c>
      <c r="D71">
        <v>-3000</v>
      </c>
      <c r="E71">
        <v>2362000</v>
      </c>
      <c r="F71">
        <v>1640000</v>
      </c>
      <c r="G71">
        <v>3515000</v>
      </c>
      <c r="H71">
        <v>3447000</v>
      </c>
      <c r="I71">
        <v>33809000</v>
      </c>
      <c r="J71">
        <v>8097000</v>
      </c>
    </row>
    <row r="72" spans="1:10" x14ac:dyDescent="0.25">
      <c r="A72" t="s">
        <v>198</v>
      </c>
      <c r="B72">
        <v>10465081</v>
      </c>
      <c r="C72">
        <v>14218290</v>
      </c>
      <c r="D72">
        <v>23888000</v>
      </c>
      <c r="E72">
        <v>40027000</v>
      </c>
      <c r="F72">
        <v>62484000</v>
      </c>
      <c r="G72">
        <v>100036000</v>
      </c>
      <c r="H72">
        <v>175786000</v>
      </c>
      <c r="I72">
        <v>316051000</v>
      </c>
      <c r="J72">
        <v>598895000</v>
      </c>
    </row>
    <row r="73" spans="1:10" x14ac:dyDescent="0.25">
      <c r="A73" t="s">
        <v>199</v>
      </c>
      <c r="B73">
        <v>-6625630</v>
      </c>
      <c r="C73">
        <v>-5967182</v>
      </c>
      <c r="D73">
        <v>-11936000</v>
      </c>
      <c r="E73">
        <v>-31182000</v>
      </c>
      <c r="F73">
        <v>-20949000</v>
      </c>
      <c r="G73">
        <v>-33130000</v>
      </c>
      <c r="H73">
        <v>-30108000</v>
      </c>
      <c r="I73">
        <v>-36886000</v>
      </c>
      <c r="J73">
        <v>-61592000</v>
      </c>
    </row>
    <row r="74" spans="1:10" x14ac:dyDescent="0.25">
      <c r="A74" t="s">
        <v>200</v>
      </c>
      <c r="B74">
        <v>3243677</v>
      </c>
      <c r="C74">
        <v>4252217</v>
      </c>
      <c r="D74">
        <v>7156000</v>
      </c>
      <c r="E74">
        <v>10209000</v>
      </c>
      <c r="F74">
        <v>10558000</v>
      </c>
      <c r="G74">
        <v>1480000</v>
      </c>
      <c r="H74">
        <v>-11812000</v>
      </c>
      <c r="I74">
        <v>46085000</v>
      </c>
      <c r="J74">
        <v>-92230000</v>
      </c>
    </row>
    <row r="75" spans="1:10" x14ac:dyDescent="0.25">
      <c r="A75" t="s">
        <v>201</v>
      </c>
      <c r="B75">
        <v>0</v>
      </c>
      <c r="C75">
        <v>0</v>
      </c>
      <c r="D75">
        <v>0</v>
      </c>
      <c r="E75">
        <v>-202000</v>
      </c>
      <c r="F75">
        <v>0</v>
      </c>
      <c r="G75">
        <v>15262000</v>
      </c>
      <c r="H75">
        <v>11158000</v>
      </c>
      <c r="I75">
        <v>13635000</v>
      </c>
      <c r="J75">
        <v>28285000</v>
      </c>
    </row>
    <row r="76" spans="1:10" x14ac:dyDescent="0.25">
      <c r="A76" t="s">
        <v>202</v>
      </c>
      <c r="B76">
        <v>0</v>
      </c>
      <c r="C76">
        <v>0</v>
      </c>
      <c r="D76">
        <v>0</v>
      </c>
      <c r="E76">
        <v>0</v>
      </c>
      <c r="F76">
        <v>0</v>
      </c>
      <c r="G76">
        <v>1480000</v>
      </c>
      <c r="H76">
        <v>0</v>
      </c>
      <c r="I76">
        <v>0</v>
      </c>
      <c r="J76">
        <v>0</v>
      </c>
    </row>
    <row r="77" spans="1:10" x14ac:dyDescent="0.25">
      <c r="A77" t="s">
        <v>203</v>
      </c>
      <c r="B77">
        <v>-3243677</v>
      </c>
      <c r="C77">
        <v>-4252217</v>
      </c>
      <c r="D77">
        <v>-7156000</v>
      </c>
      <c r="E77">
        <v>-10209000</v>
      </c>
      <c r="F77">
        <v>-11996000</v>
      </c>
      <c r="G77">
        <v>-16742000</v>
      </c>
      <c r="H77">
        <v>-11762000</v>
      </c>
      <c r="I77">
        <v>-16013000</v>
      </c>
      <c r="J77">
        <v>-29415000</v>
      </c>
    </row>
    <row r="78" spans="1:10" x14ac:dyDescent="0.25">
      <c r="A78" t="s">
        <v>204</v>
      </c>
      <c r="B78">
        <v>-6625630</v>
      </c>
      <c r="C78">
        <v>-5967182</v>
      </c>
      <c r="D78">
        <v>-11936000</v>
      </c>
      <c r="E78">
        <v>-31384000</v>
      </c>
      <c r="F78">
        <v>-22387000</v>
      </c>
      <c r="G78">
        <v>-31650000</v>
      </c>
      <c r="H78">
        <v>-42524000</v>
      </c>
      <c r="I78">
        <v>6821000</v>
      </c>
      <c r="J78">
        <v>-154952000</v>
      </c>
    </row>
    <row r="79" spans="1:10" x14ac:dyDescent="0.25">
      <c r="A79" t="s">
        <v>205</v>
      </c>
      <c r="B79">
        <v>0</v>
      </c>
      <c r="C79">
        <v>0</v>
      </c>
      <c r="D79">
        <v>-276000</v>
      </c>
      <c r="E79">
        <v>-729000</v>
      </c>
      <c r="F79">
        <v>-748000</v>
      </c>
      <c r="G79">
        <v>-1074000</v>
      </c>
      <c r="H79">
        <v>-950000</v>
      </c>
      <c r="I79">
        <v>-190351000</v>
      </c>
      <c r="J79">
        <v>0</v>
      </c>
    </row>
    <row r="80" spans="1:10" x14ac:dyDescent="0.25">
      <c r="A80" t="s">
        <v>206</v>
      </c>
      <c r="B80">
        <v>1428</v>
      </c>
      <c r="C80">
        <v>0</v>
      </c>
      <c r="D80">
        <v>13000</v>
      </c>
      <c r="E80">
        <v>376000</v>
      </c>
      <c r="F80">
        <v>0</v>
      </c>
      <c r="G80">
        <v>803000</v>
      </c>
      <c r="H80">
        <v>11568000</v>
      </c>
      <c r="I80">
        <v>4504000</v>
      </c>
      <c r="J80">
        <v>32015000</v>
      </c>
    </row>
    <row r="81" spans="1:10" x14ac:dyDescent="0.25">
      <c r="A81" t="s">
        <v>207</v>
      </c>
      <c r="B81">
        <v>0</v>
      </c>
      <c r="C81">
        <v>0</v>
      </c>
      <c r="D81">
        <v>0</v>
      </c>
      <c r="E81">
        <v>0</v>
      </c>
      <c r="F81">
        <v>0</v>
      </c>
      <c r="G81">
        <v>0</v>
      </c>
      <c r="H81">
        <v>0</v>
      </c>
      <c r="I81">
        <v>-12864000</v>
      </c>
      <c r="J81">
        <v>-123315000</v>
      </c>
    </row>
    <row r="82" spans="1:10" x14ac:dyDescent="0.25">
      <c r="A82" t="s">
        <v>208</v>
      </c>
      <c r="B82">
        <v>-3500000</v>
      </c>
      <c r="C82">
        <v>-5500000</v>
      </c>
      <c r="D82">
        <v>0</v>
      </c>
      <c r="E82">
        <v>-11510000</v>
      </c>
      <c r="F82">
        <v>-16187000</v>
      </c>
      <c r="G82">
        <v>-32373000</v>
      </c>
      <c r="H82">
        <v>-43164000</v>
      </c>
      <c r="I82">
        <v>-76140000</v>
      </c>
      <c r="J82">
        <v>-144382000</v>
      </c>
    </row>
    <row r="83" spans="1:10" x14ac:dyDescent="0.25">
      <c r="A83" t="s">
        <v>209</v>
      </c>
      <c r="B83">
        <v>-15347</v>
      </c>
      <c r="C83">
        <v>5038</v>
      </c>
      <c r="D83">
        <v>1000</v>
      </c>
      <c r="E83">
        <v>9300000</v>
      </c>
      <c r="F83">
        <v>0</v>
      </c>
      <c r="G83">
        <v>0</v>
      </c>
      <c r="H83">
        <v>-3508000</v>
      </c>
      <c r="I83">
        <v>-5059000</v>
      </c>
      <c r="J83">
        <v>-12834000</v>
      </c>
    </row>
    <row r="84" spans="1:10" x14ac:dyDescent="0.25">
      <c r="A84" t="s">
        <v>210</v>
      </c>
      <c r="B84">
        <v>-3513919</v>
      </c>
      <c r="C84">
        <v>-5494962</v>
      </c>
      <c r="D84">
        <v>-262000</v>
      </c>
      <c r="E84">
        <v>-2563000</v>
      </c>
      <c r="F84">
        <v>-16935000</v>
      </c>
      <c r="G84">
        <v>-32644000</v>
      </c>
      <c r="H84">
        <v>-36054000</v>
      </c>
      <c r="I84">
        <v>-279910000</v>
      </c>
      <c r="J84">
        <v>-248516000</v>
      </c>
    </row>
    <row r="85" spans="1:10" x14ac:dyDescent="0.25">
      <c r="A85" t="s">
        <v>211</v>
      </c>
      <c r="B85">
        <v>-10886</v>
      </c>
      <c r="C85">
        <v>-63276</v>
      </c>
      <c r="D85">
        <v>-55000</v>
      </c>
      <c r="E85">
        <v>177000</v>
      </c>
      <c r="F85">
        <v>-78000</v>
      </c>
      <c r="G85">
        <v>-63000</v>
      </c>
      <c r="H85">
        <v>361000</v>
      </c>
      <c r="I85">
        <v>-3807000</v>
      </c>
      <c r="J85">
        <v>4330000</v>
      </c>
    </row>
    <row r="86" spans="1:10" x14ac:dyDescent="0.25">
      <c r="A86" t="s">
        <v>212</v>
      </c>
      <c r="B86">
        <v>314646</v>
      </c>
      <c r="C86">
        <v>2692870</v>
      </c>
      <c r="D86">
        <v>11635000</v>
      </c>
      <c r="E86">
        <v>6258000</v>
      </c>
      <c r="F86">
        <v>23084000</v>
      </c>
      <c r="G86">
        <v>35679000</v>
      </c>
      <c r="H86">
        <v>97569000</v>
      </c>
      <c r="I86">
        <v>39155000</v>
      </c>
      <c r="J86">
        <v>199757000</v>
      </c>
    </row>
    <row r="87" spans="1:10" x14ac:dyDescent="0.25">
      <c r="A87" t="s">
        <v>213</v>
      </c>
      <c r="B87">
        <v>5602174</v>
      </c>
      <c r="C87">
        <v>8295044</v>
      </c>
      <c r="D87">
        <v>19930000</v>
      </c>
      <c r="E87">
        <v>26188000</v>
      </c>
      <c r="F87">
        <v>49272000</v>
      </c>
      <c r="G87">
        <v>84951000</v>
      </c>
      <c r="H87">
        <v>182520000</v>
      </c>
      <c r="I87">
        <v>221675000</v>
      </c>
      <c r="J87">
        <v>421432000</v>
      </c>
    </row>
    <row r="88" spans="1:10" x14ac:dyDescent="0.25">
      <c r="A88" t="s">
        <v>214</v>
      </c>
      <c r="B88">
        <v>5287528</v>
      </c>
      <c r="C88">
        <v>5602174</v>
      </c>
      <c r="D88">
        <v>8295000</v>
      </c>
      <c r="E88">
        <v>19930000</v>
      </c>
      <c r="F88">
        <v>26188000</v>
      </c>
      <c r="G88">
        <v>49272000</v>
      </c>
      <c r="H88">
        <v>84951000</v>
      </c>
      <c r="I88">
        <v>182520000</v>
      </c>
      <c r="J88">
        <v>221675000</v>
      </c>
    </row>
    <row r="89" spans="1:10" x14ac:dyDescent="0.25">
      <c r="A89" t="s">
        <v>11</v>
      </c>
      <c r="B89">
        <v>3839451</v>
      </c>
      <c r="C89">
        <v>8251108</v>
      </c>
      <c r="D89">
        <v>11952000</v>
      </c>
      <c r="E89">
        <v>8845000</v>
      </c>
      <c r="F89">
        <v>41535000</v>
      </c>
      <c r="G89">
        <v>66906000</v>
      </c>
      <c r="H89">
        <v>145678000</v>
      </c>
      <c r="I89">
        <v>279165000</v>
      </c>
      <c r="J89">
        <v>537303000</v>
      </c>
    </row>
    <row r="90" spans="1:10" x14ac:dyDescent="0.25">
      <c r="A90" t="s">
        <v>215</v>
      </c>
      <c r="B90">
        <v>1.3745000000000001</v>
      </c>
      <c r="C90">
        <v>1.2097</v>
      </c>
      <c r="D90">
        <v>1.0860000000000001</v>
      </c>
      <c r="E90">
        <v>1.0512999999999999</v>
      </c>
      <c r="F90">
        <v>1.1996</v>
      </c>
      <c r="G90">
        <v>1.1469</v>
      </c>
      <c r="H90">
        <v>1.121</v>
      </c>
      <c r="I90">
        <v>1.2213000000000001</v>
      </c>
      <c r="J90">
        <v>1.1368</v>
      </c>
    </row>
    <row r="91" spans="1:10" x14ac:dyDescent="0.25">
      <c r="A91" t="s">
        <v>218</v>
      </c>
      <c r="B91">
        <v>14054376</v>
      </c>
      <c r="C91">
        <v>23715033</v>
      </c>
      <c r="D91">
        <v>43812000</v>
      </c>
      <c r="E91">
        <v>63896000</v>
      </c>
      <c r="F91">
        <v>109881000</v>
      </c>
      <c r="G91">
        <v>162270000</v>
      </c>
      <c r="H91">
        <v>280897000</v>
      </c>
      <c r="I91">
        <v>2726171000</v>
      </c>
      <c r="J91">
        <v>3190950000</v>
      </c>
    </row>
    <row r="92" spans="1:10" x14ac:dyDescent="0.25">
      <c r="A92" t="s">
        <v>219</v>
      </c>
      <c r="B92">
        <v>19195</v>
      </c>
      <c r="C92">
        <v>9541</v>
      </c>
      <c r="D92">
        <v>5000</v>
      </c>
      <c r="E92">
        <v>-217000</v>
      </c>
      <c r="F92">
        <v>-176000</v>
      </c>
      <c r="G92">
        <v>-146000</v>
      </c>
      <c r="H92">
        <v>-173000</v>
      </c>
      <c r="I92">
        <v>-1018000</v>
      </c>
      <c r="J92">
        <v>-2570000</v>
      </c>
    </row>
    <row r="93" spans="1:10" s="80" customFormat="1" x14ac:dyDescent="0.25">
      <c r="A93" s="80" t="s">
        <v>220</v>
      </c>
      <c r="B93" s="80">
        <v>9.9030770551765124E-2</v>
      </c>
      <c r="C93" s="80">
        <v>0.17001533002663236</v>
      </c>
      <c r="D93" s="80">
        <v>0.15652378894432875</v>
      </c>
      <c r="E93" s="80">
        <v>7.6605953525432827E-2</v>
      </c>
      <c r="F93" s="80">
        <v>0.23283908400369988</v>
      </c>
      <c r="G93" s="80">
        <v>0.27262059017675966</v>
      </c>
      <c r="H93" s="80">
        <v>0.39829720685054354</v>
      </c>
      <c r="I93" s="80">
        <v>0.4975014880581109</v>
      </c>
      <c r="J93" s="80">
        <v>0.50272694865252532</v>
      </c>
    </row>
    <row r="94" spans="1:10" x14ac:dyDescent="0.25">
      <c r="A94" t="s">
        <v>221</v>
      </c>
      <c r="B94">
        <v>0</v>
      </c>
      <c r="C94">
        <v>0</v>
      </c>
      <c r="D94">
        <v>0</v>
      </c>
      <c r="E94">
        <v>0</v>
      </c>
      <c r="F94">
        <v>0</v>
      </c>
      <c r="G94">
        <v>0</v>
      </c>
      <c r="H94">
        <v>0</v>
      </c>
      <c r="I94">
        <v>0</v>
      </c>
      <c r="J94">
        <v>0</v>
      </c>
    </row>
    <row r="95" spans="1:10" x14ac:dyDescent="0.25">
      <c r="A95" t="s">
        <v>222</v>
      </c>
      <c r="B95">
        <v>0</v>
      </c>
      <c r="C95">
        <v>0</v>
      </c>
      <c r="D95">
        <v>0</v>
      </c>
      <c r="E95">
        <v>0</v>
      </c>
      <c r="F95">
        <v>0</v>
      </c>
      <c r="G95">
        <v>0</v>
      </c>
      <c r="H95">
        <v>0</v>
      </c>
      <c r="I95">
        <v>0</v>
      </c>
      <c r="J95">
        <v>0</v>
      </c>
    </row>
    <row r="96" spans="1:10" x14ac:dyDescent="0.25">
      <c r="A96" t="s">
        <v>223</v>
      </c>
      <c r="B96">
        <v>0.35648690003113981</v>
      </c>
      <c r="C96">
        <v>0.3452817180608253</v>
      </c>
      <c r="D96">
        <v>0.72389633180109747</v>
      </c>
      <c r="E96">
        <v>0.69804522739279928</v>
      </c>
      <c r="F96">
        <v>0.6250749782773215</v>
      </c>
      <c r="G96">
        <v>0.6353812678776618</v>
      </c>
      <c r="H96">
        <v>0.56945689975721259</v>
      </c>
      <c r="I96">
        <v>0.46590297504695849</v>
      </c>
      <c r="J96">
        <v>0.23504248313726811</v>
      </c>
    </row>
    <row r="97" spans="1:10" x14ac:dyDescent="0.25">
      <c r="A97" t="s">
        <v>224</v>
      </c>
      <c r="B97">
        <v>4.9509568965488331E-4</v>
      </c>
      <c r="C97">
        <v>1.9659375004958115E-4</v>
      </c>
      <c r="D97">
        <v>6.5480166057701122E-5</v>
      </c>
      <c r="E97">
        <v>-1.8794224889789625E-3</v>
      </c>
      <c r="F97">
        <v>-9.866300417636011E-4</v>
      </c>
      <c r="G97">
        <v>-5.9490338931944683E-4</v>
      </c>
      <c r="H97">
        <v>-4.7299809707123953E-4</v>
      </c>
      <c r="I97">
        <v>-1.8141834214287496E-3</v>
      </c>
      <c r="J97">
        <v>-2.404617614338632E-3</v>
      </c>
    </row>
    <row r="98" spans="1:10" x14ac:dyDescent="0.25">
      <c r="A98" t="s">
        <v>225</v>
      </c>
      <c r="B98">
        <v>8.9441467321762905E-2</v>
      </c>
      <c r="C98">
        <v>8.0212681428101007E-2</v>
      </c>
      <c r="D98">
        <v>7.7855917442606629E-2</v>
      </c>
      <c r="E98">
        <v>8.4530707338408645E-2</v>
      </c>
      <c r="F98">
        <v>7.7102895422821421E-2</v>
      </c>
      <c r="G98">
        <v>7.4146965585246402E-2</v>
      </c>
      <c r="H98">
        <v>6.9653754456571668E-2</v>
      </c>
      <c r="I98">
        <v>5.7941596837831962E-2</v>
      </c>
      <c r="J98">
        <v>7.5456339348619964E-2</v>
      </c>
    </row>
    <row r="99" spans="1:10" x14ac:dyDescent="0.25">
      <c r="A99" t="s">
        <v>16</v>
      </c>
      <c r="B99">
        <v>0.21556784350633856</v>
      </c>
      <c r="C99">
        <v>0.2698417811967887</v>
      </c>
      <c r="D99">
        <v>0.42534366195943507</v>
      </c>
      <c r="E99">
        <v>0.64197825894346339</v>
      </c>
      <c r="F99">
        <v>0.99184392757407014</v>
      </c>
      <c r="G99">
        <v>1.3645561735424681</v>
      </c>
      <c r="H99">
        <v>2.0236663371737231</v>
      </c>
      <c r="I99">
        <v>3.0508365192961602</v>
      </c>
      <c r="J99">
        <v>5.8108471462855436</v>
      </c>
    </row>
    <row r="100" spans="1:10" x14ac:dyDescent="0.25">
      <c r="A100" t="s">
        <v>17</v>
      </c>
      <c r="B100">
        <v>4.7989088354564648E-2</v>
      </c>
      <c r="C100">
        <v>7.2788700546563639E-2</v>
      </c>
      <c r="D100">
        <v>0.11743894531215403</v>
      </c>
      <c r="E100">
        <v>0.19384839919804009</v>
      </c>
      <c r="F100">
        <v>0.37186710609121498</v>
      </c>
      <c r="G100">
        <v>0.49754274190676401</v>
      </c>
      <c r="H100">
        <v>0.87127557866374072</v>
      </c>
      <c r="I100">
        <v>1.6294427085741716</v>
      </c>
      <c r="J100">
        <v>3.5557625931876626</v>
      </c>
    </row>
    <row r="101" spans="1:10" x14ac:dyDescent="0.25">
      <c r="A101" t="s">
        <v>12</v>
      </c>
      <c r="B101">
        <v>2.1347849648615025E-2</v>
      </c>
      <c r="C101">
        <v>4.5877239485146347E-2</v>
      </c>
      <c r="D101">
        <v>6.657640157334653E-2</v>
      </c>
      <c r="E101">
        <v>4.9179356668961241E-2</v>
      </c>
      <c r="F101">
        <v>0.23094003157097853</v>
      </c>
      <c r="G101">
        <v>0.3720061093604885</v>
      </c>
      <c r="H101">
        <v>0.80602064969376408</v>
      </c>
      <c r="I101">
        <v>1.5177957081718672</v>
      </c>
      <c r="J101">
        <v>2.9212694549383653</v>
      </c>
    </row>
    <row r="102" spans="1:10" x14ac:dyDescent="0.25">
      <c r="A102" t="s">
        <v>226</v>
      </c>
      <c r="B102">
        <v>-3.6839369239860899E-2</v>
      </c>
      <c r="C102">
        <v>-3.3178312253997227E-2</v>
      </c>
      <c r="D102">
        <v>-6.6487276537773116E-2</v>
      </c>
      <c r="E102">
        <v>-0.17337599769944029</v>
      </c>
      <c r="F102">
        <v>-0.11647917952041481</v>
      </c>
      <c r="G102">
        <v>-0.18420713244123074</v>
      </c>
      <c r="H102">
        <v>-0.16658431417907885</v>
      </c>
      <c r="I102">
        <v>-0.200545958453343</v>
      </c>
      <c r="J102">
        <v>-0.33487032134301092</v>
      </c>
    </row>
    <row r="103" spans="1:10" x14ac:dyDescent="0.25">
      <c r="A103" t="s">
        <v>13</v>
      </c>
      <c r="B103">
        <v>7.8144168463955777E-2</v>
      </c>
      <c r="C103">
        <v>0.13185868471714934</v>
      </c>
      <c r="D103">
        <v>0.2440466286589239</v>
      </c>
      <c r="E103">
        <v>0.35527011573996015</v>
      </c>
      <c r="F103">
        <v>0.61095272924162014</v>
      </c>
      <c r="G103">
        <v>0.9022424202003777</v>
      </c>
      <c r="H103">
        <v>1.5541727813192745</v>
      </c>
      <c r="I103">
        <v>14.821953481068929</v>
      </c>
      <c r="J103">
        <v>17.348916286035212</v>
      </c>
    </row>
    <row r="104" spans="1:10" x14ac:dyDescent="0.25">
      <c r="A104" t="s">
        <v>18</v>
      </c>
      <c r="B104">
        <v>-1.9460457698288788E-2</v>
      </c>
      <c r="C104">
        <v>-3.0580719240168096E-2</v>
      </c>
      <c r="D104">
        <v>0</v>
      </c>
      <c r="E104">
        <v>-6.3997105173515423E-2</v>
      </c>
      <c r="F104">
        <v>-9.0001836789200179E-2</v>
      </c>
      <c r="G104">
        <v>-0.17999811344762942</v>
      </c>
      <c r="H104">
        <v>-0.23882175293030955</v>
      </c>
      <c r="I104">
        <v>-0.41396652596208683</v>
      </c>
      <c r="J104">
        <v>-0.78499231614733411</v>
      </c>
    </row>
    <row r="105" spans="1:10" x14ac:dyDescent="0.25">
      <c r="A105" t="s">
        <v>14</v>
      </c>
      <c r="B105">
        <v>2629451</v>
      </c>
      <c r="C105">
        <v>4545108</v>
      </c>
      <c r="D105">
        <v>7227000</v>
      </c>
      <c r="E105">
        <v>8571000</v>
      </c>
      <c r="F105">
        <v>7643000</v>
      </c>
      <c r="G105">
        <v>6569000</v>
      </c>
      <c r="H105">
        <v>25038000</v>
      </c>
      <c r="I105">
        <v>49969000</v>
      </c>
      <c r="J105">
        <v>67810000</v>
      </c>
    </row>
    <row r="106" spans="1:10" x14ac:dyDescent="0.25">
      <c r="A106" t="s">
        <v>227</v>
      </c>
      <c r="B106">
        <v>0.18709126609391979</v>
      </c>
      <c r="C106">
        <v>0.19165514127684327</v>
      </c>
      <c r="D106">
        <v>0.16495480690221856</v>
      </c>
      <c r="E106">
        <v>0.13413985225992237</v>
      </c>
      <c r="F106">
        <v>6.955706628079468E-2</v>
      </c>
      <c r="G106">
        <v>4.0481912861280583E-2</v>
      </c>
      <c r="H106">
        <v>8.9135875427647851E-2</v>
      </c>
      <c r="I106">
        <v>1.8329371121620763E-2</v>
      </c>
      <c r="J106">
        <v>2.1250724705808615E-2</v>
      </c>
    </row>
    <row r="107" spans="1:10" x14ac:dyDescent="0.25">
      <c r="A107" t="s">
        <v>228</v>
      </c>
      <c r="B107">
        <v>2.1305489244713058</v>
      </c>
      <c r="C107">
        <v>1.825048601705394</v>
      </c>
      <c r="D107">
        <v>2.7577141275771413</v>
      </c>
      <c r="E107">
        <v>3.0554194376385486</v>
      </c>
      <c r="F107">
        <v>6.4466832395656155</v>
      </c>
      <c r="G107">
        <v>12.932105343279037</v>
      </c>
      <c r="H107">
        <v>7.2897196261682247</v>
      </c>
      <c r="I107">
        <v>4.436250475294683</v>
      </c>
      <c r="J107">
        <v>6.2148945583247306</v>
      </c>
    </row>
    <row r="108" spans="1:10" x14ac:dyDescent="0.25">
      <c r="A108" t="s">
        <v>52</v>
      </c>
      <c r="B108">
        <v>5602174</v>
      </c>
      <c r="C108">
        <v>8295043</v>
      </c>
      <c r="D108">
        <v>19930000</v>
      </c>
      <c r="E108">
        <v>26188000</v>
      </c>
      <c r="F108">
        <v>49272000</v>
      </c>
      <c r="G108">
        <v>84951000</v>
      </c>
      <c r="H108">
        <v>182520000</v>
      </c>
      <c r="I108">
        <v>221675000</v>
      </c>
      <c r="J108">
        <v>421432000</v>
      </c>
    </row>
    <row r="109" spans="1:10" x14ac:dyDescent="0.25">
      <c r="A109" t="s">
        <v>229</v>
      </c>
      <c r="B109">
        <v>2.1305489244713058</v>
      </c>
      <c r="C109">
        <v>1.825048601705394</v>
      </c>
      <c r="D109">
        <v>2.7577141275771413</v>
      </c>
      <c r="E109">
        <v>3.0554194376385486</v>
      </c>
      <c r="F109">
        <v>6.4466832395656155</v>
      </c>
      <c r="G109">
        <v>12.932105343279037</v>
      </c>
      <c r="H109">
        <v>7.2897196261682247</v>
      </c>
      <c r="I109">
        <v>4.436250475294683</v>
      </c>
      <c r="J109">
        <v>6.2148945583247306</v>
      </c>
    </row>
    <row r="110" spans="1:10" x14ac:dyDescent="0.25">
      <c r="A110" t="s">
        <v>15</v>
      </c>
      <c r="B110">
        <v>-2972723</v>
      </c>
      <c r="C110">
        <v>-3749935</v>
      </c>
      <c r="D110">
        <v>-12703000</v>
      </c>
      <c r="E110">
        <v>-17617000</v>
      </c>
      <c r="F110">
        <v>-41629000</v>
      </c>
      <c r="G110">
        <v>-78382000</v>
      </c>
      <c r="H110">
        <v>-157482000</v>
      </c>
      <c r="I110">
        <v>-171706000</v>
      </c>
      <c r="J110">
        <v>-353622000</v>
      </c>
    </row>
    <row r="111" spans="1:10" x14ac:dyDescent="0.25">
      <c r="A111" t="s">
        <v>53</v>
      </c>
      <c r="B111">
        <v>-2972723</v>
      </c>
      <c r="C111">
        <v>-3749935</v>
      </c>
      <c r="D111">
        <v>-12703000</v>
      </c>
      <c r="E111">
        <v>-17617000</v>
      </c>
      <c r="F111">
        <v>-41629000</v>
      </c>
      <c r="G111">
        <v>-78382000</v>
      </c>
      <c r="H111">
        <v>-157482000</v>
      </c>
      <c r="I111">
        <v>-171706000</v>
      </c>
      <c r="J111">
        <v>-353622000</v>
      </c>
    </row>
    <row r="112" spans="1:10" x14ac:dyDescent="0.25">
      <c r="A112" t="s">
        <v>230</v>
      </c>
      <c r="B112">
        <v>4868699</v>
      </c>
      <c r="C112">
        <v>12477543</v>
      </c>
      <c r="D112">
        <v>25822000</v>
      </c>
      <c r="E112">
        <v>32203000</v>
      </c>
      <c r="F112">
        <v>68600000</v>
      </c>
      <c r="G112">
        <v>105794000</v>
      </c>
      <c r="H112">
        <v>191458000</v>
      </c>
      <c r="I112">
        <v>131032000</v>
      </c>
      <c r="J112">
        <v>439282000</v>
      </c>
    </row>
    <row r="113" spans="1:10" x14ac:dyDescent="0.25">
      <c r="A113" t="s">
        <v>118</v>
      </c>
      <c r="B113">
        <v>1.5510764198622076</v>
      </c>
      <c r="C113">
        <v>2.5811200158143137</v>
      </c>
      <c r="D113">
        <v>2.6684111907992505</v>
      </c>
      <c r="E113">
        <v>2.0304630251831943</v>
      </c>
      <c r="F113">
        <v>2.3665883102912466</v>
      </c>
      <c r="G113">
        <v>2.4538533421284079</v>
      </c>
      <c r="H113">
        <v>2.3902883575023055</v>
      </c>
      <c r="I113">
        <v>1.3558747083762226</v>
      </c>
      <c r="J113">
        <v>2.1868316537432793</v>
      </c>
    </row>
    <row r="114" spans="1:10" x14ac:dyDescent="0.25">
      <c r="A114" t="s">
        <v>231</v>
      </c>
      <c r="B114">
        <v>1.5510764198622076</v>
      </c>
      <c r="C114">
        <v>2.5811200158143137</v>
      </c>
      <c r="D114">
        <v>2.6684111907992505</v>
      </c>
      <c r="E114">
        <v>2.0304630251831943</v>
      </c>
      <c r="F114">
        <v>2.3665883102912466</v>
      </c>
      <c r="G114">
        <v>2.4422410949868074</v>
      </c>
      <c r="H114">
        <v>2.3801584477637951</v>
      </c>
      <c r="I114">
        <v>1.351868700722711</v>
      </c>
      <c r="J114">
        <v>2.1773106746278335</v>
      </c>
    </row>
    <row r="115" spans="1:10" x14ac:dyDescent="0.25">
      <c r="A115" t="s">
        <v>232</v>
      </c>
      <c r="B115">
        <v>0.62862193241450204</v>
      </c>
      <c r="C115">
        <v>0.33276719454702003</v>
      </c>
      <c r="D115">
        <v>0.35325938099150916</v>
      </c>
      <c r="E115">
        <v>0.48909164892951046</v>
      </c>
      <c r="F115">
        <v>0.45683967200880954</v>
      </c>
      <c r="G115">
        <v>0.4484377888704012</v>
      </c>
      <c r="H115">
        <v>0.49025443489962511</v>
      </c>
      <c r="I115">
        <v>0.13506012645575058</v>
      </c>
      <c r="J115">
        <v>0.11599366959682852</v>
      </c>
    </row>
    <row r="116" spans="1:10" x14ac:dyDescent="0.25">
      <c r="A116" t="s">
        <v>233</v>
      </c>
      <c r="B116">
        <v>0.3830611816009869</v>
      </c>
      <c r="C116">
        <v>0.24817282114377584</v>
      </c>
      <c r="D116">
        <v>0.25963328915804129</v>
      </c>
      <c r="E116">
        <v>0.30247391548423314</v>
      </c>
      <c r="F116">
        <v>0.29998147450952267</v>
      </c>
      <c r="G116">
        <v>0.3023722559493387</v>
      </c>
      <c r="H116">
        <v>0.31718951538603279</v>
      </c>
      <c r="I116">
        <v>0.11618301909178344</v>
      </c>
      <c r="J116">
        <v>9.4830552486032144E-2</v>
      </c>
    </row>
    <row r="117" spans="1:10" x14ac:dyDescent="0.25">
      <c r="A117" t="s">
        <v>234</v>
      </c>
      <c r="B117">
        <v>-3.8161614788865292</v>
      </c>
      <c r="C117">
        <v>-4.5316433484847067</v>
      </c>
      <c r="D117">
        <v>-2.1271353223647957</v>
      </c>
      <c r="E117">
        <v>-2.5326105466310951</v>
      </c>
      <c r="F117">
        <v>-1.936150279852987</v>
      </c>
      <c r="G117">
        <v>-1.3738103135924065</v>
      </c>
      <c r="H117">
        <v>-1.1618216685081471</v>
      </c>
      <c r="I117">
        <v>-1.9350517745448617</v>
      </c>
      <c r="J117">
        <v>-2.0670009218883441</v>
      </c>
    </row>
    <row r="118" spans="1:10" x14ac:dyDescent="0.25">
      <c r="A118" t="s">
        <v>235</v>
      </c>
      <c r="B118">
        <v>99</v>
      </c>
      <c r="C118">
        <v>99</v>
      </c>
      <c r="D118">
        <v>27021</v>
      </c>
      <c r="E118">
        <v>196.55066079295153</v>
      </c>
      <c r="F118">
        <v>442.85714285714283</v>
      </c>
      <c r="G118">
        <v>677.24528301886789</v>
      </c>
      <c r="H118">
        <v>839.29357798165142</v>
      </c>
      <c r="I118">
        <v>311.98122065727699</v>
      </c>
      <c r="J118">
        <v>261.04892857142858</v>
      </c>
    </row>
    <row r="119" spans="1:10" x14ac:dyDescent="0.25">
      <c r="A119" t="s">
        <v>236</v>
      </c>
      <c r="B119">
        <v>0.5100040016006403</v>
      </c>
      <c r="C119">
        <v>0.51011461801465763</v>
      </c>
      <c r="D119">
        <v>0.45713503149821966</v>
      </c>
      <c r="E119">
        <v>0.49674471015400024</v>
      </c>
      <c r="F119">
        <v>0.56542077338211338</v>
      </c>
      <c r="G119">
        <v>0.5143279718986874</v>
      </c>
      <c r="H119">
        <v>0.53302812062784577</v>
      </c>
      <c r="I119">
        <v>0.10440357556440884</v>
      </c>
      <c r="J119">
        <v>0.18973503188705557</v>
      </c>
    </row>
    <row r="120" spans="1:10" x14ac:dyDescent="0.25">
      <c r="A120" t="s">
        <v>237</v>
      </c>
      <c r="B120">
        <v>0.31077938169289676</v>
      </c>
      <c r="C120">
        <v>0.38043589011743484</v>
      </c>
      <c r="D120">
        <v>0.3359782590461492</v>
      </c>
      <c r="E120">
        <v>0.30720687585899842</v>
      </c>
      <c r="F120">
        <v>0.37128070898844845</v>
      </c>
      <c r="G120">
        <v>0.34680063326643312</v>
      </c>
      <c r="H120">
        <v>0.34486364473926662</v>
      </c>
      <c r="I120">
        <v>8.9811278364412495E-2</v>
      </c>
      <c r="J120">
        <v>0.1551177573943773</v>
      </c>
    </row>
    <row r="121" spans="1:10" x14ac:dyDescent="0.25">
      <c r="A121" t="s">
        <v>238</v>
      </c>
      <c r="B121">
        <v>9.0003453214028167E-2</v>
      </c>
      <c r="C121">
        <v>7.6572292310184281E-2</v>
      </c>
      <c r="D121">
        <v>4.9677358132472954E-2</v>
      </c>
      <c r="E121">
        <v>8.3453652902108003E-2</v>
      </c>
      <c r="F121">
        <v>6.802772110884435E-2</v>
      </c>
      <c r="G121">
        <v>6.5669569890065602E-2</v>
      </c>
      <c r="H121">
        <v>4.7980568696271431E-2</v>
      </c>
      <c r="I121">
        <v>4.7073476138501817E-2</v>
      </c>
      <c r="J121">
        <v>6.4952254162606124E-2</v>
      </c>
    </row>
    <row r="122" spans="1:10" x14ac:dyDescent="0.25">
      <c r="A122" t="s">
        <v>239</v>
      </c>
      <c r="B122">
        <v>7854114.6755583547</v>
      </c>
      <c r="C122">
        <v>12088762.955493301</v>
      </c>
      <c r="D122">
        <v>20035652.258493073</v>
      </c>
      <c r="E122">
        <v>31954471.845220905</v>
      </c>
      <c r="F122">
        <v>62331237.984519377</v>
      </c>
      <c r="G122">
        <v>83607624.207957372</v>
      </c>
      <c r="H122">
        <v>149916403.88626075</v>
      </c>
      <c r="I122">
        <v>285592079.20129102</v>
      </c>
      <c r="J122">
        <v>611524965.96863902</v>
      </c>
    </row>
    <row r="123" spans="1:10" x14ac:dyDescent="0.25">
      <c r="A123" t="s">
        <v>240</v>
      </c>
      <c r="B123">
        <v>14229022</v>
      </c>
      <c r="C123">
        <v>23907162</v>
      </c>
      <c r="D123">
        <v>44136000</v>
      </c>
      <c r="E123">
        <v>72067000</v>
      </c>
      <c r="F123">
        <v>117139000</v>
      </c>
      <c r="G123">
        <v>167889000</v>
      </c>
      <c r="H123">
        <v>296449000</v>
      </c>
      <c r="I123">
        <v>2800915000</v>
      </c>
      <c r="J123">
        <v>3532937000</v>
      </c>
    </row>
    <row r="124" spans="1:10" x14ac:dyDescent="0.25">
      <c r="A124" t="s">
        <v>241</v>
      </c>
      <c r="B124">
        <v>0.55197853201424207</v>
      </c>
      <c r="C124">
        <v>0.50565445432181788</v>
      </c>
      <c r="D124">
        <v>0.4539526069080359</v>
      </c>
      <c r="E124">
        <v>0.44339950109232945</v>
      </c>
      <c r="F124">
        <v>0.53211345482306815</v>
      </c>
      <c r="G124">
        <v>0.49799346120327936</v>
      </c>
      <c r="H124">
        <v>0.5057072342502783</v>
      </c>
      <c r="I124">
        <v>0.10196385081349882</v>
      </c>
      <c r="J124">
        <v>0.17309251933126432</v>
      </c>
    </row>
    <row r="125" spans="1:10" x14ac:dyDescent="0.25">
      <c r="A125" t="s">
        <v>242</v>
      </c>
      <c r="B125">
        <v>14229022</v>
      </c>
      <c r="C125">
        <v>23907163</v>
      </c>
      <c r="D125">
        <v>44134000</v>
      </c>
      <c r="E125">
        <v>72067000</v>
      </c>
      <c r="F125">
        <v>117139000</v>
      </c>
      <c r="G125">
        <v>167889000</v>
      </c>
      <c r="H125">
        <v>296449000</v>
      </c>
      <c r="I125">
        <v>2800915000</v>
      </c>
      <c r="J125">
        <v>3532937000</v>
      </c>
    </row>
    <row r="126" spans="1:10" x14ac:dyDescent="0.25">
      <c r="A126" t="s">
        <v>243</v>
      </c>
      <c r="B126">
        <v>0.60657211718416071</v>
      </c>
      <c r="C126">
        <v>0.54758421147670266</v>
      </c>
      <c r="D126">
        <v>0.47770426428603796</v>
      </c>
      <c r="E126">
        <v>0.48377204545769908</v>
      </c>
      <c r="F126">
        <v>0.57095416556398804</v>
      </c>
      <c r="G126">
        <v>0.53299501456319354</v>
      </c>
      <c r="H126">
        <v>0.53119423577073965</v>
      </c>
      <c r="I126">
        <v>0.10700074796985985</v>
      </c>
      <c r="J126">
        <v>0.18511623615139472</v>
      </c>
    </row>
    <row r="127" spans="1:10" x14ac:dyDescent="0.25">
      <c r="A127" t="s">
        <v>244</v>
      </c>
      <c r="B127">
        <v>11416409</v>
      </c>
      <c r="C127">
        <v>13929689</v>
      </c>
      <c r="D127">
        <v>23899000</v>
      </c>
      <c r="E127">
        <v>37899000</v>
      </c>
      <c r="F127">
        <v>61061000</v>
      </c>
      <c r="G127">
        <v>96679000</v>
      </c>
      <c r="H127">
        <v>172539000</v>
      </c>
      <c r="I127">
        <v>283260000</v>
      </c>
      <c r="J127">
        <v>597311000</v>
      </c>
    </row>
    <row r="128" spans="1:10" x14ac:dyDescent="0.25">
      <c r="A128" t="s">
        <v>245</v>
      </c>
      <c r="B128">
        <v>0.8023326550482528</v>
      </c>
      <c r="C128">
        <v>0.58265754912032008</v>
      </c>
      <c r="D128">
        <v>0.54150994697965282</v>
      </c>
      <c r="E128">
        <v>0.52588563420150691</v>
      </c>
      <c r="F128">
        <v>0.52126960277960377</v>
      </c>
      <c r="G128">
        <v>0.57585071088635942</v>
      </c>
      <c r="H128">
        <v>0.58201916687187338</v>
      </c>
      <c r="I128">
        <v>0.10113123747061228</v>
      </c>
      <c r="J128">
        <v>0.1690692474844584</v>
      </c>
    </row>
    <row r="129" spans="1:10" x14ac:dyDescent="0.25">
      <c r="A129" t="s">
        <v>246</v>
      </c>
      <c r="B129">
        <v>1.4882956917810628</v>
      </c>
      <c r="C129">
        <v>1.4546437101902601</v>
      </c>
      <c r="D129">
        <v>1</v>
      </c>
      <c r="E129">
        <v>1.3626339004410839</v>
      </c>
      <c r="F129">
        <v>1.2605385568736016</v>
      </c>
      <c r="G129">
        <v>1.3878864126527677</v>
      </c>
      <c r="H129">
        <v>1.2882866035291132</v>
      </c>
      <c r="I129">
        <v>1.2675127010561376</v>
      </c>
      <c r="J129">
        <v>1.238476467333405</v>
      </c>
    </row>
    <row r="130" spans="1:10" x14ac:dyDescent="0.25">
      <c r="A130" t="s">
        <v>247</v>
      </c>
      <c r="B130">
        <v>-0.91196059019896336</v>
      </c>
      <c r="C130">
        <v>-0.66657714333638585</v>
      </c>
      <c r="D130">
        <v>-1.0876840696117805E-3</v>
      </c>
      <c r="E130">
        <v>-1.3438100621820237</v>
      </c>
      <c r="F130">
        <v>-0.38971951366317564</v>
      </c>
      <c r="G130">
        <v>-0.49585986309150148</v>
      </c>
      <c r="H130">
        <v>-0.37570532269800516</v>
      </c>
      <c r="I130">
        <v>-0.24279547937599627</v>
      </c>
      <c r="J130">
        <v>-9.8793418238870806E-2</v>
      </c>
    </row>
    <row r="131" spans="1:10" x14ac:dyDescent="0.25">
      <c r="A131" t="s">
        <v>248</v>
      </c>
      <c r="B131">
        <v>-0.30864838844147741</v>
      </c>
      <c r="C131">
        <v>-0.32365567555531077</v>
      </c>
      <c r="D131">
        <v>-4.8110728692498425E-4</v>
      </c>
      <c r="E131">
        <v>-0.26640069928502591</v>
      </c>
      <c r="F131">
        <v>-0.20083126550868485</v>
      </c>
      <c r="G131">
        <v>-0.30809234598168683</v>
      </c>
      <c r="H131">
        <v>-0.29913754468043241</v>
      </c>
      <c r="I131">
        <v>-0.2039968699211461</v>
      </c>
      <c r="J131">
        <v>-7.2621853867022745E-2</v>
      </c>
    </row>
    <row r="132" spans="1:10" x14ac:dyDescent="0.25">
      <c r="A132" t="s">
        <v>76</v>
      </c>
      <c r="B132">
        <v>1.6809934360221908</v>
      </c>
      <c r="C132">
        <v>1.526209553910739</v>
      </c>
      <c r="D132">
        <v>1.2809548573249903</v>
      </c>
      <c r="E132">
        <v>1.1175303432122186</v>
      </c>
      <c r="F132">
        <v>1.0660224576752302</v>
      </c>
      <c r="G132">
        <v>1.0197833430982686</v>
      </c>
      <c r="H132">
        <v>0.84243596830661505</v>
      </c>
      <c r="I132">
        <v>0.177063480243046</v>
      </c>
      <c r="J132">
        <v>0.27383004186195115</v>
      </c>
    </row>
    <row r="133" spans="1:10" x14ac:dyDescent="0.25">
      <c r="A133" t="s">
        <v>77</v>
      </c>
      <c r="B133">
        <v>65535</v>
      </c>
      <c r="C133">
        <v>65535</v>
      </c>
      <c r="J133">
        <v>46.414585698070375</v>
      </c>
    </row>
    <row r="134" spans="1:10" x14ac:dyDescent="0.25">
      <c r="A134" t="s">
        <v>80</v>
      </c>
      <c r="B134">
        <v>65535</v>
      </c>
      <c r="C134">
        <v>65535</v>
      </c>
      <c r="D134">
        <v>65535</v>
      </c>
      <c r="E134">
        <v>65535</v>
      </c>
      <c r="F134">
        <v>65535</v>
      </c>
      <c r="G134">
        <v>65535</v>
      </c>
      <c r="H134">
        <v>65535</v>
      </c>
      <c r="I134">
        <v>65535</v>
      </c>
      <c r="J134">
        <v>65535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tabSelected="1" workbookViewId="0">
      <selection activeCell="I11" sqref="I11"/>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t="s">
        <v>216</v>
      </c>
      <c r="B1" s="45">
        <v>2012</v>
      </c>
      <c r="C1" s="45">
        <v>2013</v>
      </c>
      <c r="D1" s="45">
        <v>2014</v>
      </c>
      <c r="E1" s="45">
        <v>2015</v>
      </c>
      <c r="F1" s="45">
        <v>2016</v>
      </c>
      <c r="G1" s="45">
        <v>2017</v>
      </c>
      <c r="H1" s="45">
        <v>2018</v>
      </c>
      <c r="I1" s="45">
        <v>2019</v>
      </c>
      <c r="J1" s="45">
        <v>2020</v>
      </c>
      <c r="K1" s="45">
        <v>2021</v>
      </c>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t="s">
        <v>131</v>
      </c>
      <c r="B2" s="45" t="s">
        <v>0</v>
      </c>
      <c r="C2" s="45" t="s">
        <v>0</v>
      </c>
      <c r="D2" s="45" t="s">
        <v>0</v>
      </c>
      <c r="E2" s="45" t="s">
        <v>0</v>
      </c>
      <c r="F2" s="45" t="s">
        <v>0</v>
      </c>
      <c r="G2" s="45" t="s">
        <v>0</v>
      </c>
      <c r="H2" s="45" t="s">
        <v>0</v>
      </c>
      <c r="I2" s="45" t="s">
        <v>0</v>
      </c>
      <c r="J2" s="45" t="s">
        <v>0</v>
      </c>
      <c r="K2" s="45" t="s">
        <v>0</v>
      </c>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t="s">
        <v>1</v>
      </c>
      <c r="B3" s="45">
        <v>31273941</v>
      </c>
      <c r="C3" s="45">
        <v>38770283</v>
      </c>
      <c r="D3" s="45">
        <v>48531553</v>
      </c>
      <c r="E3" s="45">
        <v>76359000</v>
      </c>
      <c r="F3" s="45">
        <v>115461000</v>
      </c>
      <c r="G3" s="45">
        <v>178385000</v>
      </c>
      <c r="H3" s="45">
        <v>245418000</v>
      </c>
      <c r="I3" s="45">
        <v>365752000</v>
      </c>
      <c r="J3" s="45">
        <v>561134000</v>
      </c>
      <c r="K3" s="45">
        <v>1068777000</v>
      </c>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t="s">
        <v>132</v>
      </c>
      <c r="B4" s="45">
        <v>12431481</v>
      </c>
      <c r="C4" s="45">
        <v>16318257</v>
      </c>
      <c r="D4" s="45">
        <v>18683310</v>
      </c>
      <c r="E4" s="45" t="s">
        <v>133</v>
      </c>
      <c r="F4" s="45" t="s">
        <v>133</v>
      </c>
      <c r="G4" s="45" t="s">
        <v>133</v>
      </c>
      <c r="H4" s="45" t="s">
        <v>133</v>
      </c>
      <c r="I4" s="45" t="s">
        <v>133</v>
      </c>
      <c r="J4" s="45" t="s">
        <v>133</v>
      </c>
      <c r="K4" s="45">
        <v>163565000</v>
      </c>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t="s">
        <v>2</v>
      </c>
      <c r="B5" s="45">
        <v>18842460</v>
      </c>
      <c r="C5" s="45">
        <v>22452026</v>
      </c>
      <c r="D5" s="45">
        <v>29848243</v>
      </c>
      <c r="E5" s="45" t="s">
        <v>133</v>
      </c>
      <c r="F5" s="45" t="s">
        <v>133</v>
      </c>
      <c r="G5" s="45" t="s">
        <v>133</v>
      </c>
      <c r="H5" s="45" t="s">
        <v>133</v>
      </c>
      <c r="I5" s="45" t="s">
        <v>133</v>
      </c>
      <c r="J5" s="45" t="s">
        <v>133</v>
      </c>
      <c r="K5" s="45">
        <v>905212000</v>
      </c>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t="s">
        <v>134</v>
      </c>
      <c r="B6" s="45">
        <v>0.60250000000000004</v>
      </c>
      <c r="C6" s="45">
        <v>0.57909999999999995</v>
      </c>
      <c r="D6" s="45">
        <v>0.61499999999999999</v>
      </c>
      <c r="E6" s="45" t="s">
        <v>133</v>
      </c>
      <c r="F6" s="45" t="s">
        <v>133</v>
      </c>
      <c r="G6" s="45" t="s">
        <v>133</v>
      </c>
      <c r="H6" s="45" t="s">
        <v>133</v>
      </c>
      <c r="I6" s="45" t="s">
        <v>133</v>
      </c>
      <c r="J6" s="45" t="s">
        <v>133</v>
      </c>
      <c r="K6" s="45">
        <v>0.84699999999999998</v>
      </c>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t="s">
        <v>135</v>
      </c>
      <c r="B7" s="45" t="s">
        <v>133</v>
      </c>
      <c r="C7" s="45" t="s">
        <v>133</v>
      </c>
      <c r="D7" s="45" t="s">
        <v>133</v>
      </c>
      <c r="E7" s="45" t="s">
        <v>133</v>
      </c>
      <c r="F7" s="45" t="s">
        <v>133</v>
      </c>
      <c r="G7" s="45" t="s">
        <v>133</v>
      </c>
      <c r="H7" s="45" t="s">
        <v>133</v>
      </c>
      <c r="I7" s="45" t="s">
        <v>133</v>
      </c>
      <c r="J7" s="45" t="s">
        <v>133</v>
      </c>
      <c r="K7" s="45" t="s">
        <v>133</v>
      </c>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t="s">
        <v>136</v>
      </c>
      <c r="B8" s="45" t="s">
        <v>133</v>
      </c>
      <c r="C8" s="45" t="s">
        <v>133</v>
      </c>
      <c r="D8" s="45" t="s">
        <v>133</v>
      </c>
      <c r="E8" s="45" t="s">
        <v>133</v>
      </c>
      <c r="F8" s="45" t="s">
        <v>133</v>
      </c>
      <c r="G8" s="45" t="s">
        <v>133</v>
      </c>
      <c r="H8" s="45" t="s">
        <v>133</v>
      </c>
      <c r="I8" s="45" t="s">
        <v>133</v>
      </c>
      <c r="J8" s="45" t="s">
        <v>133</v>
      </c>
      <c r="K8" s="45" t="s">
        <v>133</v>
      </c>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t="s">
        <v>137</v>
      </c>
      <c r="B9" s="45" t="s">
        <v>133</v>
      </c>
      <c r="C9" s="45" t="s">
        <v>133</v>
      </c>
      <c r="D9" s="45" t="s">
        <v>133</v>
      </c>
      <c r="E9" s="45" t="s">
        <v>133</v>
      </c>
      <c r="F9" s="45" t="s">
        <v>133</v>
      </c>
      <c r="G9" s="45" t="s">
        <v>133</v>
      </c>
      <c r="H9" s="45" t="s">
        <v>133</v>
      </c>
      <c r="I9" s="45" t="s">
        <v>133</v>
      </c>
      <c r="J9" s="45" t="s">
        <v>133</v>
      </c>
      <c r="K9" s="45" t="s">
        <v>133</v>
      </c>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t="s">
        <v>138</v>
      </c>
      <c r="B10" s="45" t="s">
        <v>133</v>
      </c>
      <c r="C10" s="45" t="s">
        <v>133</v>
      </c>
      <c r="D10" s="45" t="s">
        <v>133</v>
      </c>
      <c r="E10" s="45" t="s">
        <v>133</v>
      </c>
      <c r="F10" s="45" t="s">
        <v>133</v>
      </c>
      <c r="G10" s="45" t="s">
        <v>133</v>
      </c>
      <c r="H10" s="45" t="s">
        <v>133</v>
      </c>
      <c r="I10" s="45" t="s">
        <v>133</v>
      </c>
      <c r="J10" s="45" t="s">
        <v>133</v>
      </c>
      <c r="K10" s="45" t="s">
        <v>133</v>
      </c>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t="s">
        <v>139</v>
      </c>
      <c r="B11" s="45">
        <v>9399304</v>
      </c>
      <c r="C11" s="45">
        <v>13821098</v>
      </c>
      <c r="D11" s="45">
        <v>16757058</v>
      </c>
      <c r="E11" s="45">
        <v>55276000</v>
      </c>
      <c r="F11" s="45">
        <v>80597000</v>
      </c>
      <c r="G11" s="45">
        <v>111504000</v>
      </c>
      <c r="H11" s="45">
        <v>155934000</v>
      </c>
      <c r="I11" s="45">
        <v>208280000</v>
      </c>
      <c r="J11" s="45">
        <v>261434000</v>
      </c>
      <c r="K11" s="45">
        <v>251208000</v>
      </c>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t="s">
        <v>140</v>
      </c>
      <c r="B12" s="45">
        <v>9399304</v>
      </c>
      <c r="C12" s="45">
        <v>13821098</v>
      </c>
      <c r="D12" s="45">
        <v>16757058</v>
      </c>
      <c r="E12" s="45">
        <v>55276000</v>
      </c>
      <c r="F12" s="45">
        <v>80597000</v>
      </c>
      <c r="G12" s="45">
        <v>111504000</v>
      </c>
      <c r="H12" s="45">
        <v>155934000</v>
      </c>
      <c r="I12" s="45">
        <v>208280000</v>
      </c>
      <c r="J12" s="45">
        <v>261434000</v>
      </c>
      <c r="K12" s="45">
        <v>251208000</v>
      </c>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t="s">
        <v>141</v>
      </c>
      <c r="B13" s="45">
        <v>21830785</v>
      </c>
      <c r="C13" s="45">
        <v>30139355</v>
      </c>
      <c r="D13" s="45">
        <v>35440368</v>
      </c>
      <c r="E13" s="45">
        <v>55276000</v>
      </c>
      <c r="F13" s="45">
        <v>80597000</v>
      </c>
      <c r="G13" s="45">
        <v>111504000</v>
      </c>
      <c r="H13" s="45">
        <v>155934000</v>
      </c>
      <c r="I13" s="45">
        <v>208280000</v>
      </c>
      <c r="J13" s="45">
        <v>261434000</v>
      </c>
      <c r="K13" s="45">
        <v>414773000</v>
      </c>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t="s">
        <v>142</v>
      </c>
      <c r="B14" s="45">
        <v>5941</v>
      </c>
      <c r="C14" s="45">
        <v>19195</v>
      </c>
      <c r="D14" s="45">
        <v>9541</v>
      </c>
      <c r="E14" s="45">
        <v>6000</v>
      </c>
      <c r="F14" s="45">
        <v>10000</v>
      </c>
      <c r="G14" s="45">
        <v>6000</v>
      </c>
      <c r="H14" s="45">
        <v>13000</v>
      </c>
      <c r="I14" s="45">
        <v>45000</v>
      </c>
      <c r="J14" s="45">
        <v>47000</v>
      </c>
      <c r="K14" s="45">
        <v>230000</v>
      </c>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t="s">
        <v>143</v>
      </c>
      <c r="B15" s="45" t="s">
        <v>133</v>
      </c>
      <c r="C15" s="45" t="s">
        <v>133</v>
      </c>
      <c r="D15" s="45" t="s">
        <v>133</v>
      </c>
      <c r="E15" s="45">
        <v>1000</v>
      </c>
      <c r="F15" s="45">
        <v>227000</v>
      </c>
      <c r="G15" s="45">
        <v>182000</v>
      </c>
      <c r="H15" s="45">
        <v>159000</v>
      </c>
      <c r="I15" s="45">
        <v>218000</v>
      </c>
      <c r="J15" s="45">
        <v>1065000</v>
      </c>
      <c r="K15" s="45">
        <v>2800000</v>
      </c>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t="s">
        <v>144</v>
      </c>
      <c r="B16" s="45">
        <v>1651254</v>
      </c>
      <c r="C16" s="45">
        <v>3467671</v>
      </c>
      <c r="D16" s="45">
        <v>3892846</v>
      </c>
      <c r="E16" s="45">
        <v>5945000</v>
      </c>
      <c r="F16" s="45">
        <v>9760000</v>
      </c>
      <c r="G16" s="45">
        <v>13754000</v>
      </c>
      <c r="H16" s="45">
        <v>18197000</v>
      </c>
      <c r="I16" s="45">
        <v>25476000</v>
      </c>
      <c r="J16" s="45">
        <v>32513000</v>
      </c>
      <c r="K16" s="45">
        <v>80646000</v>
      </c>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t="s">
        <v>3</v>
      </c>
      <c r="B17" s="45">
        <v>11098972</v>
      </c>
      <c r="C17" s="45">
        <v>11344391</v>
      </c>
      <c r="D17" s="45">
        <v>16993368</v>
      </c>
      <c r="E17" s="45">
        <v>27021000</v>
      </c>
      <c r="F17" s="45">
        <v>44617000</v>
      </c>
      <c r="G17" s="45">
        <v>80600000</v>
      </c>
      <c r="H17" s="45">
        <v>107682000</v>
      </c>
      <c r="I17" s="45">
        <v>182966000</v>
      </c>
      <c r="J17" s="45">
        <v>332260000</v>
      </c>
      <c r="K17" s="45">
        <v>730937000</v>
      </c>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t="s">
        <v>145</v>
      </c>
      <c r="B18" s="45">
        <v>0.35489999999999999</v>
      </c>
      <c r="C18" s="45">
        <v>0.29260000000000003</v>
      </c>
      <c r="D18" s="45">
        <v>0.35020000000000001</v>
      </c>
      <c r="E18" s="45">
        <v>0.35389999999999999</v>
      </c>
      <c r="F18" s="45">
        <v>0.38640000000000002</v>
      </c>
      <c r="G18" s="45">
        <v>0.45179999999999998</v>
      </c>
      <c r="H18" s="45">
        <v>0.43880000000000002</v>
      </c>
      <c r="I18" s="45">
        <v>0.50019999999999998</v>
      </c>
      <c r="J18" s="45">
        <v>0.59209999999999996</v>
      </c>
      <c r="K18" s="45">
        <v>0.68389999999999995</v>
      </c>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t="s">
        <v>4</v>
      </c>
      <c r="B19" s="45">
        <v>9443156</v>
      </c>
      <c r="C19" s="45">
        <v>8630928</v>
      </c>
      <c r="D19" s="45">
        <v>13091185</v>
      </c>
      <c r="E19" s="45">
        <v>21083000</v>
      </c>
      <c r="F19" s="45">
        <v>34864000</v>
      </c>
      <c r="G19" s="45">
        <v>66881000</v>
      </c>
      <c r="H19" s="45">
        <v>89484000</v>
      </c>
      <c r="I19" s="45">
        <v>157472000</v>
      </c>
      <c r="J19" s="45">
        <v>299700000</v>
      </c>
      <c r="K19" s="45">
        <v>654004000</v>
      </c>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t="s">
        <v>146</v>
      </c>
      <c r="B20" s="45">
        <v>0.3019</v>
      </c>
      <c r="C20" s="45">
        <v>0.22259999999999999</v>
      </c>
      <c r="D20" s="45">
        <v>0.2697</v>
      </c>
      <c r="E20" s="45">
        <v>0.27610000000000001</v>
      </c>
      <c r="F20" s="45">
        <v>0.30199999999999999</v>
      </c>
      <c r="G20" s="45">
        <v>0.37490000000000001</v>
      </c>
      <c r="H20" s="45">
        <v>0.36459999999999998</v>
      </c>
      <c r="I20" s="45">
        <v>0.43049999999999999</v>
      </c>
      <c r="J20" s="45">
        <v>0.53410000000000002</v>
      </c>
      <c r="K20" s="45">
        <v>0.6119</v>
      </c>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t="s">
        <v>147</v>
      </c>
      <c r="B21" s="45">
        <v>4562</v>
      </c>
      <c r="C21" s="45">
        <v>-754208</v>
      </c>
      <c r="D21" s="45">
        <v>9337</v>
      </c>
      <c r="E21" s="45">
        <v>-7000</v>
      </c>
      <c r="F21" s="45">
        <v>-234000</v>
      </c>
      <c r="G21" s="45">
        <v>-217000</v>
      </c>
      <c r="H21" s="45">
        <v>-158000</v>
      </c>
      <c r="I21" s="45">
        <v>-200000</v>
      </c>
      <c r="J21" s="45">
        <v>-1018000</v>
      </c>
      <c r="K21" s="45">
        <v>-6513000</v>
      </c>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t="s">
        <v>148</v>
      </c>
      <c r="B22" s="45">
        <v>9447718</v>
      </c>
      <c r="C22" s="45">
        <v>7876720</v>
      </c>
      <c r="D22" s="45">
        <v>13100522</v>
      </c>
      <c r="E22" s="45">
        <v>21076000</v>
      </c>
      <c r="F22" s="45">
        <v>34630000</v>
      </c>
      <c r="G22" s="45">
        <v>66664000</v>
      </c>
      <c r="H22" s="45">
        <v>89326000</v>
      </c>
      <c r="I22" s="45">
        <v>157272000</v>
      </c>
      <c r="J22" s="45">
        <v>298682000</v>
      </c>
      <c r="K22" s="45">
        <v>647491000</v>
      </c>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t="s">
        <v>149</v>
      </c>
      <c r="B23" s="45">
        <v>0.30209999999999998</v>
      </c>
      <c r="C23" s="45">
        <v>0.20319999999999999</v>
      </c>
      <c r="D23" s="45">
        <v>0.26989999999999997</v>
      </c>
      <c r="E23" s="45">
        <v>0.27600000000000002</v>
      </c>
      <c r="F23" s="45">
        <v>0.2999</v>
      </c>
      <c r="G23" s="45">
        <v>0.37369999999999998</v>
      </c>
      <c r="H23" s="45">
        <v>0.36399999999999999</v>
      </c>
      <c r="I23" s="45">
        <v>0.43</v>
      </c>
      <c r="J23" s="45">
        <v>0.5323</v>
      </c>
      <c r="K23" s="45">
        <v>0.60580000000000001</v>
      </c>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t="s">
        <v>150</v>
      </c>
      <c r="B24" s="45">
        <v>738721</v>
      </c>
      <c r="C24" s="45">
        <v>708932</v>
      </c>
      <c r="D24" s="45">
        <v>1003137</v>
      </c>
      <c r="E24" s="45">
        <v>1047000</v>
      </c>
      <c r="F24" s="45">
        <v>2890000</v>
      </c>
      <c r="G24" s="45">
        <v>4535000</v>
      </c>
      <c r="H24" s="45">
        <v>5866000</v>
      </c>
      <c r="I24" s="45">
        <v>7546000</v>
      </c>
      <c r="J24" s="45">
        <v>14060000</v>
      </c>
      <c r="K24" s="45">
        <v>42056000</v>
      </c>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t="s">
        <v>5</v>
      </c>
      <c r="B25" s="45">
        <v>8708997</v>
      </c>
      <c r="C25" s="45">
        <v>7167788</v>
      </c>
      <c r="D25" s="45">
        <v>12097385</v>
      </c>
      <c r="E25" s="45">
        <v>20028000</v>
      </c>
      <c r="F25" s="45">
        <v>31740000</v>
      </c>
      <c r="G25" s="45">
        <v>62129000</v>
      </c>
      <c r="H25" s="45">
        <v>83460000</v>
      </c>
      <c r="I25" s="45">
        <v>149726000</v>
      </c>
      <c r="J25" s="45">
        <v>284622000</v>
      </c>
      <c r="K25" s="45">
        <v>605435000</v>
      </c>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t="s">
        <v>151</v>
      </c>
      <c r="B26" s="45">
        <v>0.27850000000000003</v>
      </c>
      <c r="C26" s="45">
        <v>0.18490000000000001</v>
      </c>
      <c r="D26" s="45">
        <v>0.24929999999999999</v>
      </c>
      <c r="E26" s="45">
        <v>0.26229999999999998</v>
      </c>
      <c r="F26" s="45">
        <v>0.27489999999999998</v>
      </c>
      <c r="G26" s="45">
        <v>0.3483</v>
      </c>
      <c r="H26" s="45">
        <v>0.34010000000000001</v>
      </c>
      <c r="I26" s="45">
        <v>0.40939999999999999</v>
      </c>
      <c r="J26" s="45">
        <v>0.50719999999999998</v>
      </c>
      <c r="K26" s="45">
        <v>0.5665</v>
      </c>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t="s">
        <v>6</v>
      </c>
      <c r="B27" s="45">
        <v>0.05</v>
      </c>
      <c r="C27" s="45">
        <v>0.04</v>
      </c>
      <c r="D27" s="45">
        <v>7.0000000000000007E-2</v>
      </c>
      <c r="E27" s="45">
        <v>0.11</v>
      </c>
      <c r="F27" s="45">
        <v>0.18</v>
      </c>
      <c r="G27" s="45">
        <v>0.35</v>
      </c>
      <c r="H27" s="45">
        <v>0.46</v>
      </c>
      <c r="I27" s="45">
        <v>0.83</v>
      </c>
      <c r="J27" s="45">
        <v>1.55</v>
      </c>
      <c r="K27" s="45">
        <v>3.29</v>
      </c>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t="s">
        <v>152</v>
      </c>
      <c r="B28" s="45">
        <v>0.05</v>
      </c>
      <c r="C28" s="45">
        <v>0.04</v>
      </c>
      <c r="D28" s="45">
        <v>7.0000000000000007E-2</v>
      </c>
      <c r="E28" s="45">
        <v>0.11</v>
      </c>
      <c r="F28" s="45">
        <v>0.18</v>
      </c>
      <c r="G28" s="45">
        <v>0.34</v>
      </c>
      <c r="H28" s="45">
        <v>0.46</v>
      </c>
      <c r="I28" s="45">
        <v>0.82</v>
      </c>
      <c r="J28" s="45">
        <v>1.51</v>
      </c>
      <c r="K28" s="45">
        <v>3.2</v>
      </c>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t="s">
        <v>153</v>
      </c>
      <c r="B29" s="45">
        <v>179851885</v>
      </c>
      <c r="C29" s="45">
        <v>179851885</v>
      </c>
      <c r="D29" s="45">
        <v>179851885</v>
      </c>
      <c r="E29" s="45">
        <v>179523070</v>
      </c>
      <c r="F29" s="45">
        <v>179851885</v>
      </c>
      <c r="G29" s="45">
        <v>179851885</v>
      </c>
      <c r="H29" s="45">
        <v>179851885</v>
      </c>
      <c r="I29" s="45">
        <v>180737305</v>
      </c>
      <c r="J29" s="45">
        <v>183927915</v>
      </c>
      <c r="K29" s="45">
        <v>183927915</v>
      </c>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t="s">
        <v>154</v>
      </c>
      <c r="B30" s="45">
        <v>179851885</v>
      </c>
      <c r="C30" s="45">
        <v>179851885</v>
      </c>
      <c r="D30" s="45">
        <v>179851885</v>
      </c>
      <c r="E30" s="45">
        <v>179523070</v>
      </c>
      <c r="F30" s="45">
        <v>180764595</v>
      </c>
      <c r="G30" s="45">
        <v>181685230</v>
      </c>
      <c r="H30" s="45">
        <v>182625245</v>
      </c>
      <c r="I30" s="45">
        <v>183387341</v>
      </c>
      <c r="J30" s="45">
        <v>189021346</v>
      </c>
      <c r="K30" s="45">
        <v>189021346</v>
      </c>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t="s">
        <v>155</v>
      </c>
      <c r="B31" s="45" t="s">
        <v>133</v>
      </c>
      <c r="C31" s="45" t="s">
        <v>133</v>
      </c>
      <c r="D31" s="45" t="s">
        <v>133</v>
      </c>
      <c r="E31" s="45" t="s">
        <v>133</v>
      </c>
      <c r="F31" s="45" t="s">
        <v>133</v>
      </c>
      <c r="G31" s="45" t="s">
        <v>133</v>
      </c>
      <c r="H31" s="45" t="s">
        <v>133</v>
      </c>
      <c r="I31" s="45" t="s">
        <v>133</v>
      </c>
      <c r="J31" s="45" t="s">
        <v>133</v>
      </c>
      <c r="K31" s="45" t="s">
        <v>133</v>
      </c>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t="s">
        <v>156</v>
      </c>
      <c r="B32" s="45" t="s">
        <v>0</v>
      </c>
      <c r="C32" s="45" t="s">
        <v>0</v>
      </c>
      <c r="D32" s="45" t="s">
        <v>0</v>
      </c>
      <c r="E32" s="45" t="s">
        <v>0</v>
      </c>
      <c r="F32" s="45" t="s">
        <v>0</v>
      </c>
      <c r="G32" s="45" t="s">
        <v>0</v>
      </c>
      <c r="H32" s="45" t="s">
        <v>0</v>
      </c>
      <c r="I32" s="45" t="s">
        <v>0</v>
      </c>
      <c r="J32" s="45" t="s">
        <v>0</v>
      </c>
      <c r="K32" s="45" t="s">
        <v>0</v>
      </c>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t="s">
        <v>157</v>
      </c>
      <c r="B33" s="45">
        <v>5287528</v>
      </c>
      <c r="C33" s="45">
        <v>5602174</v>
      </c>
      <c r="D33" s="45">
        <v>8295043</v>
      </c>
      <c r="E33" s="45">
        <v>19930000</v>
      </c>
      <c r="F33" s="45">
        <v>26188000</v>
      </c>
      <c r="G33" s="45">
        <v>49272000</v>
      </c>
      <c r="H33" s="45">
        <v>84951000</v>
      </c>
      <c r="I33" s="45">
        <v>182520000</v>
      </c>
      <c r="J33" s="45">
        <v>221675000</v>
      </c>
      <c r="K33" s="45">
        <v>421432000</v>
      </c>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t="s">
        <v>7</v>
      </c>
      <c r="B34" s="45" t="s">
        <v>133</v>
      </c>
      <c r="C34" s="45" t="s">
        <v>133</v>
      </c>
      <c r="D34" s="45" t="s">
        <v>133</v>
      </c>
      <c r="E34" s="45" t="s">
        <v>133</v>
      </c>
      <c r="F34" s="45" t="s">
        <v>133</v>
      </c>
      <c r="G34" s="45" t="s">
        <v>133</v>
      </c>
      <c r="H34" s="45" t="s">
        <v>133</v>
      </c>
      <c r="I34" s="45" t="s">
        <v>133</v>
      </c>
      <c r="J34" s="45" t="s">
        <v>133</v>
      </c>
      <c r="K34" s="45" t="s">
        <v>133</v>
      </c>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t="s">
        <v>8</v>
      </c>
      <c r="B35" s="45">
        <v>5287528</v>
      </c>
      <c r="C35" s="45">
        <v>5602174</v>
      </c>
      <c r="D35" s="45">
        <v>8295043</v>
      </c>
      <c r="E35" s="45">
        <v>19930000</v>
      </c>
      <c r="F35" s="45">
        <v>26188000</v>
      </c>
      <c r="G35" s="45">
        <v>49272000</v>
      </c>
      <c r="H35" s="45">
        <v>84951000</v>
      </c>
      <c r="I35" s="45">
        <v>182520000</v>
      </c>
      <c r="J35" s="45">
        <v>221675000</v>
      </c>
      <c r="K35" s="45">
        <v>421432000</v>
      </c>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t="s">
        <v>158</v>
      </c>
      <c r="B36" s="45" t="s">
        <v>133</v>
      </c>
      <c r="C36" s="45" t="s">
        <v>133</v>
      </c>
      <c r="D36" s="45" t="s">
        <v>133</v>
      </c>
      <c r="E36" s="45" t="s">
        <v>133</v>
      </c>
      <c r="F36" s="45" t="s">
        <v>133</v>
      </c>
      <c r="G36" s="45" t="s">
        <v>133</v>
      </c>
      <c r="H36" s="45" t="s">
        <v>133</v>
      </c>
      <c r="I36" s="45" t="s">
        <v>133</v>
      </c>
      <c r="J36" s="45" t="s">
        <v>133</v>
      </c>
      <c r="K36" s="45" t="s">
        <v>133</v>
      </c>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t="s">
        <v>159</v>
      </c>
      <c r="B37" s="45" t="s">
        <v>133</v>
      </c>
      <c r="C37" s="45" t="s">
        <v>133</v>
      </c>
      <c r="D37" s="45" t="s">
        <v>133</v>
      </c>
      <c r="E37" s="45" t="s">
        <v>133</v>
      </c>
      <c r="F37" s="45" t="s">
        <v>133</v>
      </c>
      <c r="G37" s="45" t="s">
        <v>133</v>
      </c>
      <c r="H37" s="45">
        <v>845000</v>
      </c>
      <c r="I37" s="45">
        <v>1395000</v>
      </c>
      <c r="J37" s="45">
        <v>1475000</v>
      </c>
      <c r="K37" s="45">
        <v>3524000</v>
      </c>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t="s">
        <v>160</v>
      </c>
      <c r="B38" s="45">
        <v>7011304</v>
      </c>
      <c r="C38" s="45">
        <v>8101414</v>
      </c>
      <c r="D38" s="45">
        <v>12074085</v>
      </c>
      <c r="E38" s="45">
        <v>21369000</v>
      </c>
      <c r="F38" s="45">
        <v>37266000</v>
      </c>
      <c r="G38" s="45">
        <v>69526000</v>
      </c>
      <c r="H38" s="45">
        <v>92766000</v>
      </c>
      <c r="I38" s="45">
        <v>145254000</v>
      </c>
      <c r="J38" s="45">
        <v>276079000</v>
      </c>
      <c r="K38" s="45">
        <v>384456000</v>
      </c>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t="s">
        <v>161</v>
      </c>
      <c r="B39" s="45">
        <v>12298832</v>
      </c>
      <c r="C39" s="45">
        <v>13703588</v>
      </c>
      <c r="D39" s="45">
        <v>20369128</v>
      </c>
      <c r="E39" s="45">
        <v>41299000</v>
      </c>
      <c r="F39" s="45">
        <v>63454000</v>
      </c>
      <c r="G39" s="45">
        <v>118798000</v>
      </c>
      <c r="H39" s="45">
        <v>178562000</v>
      </c>
      <c r="I39" s="45">
        <v>329169000</v>
      </c>
      <c r="J39" s="45">
        <v>499229000</v>
      </c>
      <c r="K39" s="45">
        <v>809412000</v>
      </c>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t="s">
        <v>162</v>
      </c>
      <c r="B40" s="45">
        <v>2702958</v>
      </c>
      <c r="C40" s="45">
        <v>4912023</v>
      </c>
      <c r="D40" s="45">
        <v>4834910</v>
      </c>
      <c r="E40" s="45">
        <v>7343000</v>
      </c>
      <c r="F40" s="45">
        <v>24340000</v>
      </c>
      <c r="G40" s="45">
        <v>29463000</v>
      </c>
      <c r="H40" s="45">
        <v>39619000</v>
      </c>
      <c r="I40" s="45">
        <v>67489000</v>
      </c>
      <c r="J40" s="45">
        <v>106365000</v>
      </c>
      <c r="K40" s="45">
        <v>134467000</v>
      </c>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t="s">
        <v>163</v>
      </c>
      <c r="B41" s="45" t="s">
        <v>133</v>
      </c>
      <c r="C41" s="45" t="s">
        <v>133</v>
      </c>
      <c r="D41" s="45" t="s">
        <v>133</v>
      </c>
      <c r="E41" s="45" t="s">
        <v>133</v>
      </c>
      <c r="F41" s="45" t="s">
        <v>133</v>
      </c>
      <c r="G41" s="45" t="s">
        <v>133</v>
      </c>
      <c r="H41" s="45" t="s">
        <v>133</v>
      </c>
      <c r="I41" s="45">
        <v>12485000</v>
      </c>
      <c r="J41" s="45">
        <v>1834333000</v>
      </c>
      <c r="K41" s="45">
        <v>2188482000</v>
      </c>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t="s">
        <v>164</v>
      </c>
      <c r="B42" s="45">
        <v>3449590</v>
      </c>
      <c r="C42" s="45">
        <v>4398641</v>
      </c>
      <c r="D42" s="45">
        <v>6550092</v>
      </c>
      <c r="E42" s="45">
        <v>10032000</v>
      </c>
      <c r="F42" s="45">
        <v>14452000</v>
      </c>
      <c r="G42" s="45">
        <v>16567000</v>
      </c>
      <c r="H42" s="45">
        <v>21344000</v>
      </c>
      <c r="I42" s="45">
        <v>23743000</v>
      </c>
      <c r="J42" s="45">
        <v>723187000</v>
      </c>
      <c r="K42" s="45">
        <v>757250000</v>
      </c>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t="s">
        <v>164</v>
      </c>
      <c r="B43" s="45">
        <v>3449590</v>
      </c>
      <c r="C43" s="45">
        <v>4398641</v>
      </c>
      <c r="D43" s="45">
        <v>6550092</v>
      </c>
      <c r="E43" s="45">
        <v>10032000</v>
      </c>
      <c r="F43" s="45">
        <v>14452000</v>
      </c>
      <c r="G43" s="45">
        <v>16567000</v>
      </c>
      <c r="H43" s="45">
        <v>21344000</v>
      </c>
      <c r="I43" s="45">
        <v>36228000</v>
      </c>
      <c r="J43" s="45">
        <v>2557520000</v>
      </c>
      <c r="K43" s="45">
        <v>2945732000</v>
      </c>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t="s">
        <v>165</v>
      </c>
      <c r="B44" s="45" t="s">
        <v>133</v>
      </c>
      <c r="C44" s="45" t="s">
        <v>133</v>
      </c>
      <c r="D44" s="45" t="s">
        <v>133</v>
      </c>
      <c r="E44" s="45" t="s">
        <v>133</v>
      </c>
      <c r="F44" s="45" t="s">
        <v>133</v>
      </c>
      <c r="G44" s="45" t="s">
        <v>133</v>
      </c>
      <c r="H44" s="45" t="s">
        <v>133</v>
      </c>
      <c r="I44" s="45" t="s">
        <v>133</v>
      </c>
      <c r="J44" s="45" t="s">
        <v>133</v>
      </c>
      <c r="K44" s="45" t="s">
        <v>133</v>
      </c>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t="s">
        <v>166</v>
      </c>
      <c r="B45" s="45" t="s">
        <v>133</v>
      </c>
      <c r="C45" s="45" t="s">
        <v>133</v>
      </c>
      <c r="D45" s="45" t="s">
        <v>133</v>
      </c>
      <c r="E45" s="45">
        <v>617000</v>
      </c>
      <c r="F45" s="45">
        <v>550000</v>
      </c>
      <c r="G45" s="45">
        <v>78000</v>
      </c>
      <c r="H45" s="45">
        <v>180000</v>
      </c>
      <c r="I45" s="45">
        <v>156000</v>
      </c>
      <c r="J45" s="45">
        <v>2696000</v>
      </c>
      <c r="K45" s="45">
        <v>2360000</v>
      </c>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t="s">
        <v>167</v>
      </c>
      <c r="B46" s="45">
        <v>34312</v>
      </c>
      <c r="C46" s="45">
        <v>49659</v>
      </c>
      <c r="D46" s="45">
        <v>44618</v>
      </c>
      <c r="E46" s="45">
        <v>320000</v>
      </c>
      <c r="F46" s="45">
        <v>522000</v>
      </c>
      <c r="G46" s="45">
        <v>2431000</v>
      </c>
      <c r="H46" s="45">
        <v>952000</v>
      </c>
      <c r="I46" s="45">
        <v>1118000</v>
      </c>
      <c r="J46" s="45">
        <v>3302000</v>
      </c>
      <c r="K46" s="45">
        <v>11096000</v>
      </c>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t="s">
        <v>168</v>
      </c>
      <c r="B47" s="45">
        <v>6186860</v>
      </c>
      <c r="C47" s="45">
        <v>9360323</v>
      </c>
      <c r="D47" s="45">
        <v>11429620</v>
      </c>
      <c r="E47" s="45">
        <v>18312000</v>
      </c>
      <c r="F47" s="45">
        <v>39864000</v>
      </c>
      <c r="G47" s="45">
        <v>48539000</v>
      </c>
      <c r="H47" s="45">
        <v>62095000</v>
      </c>
      <c r="I47" s="45">
        <v>104991000</v>
      </c>
      <c r="J47" s="45">
        <v>2669883000</v>
      </c>
      <c r="K47" s="45">
        <v>3093655000</v>
      </c>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t="s">
        <v>169</v>
      </c>
      <c r="B48" s="45" t="s">
        <v>133</v>
      </c>
      <c r="C48" s="45" t="s">
        <v>133</v>
      </c>
      <c r="D48" s="45" t="s">
        <v>133</v>
      </c>
      <c r="E48" s="45" t="s">
        <v>133</v>
      </c>
      <c r="F48" s="45" t="s">
        <v>133</v>
      </c>
      <c r="G48" s="45" t="s">
        <v>133</v>
      </c>
      <c r="H48" s="45" t="s">
        <v>133</v>
      </c>
      <c r="I48" s="45" t="s">
        <v>133</v>
      </c>
      <c r="J48" s="45" t="s">
        <v>133</v>
      </c>
      <c r="K48" s="45" t="s">
        <v>133</v>
      </c>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t="s">
        <v>170</v>
      </c>
      <c r="B49" s="45">
        <v>18485692</v>
      </c>
      <c r="C49" s="45">
        <v>23063911</v>
      </c>
      <c r="D49" s="45">
        <v>31798748</v>
      </c>
      <c r="E49" s="45">
        <v>59611000</v>
      </c>
      <c r="F49" s="45">
        <v>103318000</v>
      </c>
      <c r="G49" s="45">
        <v>167337000</v>
      </c>
      <c r="H49" s="45">
        <v>240657000</v>
      </c>
      <c r="I49" s="45">
        <v>434160000</v>
      </c>
      <c r="J49" s="45">
        <v>3169112000</v>
      </c>
      <c r="K49" s="45">
        <v>3903067000</v>
      </c>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t="s">
        <v>171</v>
      </c>
      <c r="B50" s="45">
        <v>434771</v>
      </c>
      <c r="C50" s="45">
        <v>754972</v>
      </c>
      <c r="D50" s="45">
        <v>607549</v>
      </c>
      <c r="E50" s="45">
        <v>2293000</v>
      </c>
      <c r="F50" s="45">
        <v>2169000</v>
      </c>
      <c r="G50" s="45">
        <v>3951000</v>
      </c>
      <c r="H50" s="45">
        <v>3190000</v>
      </c>
      <c r="I50" s="45">
        <v>5300000</v>
      </c>
      <c r="J50" s="45">
        <v>15335000</v>
      </c>
      <c r="K50" s="45">
        <v>8578000</v>
      </c>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t="s">
        <v>9</v>
      </c>
      <c r="B51" s="45" t="s">
        <v>133</v>
      </c>
      <c r="C51" s="45" t="s">
        <v>133</v>
      </c>
      <c r="D51" s="45" t="s">
        <v>133</v>
      </c>
      <c r="E51" s="45" t="s">
        <v>133</v>
      </c>
      <c r="F51" s="45">
        <v>1130000</v>
      </c>
      <c r="G51" s="45">
        <v>950000</v>
      </c>
      <c r="H51" s="45">
        <v>950000</v>
      </c>
      <c r="I51" s="45">
        <v>9555000</v>
      </c>
      <c r="J51" s="45">
        <v>11891000</v>
      </c>
      <c r="K51" s="45">
        <v>14639000</v>
      </c>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t="s">
        <v>172</v>
      </c>
      <c r="B52" s="45">
        <v>3306076</v>
      </c>
      <c r="C52" s="45">
        <v>2629451</v>
      </c>
      <c r="D52" s="45">
        <v>4545108</v>
      </c>
      <c r="E52" s="45">
        <v>7227000</v>
      </c>
      <c r="F52" s="45">
        <v>18695000</v>
      </c>
      <c r="G52" s="45">
        <v>31898000</v>
      </c>
      <c r="H52" s="45">
        <v>49939000</v>
      </c>
      <c r="I52" s="45">
        <v>81524000</v>
      </c>
      <c r="J52" s="45">
        <v>164082000</v>
      </c>
      <c r="K52" s="45">
        <v>189053000</v>
      </c>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t="s">
        <v>173</v>
      </c>
      <c r="B53" s="45" t="s">
        <v>133</v>
      </c>
      <c r="C53" s="45" t="s">
        <v>133</v>
      </c>
      <c r="D53" s="45" t="s">
        <v>133</v>
      </c>
      <c r="E53" s="45" t="s">
        <v>133</v>
      </c>
      <c r="F53" s="45" t="s">
        <v>133</v>
      </c>
      <c r="G53" s="45" t="s">
        <v>133</v>
      </c>
      <c r="H53" s="45" t="s">
        <v>133</v>
      </c>
      <c r="I53" s="45" t="s">
        <v>133</v>
      </c>
      <c r="J53" s="45" t="s">
        <v>133</v>
      </c>
      <c r="K53" s="45" t="s">
        <v>133</v>
      </c>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t="s">
        <v>174</v>
      </c>
      <c r="B54" s="45">
        <v>1264255</v>
      </c>
      <c r="C54" s="45">
        <v>5450466</v>
      </c>
      <c r="D54" s="45">
        <v>2738928</v>
      </c>
      <c r="E54" s="45">
        <v>5957000</v>
      </c>
      <c r="F54" s="45">
        <v>9257000</v>
      </c>
      <c r="G54" s="45">
        <v>13399000</v>
      </c>
      <c r="H54" s="45">
        <v>18689000</v>
      </c>
      <c r="I54" s="45">
        <v>41332000</v>
      </c>
      <c r="J54" s="45">
        <v>176889000</v>
      </c>
      <c r="K54" s="45">
        <v>157860000</v>
      </c>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t="s">
        <v>175</v>
      </c>
      <c r="B55" s="45">
        <v>5005102</v>
      </c>
      <c r="C55" s="45">
        <v>8834889</v>
      </c>
      <c r="D55" s="45">
        <v>7891585</v>
      </c>
      <c r="E55" s="45">
        <v>15477000</v>
      </c>
      <c r="F55" s="45">
        <v>31251000</v>
      </c>
      <c r="G55" s="45">
        <v>50198000</v>
      </c>
      <c r="H55" s="45">
        <v>72768000</v>
      </c>
      <c r="I55" s="45">
        <v>137711000</v>
      </c>
      <c r="J55" s="45">
        <v>368197000</v>
      </c>
      <c r="K55" s="45">
        <v>370130000</v>
      </c>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t="s">
        <v>10</v>
      </c>
      <c r="B56" s="45" t="s">
        <v>133</v>
      </c>
      <c r="C56" s="45" t="s">
        <v>133</v>
      </c>
      <c r="D56" s="45" t="s">
        <v>133</v>
      </c>
      <c r="E56" s="45" t="s">
        <v>133</v>
      </c>
      <c r="F56" s="45">
        <v>7441000</v>
      </c>
      <c r="G56" s="45">
        <v>6693000</v>
      </c>
      <c r="H56" s="45">
        <v>5619000</v>
      </c>
      <c r="I56" s="45">
        <v>15483000</v>
      </c>
      <c r="J56" s="45">
        <v>38078000</v>
      </c>
      <c r="K56" s="45">
        <v>53171000</v>
      </c>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t="s">
        <v>173</v>
      </c>
      <c r="B57" s="45" t="s">
        <v>133</v>
      </c>
      <c r="C57" s="45" t="s">
        <v>133</v>
      </c>
      <c r="D57" s="45" t="s">
        <v>133</v>
      </c>
      <c r="E57" s="45" t="s">
        <v>133</v>
      </c>
      <c r="F57" s="45" t="s">
        <v>133</v>
      </c>
      <c r="G57" s="45" t="s">
        <v>133</v>
      </c>
      <c r="H57" s="45" t="s">
        <v>133</v>
      </c>
      <c r="I57" s="45" t="s">
        <v>133</v>
      </c>
      <c r="J57" s="45" t="s">
        <v>133</v>
      </c>
      <c r="K57" s="45" t="s">
        <v>133</v>
      </c>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t="s">
        <v>176</v>
      </c>
      <c r="B58" s="45">
        <v>83119</v>
      </c>
      <c r="C58" s="45">
        <v>174646</v>
      </c>
      <c r="D58" s="45">
        <v>192129</v>
      </c>
      <c r="E58" s="45">
        <v>324000</v>
      </c>
      <c r="F58" s="45">
        <v>729000</v>
      </c>
      <c r="G58" s="45">
        <v>565000</v>
      </c>
      <c r="H58" s="45" t="s">
        <v>133</v>
      </c>
      <c r="I58" s="45">
        <v>69000</v>
      </c>
      <c r="J58" s="45">
        <v>36666000</v>
      </c>
      <c r="K58" s="45">
        <v>58816000</v>
      </c>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t="s">
        <v>177</v>
      </c>
      <c r="B59" s="45" t="s">
        <v>133</v>
      </c>
      <c r="C59" s="45" t="s">
        <v>133</v>
      </c>
      <c r="D59" s="45" t="s">
        <v>133</v>
      </c>
      <c r="E59" s="45" t="s">
        <v>133</v>
      </c>
      <c r="F59" s="45">
        <v>1000</v>
      </c>
      <c r="G59" s="45" t="s">
        <v>133</v>
      </c>
      <c r="H59" s="45" t="s">
        <v>133</v>
      </c>
      <c r="I59" s="45" t="s">
        <v>133</v>
      </c>
      <c r="J59" s="45" t="s">
        <v>133</v>
      </c>
      <c r="K59" s="45">
        <v>230000000</v>
      </c>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t="s">
        <v>178</v>
      </c>
      <c r="B60" s="45">
        <v>83119</v>
      </c>
      <c r="C60" s="45">
        <v>174646</v>
      </c>
      <c r="D60" s="45">
        <v>192129</v>
      </c>
      <c r="E60" s="45">
        <v>324000</v>
      </c>
      <c r="F60" s="45">
        <v>8171000</v>
      </c>
      <c r="G60" s="45">
        <v>7258000</v>
      </c>
      <c r="H60" s="45">
        <v>5619000</v>
      </c>
      <c r="I60" s="45">
        <v>15552000</v>
      </c>
      <c r="J60" s="45">
        <v>74744000</v>
      </c>
      <c r="K60" s="45">
        <v>341987000</v>
      </c>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t="s">
        <v>179</v>
      </c>
      <c r="B61" s="45" t="s">
        <v>133</v>
      </c>
      <c r="C61" s="45" t="s">
        <v>133</v>
      </c>
      <c r="D61" s="45" t="s">
        <v>133</v>
      </c>
      <c r="E61" s="45" t="s">
        <v>133</v>
      </c>
      <c r="F61" s="45" t="s">
        <v>133</v>
      </c>
      <c r="G61" s="45" t="s">
        <v>133</v>
      </c>
      <c r="H61" s="45" t="s">
        <v>133</v>
      </c>
      <c r="I61" s="45" t="s">
        <v>133</v>
      </c>
      <c r="J61" s="45" t="s">
        <v>133</v>
      </c>
      <c r="K61" s="45" t="s">
        <v>133</v>
      </c>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t="s">
        <v>180</v>
      </c>
      <c r="B62" s="45" t="s">
        <v>133</v>
      </c>
      <c r="C62" s="45" t="s">
        <v>133</v>
      </c>
      <c r="D62" s="45" t="s">
        <v>133</v>
      </c>
      <c r="E62" s="45" t="s">
        <v>133</v>
      </c>
      <c r="F62" s="45" t="s">
        <v>133</v>
      </c>
      <c r="G62" s="45" t="s">
        <v>133</v>
      </c>
      <c r="H62" s="45" t="s">
        <v>133</v>
      </c>
      <c r="I62" s="45">
        <v>19419000</v>
      </c>
      <c r="J62" s="45">
        <v>49969000</v>
      </c>
      <c r="K62" s="45">
        <v>67810000</v>
      </c>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t="s">
        <v>181</v>
      </c>
      <c r="B63" s="45">
        <v>5088221</v>
      </c>
      <c r="C63" s="45">
        <v>9009535</v>
      </c>
      <c r="D63" s="45">
        <v>8083714</v>
      </c>
      <c r="E63" s="45">
        <v>15801000</v>
      </c>
      <c r="F63" s="45">
        <v>39422000</v>
      </c>
      <c r="G63" s="45">
        <v>57456000</v>
      </c>
      <c r="H63" s="45">
        <v>78387000</v>
      </c>
      <c r="I63" s="45">
        <v>153263000</v>
      </c>
      <c r="J63" s="45">
        <v>442941000</v>
      </c>
      <c r="K63" s="45">
        <v>712117000</v>
      </c>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t="s">
        <v>182</v>
      </c>
      <c r="B64" s="45" t="s">
        <v>133</v>
      </c>
      <c r="C64" s="45" t="s">
        <v>133</v>
      </c>
      <c r="D64" s="45" t="s">
        <v>133</v>
      </c>
      <c r="E64" s="45" t="s">
        <v>133</v>
      </c>
      <c r="F64" s="45" t="s">
        <v>133</v>
      </c>
      <c r="G64" s="45" t="s">
        <v>133</v>
      </c>
      <c r="H64" s="45" t="s">
        <v>133</v>
      </c>
      <c r="I64" s="45" t="s">
        <v>133</v>
      </c>
      <c r="J64" s="45" t="s">
        <v>133</v>
      </c>
      <c r="K64" s="45" t="s">
        <v>133</v>
      </c>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t="s">
        <v>183</v>
      </c>
      <c r="B65" s="45">
        <v>2658</v>
      </c>
      <c r="C65" s="45">
        <v>2658</v>
      </c>
      <c r="D65" s="45">
        <v>525540</v>
      </c>
      <c r="E65" s="45">
        <v>540000</v>
      </c>
      <c r="F65" s="45">
        <v>540000</v>
      </c>
      <c r="G65" s="45">
        <v>540000</v>
      </c>
      <c r="H65" s="45">
        <v>540000</v>
      </c>
      <c r="I65" s="45">
        <v>545000</v>
      </c>
      <c r="J65" s="45">
        <v>638000</v>
      </c>
      <c r="K65" s="45">
        <v>647000</v>
      </c>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t="s">
        <v>184</v>
      </c>
      <c r="B66" s="45">
        <v>8634522</v>
      </c>
      <c r="C66" s="45">
        <v>9302310</v>
      </c>
      <c r="D66" s="45">
        <v>18376813</v>
      </c>
      <c r="E66" s="45">
        <v>38405000</v>
      </c>
      <c r="F66" s="45">
        <v>58667000</v>
      </c>
      <c r="G66" s="45">
        <v>104688000</v>
      </c>
      <c r="H66" s="45">
        <v>155971000</v>
      </c>
      <c r="I66" s="45">
        <v>262823000</v>
      </c>
      <c r="J66" s="45">
        <v>462168000</v>
      </c>
      <c r="K66" s="45">
        <v>802967000</v>
      </c>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t="s">
        <v>185</v>
      </c>
      <c r="B67" s="45" t="s">
        <v>133</v>
      </c>
      <c r="C67" s="45" t="s">
        <v>133</v>
      </c>
      <c r="D67" s="45" t="s">
        <v>133</v>
      </c>
      <c r="E67" s="45" t="s">
        <v>133</v>
      </c>
      <c r="F67" s="45" t="s">
        <v>133</v>
      </c>
      <c r="G67" s="45" t="s">
        <v>133</v>
      </c>
      <c r="H67" s="45" t="s">
        <v>133</v>
      </c>
      <c r="I67" s="45" t="s">
        <v>133</v>
      </c>
      <c r="J67" s="45" t="s">
        <v>133</v>
      </c>
      <c r="K67" s="45" t="s">
        <v>133</v>
      </c>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t="s">
        <v>186</v>
      </c>
      <c r="B68" s="45">
        <v>4760294</v>
      </c>
      <c r="C68" s="45">
        <v>4749408</v>
      </c>
      <c r="D68" s="45">
        <v>4812680</v>
      </c>
      <c r="E68" s="45">
        <v>4867000</v>
      </c>
      <c r="F68" s="45">
        <v>4689000</v>
      </c>
      <c r="G68" s="45">
        <v>4653000</v>
      </c>
      <c r="H68" s="45">
        <v>5759000</v>
      </c>
      <c r="I68" s="45">
        <v>17529000</v>
      </c>
      <c r="J68" s="45">
        <v>2263365000</v>
      </c>
      <c r="K68" s="45">
        <v>2387336000</v>
      </c>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t="s">
        <v>187</v>
      </c>
      <c r="B69" s="45">
        <v>13397474</v>
      </c>
      <c r="C69" s="45">
        <v>14054376</v>
      </c>
      <c r="D69" s="45">
        <v>23715033</v>
      </c>
      <c r="E69" s="45">
        <v>43812000</v>
      </c>
      <c r="F69" s="45">
        <v>63896000</v>
      </c>
      <c r="G69" s="45">
        <v>109881000</v>
      </c>
      <c r="H69" s="45">
        <v>162270000</v>
      </c>
      <c r="I69" s="45">
        <v>280897000</v>
      </c>
      <c r="J69" s="45">
        <v>2726171000</v>
      </c>
      <c r="K69" s="45">
        <v>3190950000</v>
      </c>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t="s">
        <v>188</v>
      </c>
      <c r="B70" s="45">
        <v>18485695</v>
      </c>
      <c r="C70" s="45">
        <v>23063911</v>
      </c>
      <c r="D70" s="45">
        <v>31798747</v>
      </c>
      <c r="E70" s="45">
        <v>59613000</v>
      </c>
      <c r="F70" s="45">
        <v>103318000</v>
      </c>
      <c r="G70" s="45">
        <v>167337000</v>
      </c>
      <c r="H70" s="45">
        <v>240657000</v>
      </c>
      <c r="I70" s="45">
        <v>434160000</v>
      </c>
      <c r="J70" s="45">
        <v>3169112000</v>
      </c>
      <c r="K70" s="45">
        <v>3903067000</v>
      </c>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t="s">
        <v>189</v>
      </c>
      <c r="B71" s="45">
        <v>-3</v>
      </c>
      <c r="C71" s="45" t="s">
        <v>133</v>
      </c>
      <c r="D71" s="45">
        <v>1</v>
      </c>
      <c r="E71" s="45">
        <v>-2000</v>
      </c>
      <c r="F71" s="45" t="s">
        <v>133</v>
      </c>
      <c r="G71" s="45" t="s">
        <v>133</v>
      </c>
      <c r="H71" s="45" t="s">
        <v>133</v>
      </c>
      <c r="I71" s="45" t="s">
        <v>133</v>
      </c>
      <c r="J71" s="45" t="s">
        <v>133</v>
      </c>
      <c r="K71" s="45" t="s">
        <v>133</v>
      </c>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t="s">
        <v>190</v>
      </c>
      <c r="B72" s="45">
        <v>18485692</v>
      </c>
      <c r="C72" s="45">
        <v>23063911</v>
      </c>
      <c r="D72" s="45">
        <v>31798748</v>
      </c>
      <c r="E72" s="45">
        <v>59611000</v>
      </c>
      <c r="F72" s="45">
        <v>103318000</v>
      </c>
      <c r="G72" s="45">
        <v>167337000</v>
      </c>
      <c r="H72" s="45">
        <v>240657000</v>
      </c>
      <c r="I72" s="45">
        <v>434160000</v>
      </c>
      <c r="J72" s="45">
        <v>3169112000</v>
      </c>
      <c r="K72" s="45">
        <v>3903067000</v>
      </c>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t="s">
        <v>155</v>
      </c>
      <c r="B73" s="45" t="s">
        <v>133</v>
      </c>
      <c r="C73" s="45" t="s">
        <v>133</v>
      </c>
      <c r="D73" s="45" t="s">
        <v>133</v>
      </c>
      <c r="E73" s="45" t="s">
        <v>133</v>
      </c>
      <c r="F73" s="45" t="s">
        <v>133</v>
      </c>
      <c r="G73" s="45" t="s">
        <v>133</v>
      </c>
      <c r="H73" s="45" t="s">
        <v>133</v>
      </c>
      <c r="I73" s="45" t="s">
        <v>133</v>
      </c>
      <c r="J73" s="45" t="s">
        <v>133</v>
      </c>
      <c r="K73" s="45" t="s">
        <v>133</v>
      </c>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t="s">
        <v>191</v>
      </c>
      <c r="B74" s="45" t="s">
        <v>0</v>
      </c>
      <c r="C74" s="45" t="s">
        <v>0</v>
      </c>
      <c r="D74" s="45" t="s">
        <v>0</v>
      </c>
      <c r="E74" s="45" t="s">
        <v>0</v>
      </c>
      <c r="F74" s="45" t="s">
        <v>0</v>
      </c>
      <c r="G74" s="45" t="s">
        <v>0</v>
      </c>
      <c r="H74" s="45" t="s">
        <v>0</v>
      </c>
      <c r="I74" s="45" t="s">
        <v>0</v>
      </c>
      <c r="J74" s="45" t="s">
        <v>0</v>
      </c>
      <c r="K74" s="45" t="s">
        <v>0</v>
      </c>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t="s">
        <v>5</v>
      </c>
      <c r="B75" s="45">
        <v>8708997</v>
      </c>
      <c r="C75" s="45">
        <v>7167788</v>
      </c>
      <c r="D75" s="45">
        <v>12097385</v>
      </c>
      <c r="E75" s="45">
        <v>20028000</v>
      </c>
      <c r="F75" s="45">
        <v>31740000</v>
      </c>
      <c r="G75" s="45">
        <v>62129000</v>
      </c>
      <c r="H75" s="45">
        <v>83460000</v>
      </c>
      <c r="I75" s="45">
        <v>149726000</v>
      </c>
      <c r="J75" s="45">
        <v>284622000</v>
      </c>
      <c r="K75" s="45">
        <v>605435000</v>
      </c>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t="s">
        <v>144</v>
      </c>
      <c r="B76" s="45">
        <v>1651254</v>
      </c>
      <c r="C76" s="45">
        <v>3467671</v>
      </c>
      <c r="D76" s="45">
        <v>3892846</v>
      </c>
      <c r="E76" s="45">
        <v>5945000</v>
      </c>
      <c r="F76" s="45">
        <v>9760000</v>
      </c>
      <c r="G76" s="45">
        <v>13754000</v>
      </c>
      <c r="H76" s="45">
        <v>18197000</v>
      </c>
      <c r="I76" s="45">
        <v>25476000</v>
      </c>
      <c r="J76" s="45">
        <v>32513000</v>
      </c>
      <c r="K76" s="45">
        <v>80646000</v>
      </c>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t="s">
        <v>192</v>
      </c>
      <c r="B77" s="45" t="s">
        <v>133</v>
      </c>
      <c r="C77" s="45" t="s">
        <v>133</v>
      </c>
      <c r="D77" s="45" t="s">
        <v>133</v>
      </c>
      <c r="E77" s="45" t="s">
        <v>133</v>
      </c>
      <c r="F77" s="45" t="s">
        <v>133</v>
      </c>
      <c r="G77" s="45" t="s">
        <v>133</v>
      </c>
      <c r="H77" s="45" t="s">
        <v>133</v>
      </c>
      <c r="I77" s="45" t="s">
        <v>133</v>
      </c>
      <c r="J77" s="45" t="s">
        <v>133</v>
      </c>
      <c r="K77" s="45" t="s">
        <v>133</v>
      </c>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t="s">
        <v>193</v>
      </c>
      <c r="B78" s="45" t="s">
        <v>133</v>
      </c>
      <c r="C78" s="45" t="s">
        <v>133</v>
      </c>
      <c r="D78" s="45" t="s">
        <v>133</v>
      </c>
      <c r="E78" s="45" t="s">
        <v>133</v>
      </c>
      <c r="F78" s="45" t="s">
        <v>133</v>
      </c>
      <c r="G78" s="45" t="s">
        <v>133</v>
      </c>
      <c r="H78" s="45" t="s">
        <v>133</v>
      </c>
      <c r="I78" s="45" t="s">
        <v>133</v>
      </c>
      <c r="J78" s="45" t="s">
        <v>133</v>
      </c>
      <c r="K78" s="45" t="s">
        <v>133</v>
      </c>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t="s">
        <v>194</v>
      </c>
      <c r="B79" s="45">
        <v>-959000</v>
      </c>
      <c r="C79" s="45">
        <v>26742</v>
      </c>
      <c r="D79" s="45">
        <v>-2051205</v>
      </c>
      <c r="E79" s="45">
        <v>-2082000</v>
      </c>
      <c r="F79" s="45">
        <v>-3835000</v>
      </c>
      <c r="G79" s="45">
        <v>-15039000</v>
      </c>
      <c r="H79" s="45">
        <v>-5136000</v>
      </c>
      <c r="I79" s="45">
        <v>-2863000</v>
      </c>
      <c r="J79" s="45">
        <v>-34893000</v>
      </c>
      <c r="K79" s="45">
        <v>-95283000</v>
      </c>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t="s">
        <v>195</v>
      </c>
      <c r="B80" s="45" t="s">
        <v>133</v>
      </c>
      <c r="C80" s="45" t="s">
        <v>133</v>
      </c>
      <c r="D80" s="45" t="s">
        <v>133</v>
      </c>
      <c r="E80" s="45" t="s">
        <v>133</v>
      </c>
      <c r="F80" s="45" t="s">
        <v>133</v>
      </c>
      <c r="G80" s="45" t="s">
        <v>133</v>
      </c>
      <c r="H80" s="45" t="s">
        <v>133</v>
      </c>
      <c r="I80" s="45" t="s">
        <v>133</v>
      </c>
      <c r="J80" s="45" t="s">
        <v>133</v>
      </c>
      <c r="K80" s="45" t="s">
        <v>133</v>
      </c>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t="s">
        <v>159</v>
      </c>
      <c r="B81" s="45" t="s">
        <v>133</v>
      </c>
      <c r="C81" s="45" t="s">
        <v>133</v>
      </c>
      <c r="D81" s="45" t="s">
        <v>133</v>
      </c>
      <c r="E81" s="45" t="s">
        <v>133</v>
      </c>
      <c r="F81" s="45" t="s">
        <v>133</v>
      </c>
      <c r="G81" s="45" t="s">
        <v>133</v>
      </c>
      <c r="H81" s="45" t="s">
        <v>133</v>
      </c>
      <c r="I81" s="45" t="s">
        <v>133</v>
      </c>
      <c r="J81" s="45" t="s">
        <v>133</v>
      </c>
      <c r="K81" s="45" t="s">
        <v>133</v>
      </c>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t="s">
        <v>171</v>
      </c>
      <c r="B82" s="45" t="s">
        <v>133</v>
      </c>
      <c r="C82" s="45" t="s">
        <v>133</v>
      </c>
      <c r="D82" s="45" t="s">
        <v>133</v>
      </c>
      <c r="E82" s="45" t="s">
        <v>133</v>
      </c>
      <c r="F82" s="45" t="s">
        <v>133</v>
      </c>
      <c r="G82" s="45" t="s">
        <v>133</v>
      </c>
      <c r="H82" s="45" t="s">
        <v>133</v>
      </c>
      <c r="I82" s="45" t="s">
        <v>133</v>
      </c>
      <c r="J82" s="45" t="s">
        <v>133</v>
      </c>
      <c r="K82" s="45" t="s">
        <v>133</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t="s">
        <v>196</v>
      </c>
      <c r="B83" s="45" t="s">
        <v>133</v>
      </c>
      <c r="C83" s="45" t="s">
        <v>133</v>
      </c>
      <c r="D83" s="45" t="s">
        <v>133</v>
      </c>
      <c r="E83" s="45" t="s">
        <v>133</v>
      </c>
      <c r="F83" s="45" t="s">
        <v>133</v>
      </c>
      <c r="G83" s="45" t="s">
        <v>133</v>
      </c>
      <c r="H83" s="45" t="s">
        <v>133</v>
      </c>
      <c r="I83" s="45" t="s">
        <v>133</v>
      </c>
      <c r="J83" s="45" t="s">
        <v>133</v>
      </c>
      <c r="K83" s="45" t="s">
        <v>133</v>
      </c>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t="s">
        <v>197</v>
      </c>
      <c r="B84" s="45">
        <v>401125</v>
      </c>
      <c r="C84" s="45">
        <v>-197120</v>
      </c>
      <c r="D84" s="45">
        <v>279264</v>
      </c>
      <c r="E84" s="45">
        <v>-3000</v>
      </c>
      <c r="F84" s="45">
        <v>2362000</v>
      </c>
      <c r="G84" s="45">
        <v>1640000</v>
      </c>
      <c r="H84" s="45">
        <v>3515000</v>
      </c>
      <c r="I84" s="45">
        <v>3447000</v>
      </c>
      <c r="J84" s="45">
        <v>33809000</v>
      </c>
      <c r="K84" s="45">
        <v>8097000</v>
      </c>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t="s">
        <v>198</v>
      </c>
      <c r="B85" s="45">
        <v>9802376</v>
      </c>
      <c r="C85" s="45">
        <v>10465081</v>
      </c>
      <c r="D85" s="45">
        <v>14218290</v>
      </c>
      <c r="E85" s="45">
        <v>23888000</v>
      </c>
      <c r="F85" s="45">
        <v>40027000</v>
      </c>
      <c r="G85" s="45">
        <v>62484000</v>
      </c>
      <c r="H85" s="45">
        <v>100036000</v>
      </c>
      <c r="I85" s="45">
        <v>175786000</v>
      </c>
      <c r="J85" s="45">
        <v>316051000</v>
      </c>
      <c r="K85" s="45">
        <v>598895000</v>
      </c>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t="s">
        <v>199</v>
      </c>
      <c r="B86" s="45">
        <v>-3932029</v>
      </c>
      <c r="C86" s="45">
        <v>-6625630</v>
      </c>
      <c r="D86" s="45">
        <v>-5967182</v>
      </c>
      <c r="E86" s="45">
        <v>-11936000</v>
      </c>
      <c r="F86" s="45">
        <v>-31182000</v>
      </c>
      <c r="G86" s="45">
        <v>-20949000</v>
      </c>
      <c r="H86" s="45">
        <v>-33130000</v>
      </c>
      <c r="I86" s="45">
        <v>-30108000</v>
      </c>
      <c r="J86" s="45">
        <v>-36886000</v>
      </c>
      <c r="K86" s="45">
        <v>-61592000</v>
      </c>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t="s">
        <v>200</v>
      </c>
      <c r="B87" s="45" t="s">
        <v>133</v>
      </c>
      <c r="C87" s="45" t="s">
        <v>133</v>
      </c>
      <c r="D87" s="45" t="s">
        <v>133</v>
      </c>
      <c r="E87" s="45" t="s">
        <v>133</v>
      </c>
      <c r="F87" s="45" t="s">
        <v>133</v>
      </c>
      <c r="G87" s="45" t="s">
        <v>133</v>
      </c>
      <c r="H87" s="45">
        <v>1480000</v>
      </c>
      <c r="I87" s="45">
        <v>-11812000</v>
      </c>
      <c r="J87" s="45">
        <v>46085000</v>
      </c>
      <c r="K87" s="45">
        <v>-92230000</v>
      </c>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t="s">
        <v>201</v>
      </c>
      <c r="B88" s="45" t="s">
        <v>133</v>
      </c>
      <c r="C88" s="45" t="s">
        <v>133</v>
      </c>
      <c r="D88" s="45" t="s">
        <v>133</v>
      </c>
      <c r="E88" s="45" t="s">
        <v>133</v>
      </c>
      <c r="F88" s="45">
        <v>-202000</v>
      </c>
      <c r="G88" s="45" t="s">
        <v>133</v>
      </c>
      <c r="H88" s="45" t="s">
        <v>133</v>
      </c>
      <c r="I88" s="45" t="s">
        <v>133</v>
      </c>
      <c r="J88" s="45" t="s">
        <v>133</v>
      </c>
      <c r="K88" s="45" t="s">
        <v>133</v>
      </c>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t="s">
        <v>202</v>
      </c>
      <c r="B89" s="45" t="s">
        <v>133</v>
      </c>
      <c r="C89" s="45" t="s">
        <v>133</v>
      </c>
      <c r="D89" s="45" t="s">
        <v>133</v>
      </c>
      <c r="E89" s="45" t="s">
        <v>133</v>
      </c>
      <c r="F89" s="45" t="s">
        <v>133</v>
      </c>
      <c r="G89" s="45" t="s">
        <v>133</v>
      </c>
      <c r="H89" s="45">
        <v>1480000</v>
      </c>
      <c r="I89" s="45" t="s">
        <v>133</v>
      </c>
      <c r="J89" s="45" t="s">
        <v>133</v>
      </c>
      <c r="K89" s="45" t="s">
        <v>133</v>
      </c>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t="s">
        <v>203</v>
      </c>
      <c r="B90" s="45">
        <v>-2164722</v>
      </c>
      <c r="C90" s="45">
        <v>-3243677</v>
      </c>
      <c r="D90" s="45">
        <v>-4252217</v>
      </c>
      <c r="E90" s="45">
        <v>-7156000</v>
      </c>
      <c r="F90" s="45">
        <v>-10209000</v>
      </c>
      <c r="G90" s="45">
        <v>-11996000</v>
      </c>
      <c r="H90" s="45">
        <v>-16742000</v>
      </c>
      <c r="I90" s="45">
        <v>-11762000</v>
      </c>
      <c r="J90" s="45">
        <v>-16013000</v>
      </c>
      <c r="K90" s="45">
        <v>-29415000</v>
      </c>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t="s">
        <v>204</v>
      </c>
      <c r="B91" s="45">
        <v>-3932030</v>
      </c>
      <c r="C91" s="45">
        <v>-6625630</v>
      </c>
      <c r="D91" s="45">
        <v>-5967182</v>
      </c>
      <c r="E91" s="45">
        <v>-11936000</v>
      </c>
      <c r="F91" s="45">
        <v>-31384000</v>
      </c>
      <c r="G91" s="45">
        <v>-22387000</v>
      </c>
      <c r="H91" s="45">
        <v>-31650000</v>
      </c>
      <c r="I91" s="45">
        <v>-42524000</v>
      </c>
      <c r="J91" s="45">
        <v>6821000</v>
      </c>
      <c r="K91" s="45">
        <v>-154952000</v>
      </c>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t="s">
        <v>205</v>
      </c>
      <c r="B92" s="45" t="s">
        <v>133</v>
      </c>
      <c r="C92" s="45" t="s">
        <v>133</v>
      </c>
      <c r="D92" s="45" t="s">
        <v>133</v>
      </c>
      <c r="E92" s="45">
        <v>-276000</v>
      </c>
      <c r="F92" s="45">
        <v>-729000</v>
      </c>
      <c r="G92" s="45">
        <v>-748000</v>
      </c>
      <c r="H92" s="45">
        <v>-1074000</v>
      </c>
      <c r="I92" s="45">
        <v>-950000</v>
      </c>
      <c r="J92" s="45">
        <v>-190351000</v>
      </c>
      <c r="K92" s="45" t="s">
        <v>133</v>
      </c>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t="s">
        <v>206</v>
      </c>
      <c r="B93" s="45">
        <v>-1428</v>
      </c>
      <c r="C93" s="45">
        <v>1428</v>
      </c>
      <c r="D93" s="45" t="s">
        <v>133</v>
      </c>
      <c r="E93" s="45">
        <v>13000</v>
      </c>
      <c r="F93" s="45">
        <v>376000</v>
      </c>
      <c r="G93" s="45" t="s">
        <v>133</v>
      </c>
      <c r="H93" s="45">
        <v>803000</v>
      </c>
      <c r="I93" s="45">
        <v>11568000</v>
      </c>
      <c r="J93" s="45">
        <v>4504000</v>
      </c>
      <c r="K93" s="45">
        <v>32015000</v>
      </c>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t="s">
        <v>207</v>
      </c>
      <c r="B94" s="45" t="s">
        <v>133</v>
      </c>
      <c r="C94" s="45" t="s">
        <v>133</v>
      </c>
      <c r="D94" s="45" t="s">
        <v>133</v>
      </c>
      <c r="E94" s="45" t="s">
        <v>133</v>
      </c>
      <c r="F94" s="45" t="s">
        <v>133</v>
      </c>
      <c r="G94" s="45" t="s">
        <v>133</v>
      </c>
      <c r="H94" s="45" t="s">
        <v>133</v>
      </c>
      <c r="I94" s="45" t="s">
        <v>133</v>
      </c>
      <c r="J94" s="45">
        <v>-12864000</v>
      </c>
      <c r="K94" s="45">
        <v>-123315000</v>
      </c>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t="s">
        <v>208</v>
      </c>
      <c r="B95" s="45">
        <v>-1500000</v>
      </c>
      <c r="C95" s="45">
        <v>-3500000</v>
      </c>
      <c r="D95" s="45">
        <v>-5500000</v>
      </c>
      <c r="E95" s="45" t="s">
        <v>133</v>
      </c>
      <c r="F95" s="45">
        <v>-11510000</v>
      </c>
      <c r="G95" s="45">
        <v>-16187000</v>
      </c>
      <c r="H95" s="45">
        <v>-32373000</v>
      </c>
      <c r="I95" s="45">
        <v>-43164000</v>
      </c>
      <c r="J95" s="45">
        <v>-76140000</v>
      </c>
      <c r="K95" s="45">
        <v>-144382000</v>
      </c>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t="s">
        <v>209</v>
      </c>
      <c r="B96" s="45">
        <v>26274</v>
      </c>
      <c r="C96" s="45">
        <v>-15347</v>
      </c>
      <c r="D96" s="45">
        <v>5038</v>
      </c>
      <c r="E96" s="45">
        <v>1000</v>
      </c>
      <c r="F96" s="45">
        <v>9300000</v>
      </c>
      <c r="G96" s="45" t="s">
        <v>133</v>
      </c>
      <c r="H96" s="45" t="s">
        <v>133</v>
      </c>
      <c r="I96" s="45">
        <v>-3508000</v>
      </c>
      <c r="J96" s="45">
        <v>-5059000</v>
      </c>
      <c r="K96" s="45">
        <v>-12834000</v>
      </c>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t="s">
        <v>210</v>
      </c>
      <c r="B97" s="45">
        <v>-1475154</v>
      </c>
      <c r="C97" s="45">
        <v>-3513919</v>
      </c>
      <c r="D97" s="45">
        <v>-5494962</v>
      </c>
      <c r="E97" s="45">
        <v>-262000</v>
      </c>
      <c r="F97" s="45">
        <v>-2563000</v>
      </c>
      <c r="G97" s="45">
        <v>-16935000</v>
      </c>
      <c r="H97" s="45">
        <v>-32644000</v>
      </c>
      <c r="I97" s="45">
        <v>-36054000</v>
      </c>
      <c r="J97" s="45">
        <v>-279910000</v>
      </c>
      <c r="K97" s="45">
        <v>-248516000</v>
      </c>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t="s">
        <v>211</v>
      </c>
      <c r="B98" s="45">
        <v>13398</v>
      </c>
      <c r="C98" s="45">
        <v>-10886</v>
      </c>
      <c r="D98" s="45">
        <v>-63276</v>
      </c>
      <c r="E98" s="45">
        <v>-55000</v>
      </c>
      <c r="F98" s="45">
        <v>177000</v>
      </c>
      <c r="G98" s="45">
        <v>-78000</v>
      </c>
      <c r="H98" s="45">
        <v>-63000</v>
      </c>
      <c r="I98" s="45">
        <v>361000</v>
      </c>
      <c r="J98" s="45">
        <v>-3807000</v>
      </c>
      <c r="K98" s="45">
        <v>4330000</v>
      </c>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t="s">
        <v>212</v>
      </c>
      <c r="B99" s="45">
        <v>4408591</v>
      </c>
      <c r="C99" s="45">
        <v>314646</v>
      </c>
      <c r="D99" s="45">
        <v>2692870</v>
      </c>
      <c r="E99" s="45">
        <v>11635000</v>
      </c>
      <c r="F99" s="45">
        <v>6258000</v>
      </c>
      <c r="G99" s="45">
        <v>23084000</v>
      </c>
      <c r="H99" s="45">
        <v>35679000</v>
      </c>
      <c r="I99" s="45">
        <v>97569000</v>
      </c>
      <c r="J99" s="45">
        <v>39155000</v>
      </c>
      <c r="K99" s="45">
        <v>199757000</v>
      </c>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t="s">
        <v>213</v>
      </c>
      <c r="B100" s="45">
        <v>5287528</v>
      </c>
      <c r="C100" s="45">
        <v>5602174</v>
      </c>
      <c r="D100" s="45">
        <v>8295044</v>
      </c>
      <c r="E100" s="45">
        <v>19930000</v>
      </c>
      <c r="F100" s="45">
        <v>26188000</v>
      </c>
      <c r="G100" s="45">
        <v>49272000</v>
      </c>
      <c r="H100" s="45">
        <v>84951000</v>
      </c>
      <c r="I100" s="45">
        <v>182520000</v>
      </c>
      <c r="J100" s="45">
        <v>221675000</v>
      </c>
      <c r="K100" s="45">
        <v>421432000</v>
      </c>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t="s">
        <v>214</v>
      </c>
      <c r="B101" s="45">
        <v>878937</v>
      </c>
      <c r="C101" s="45">
        <v>5287528</v>
      </c>
      <c r="D101" s="45">
        <v>5602174</v>
      </c>
      <c r="E101" s="45">
        <v>8295000</v>
      </c>
      <c r="F101" s="45">
        <v>19930000</v>
      </c>
      <c r="G101" s="45">
        <v>26188000</v>
      </c>
      <c r="H101" s="45">
        <v>49272000</v>
      </c>
      <c r="I101" s="45">
        <v>84951000</v>
      </c>
      <c r="J101" s="45">
        <v>182520000</v>
      </c>
      <c r="K101" s="45">
        <v>221675000</v>
      </c>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t="s">
        <v>11</v>
      </c>
      <c r="B102" s="45">
        <v>5870347</v>
      </c>
      <c r="C102" s="45">
        <v>3839451</v>
      </c>
      <c r="D102" s="45">
        <v>8251108</v>
      </c>
      <c r="E102" s="45">
        <v>11952000</v>
      </c>
      <c r="F102" s="45">
        <v>8845000</v>
      </c>
      <c r="G102" s="45">
        <v>41535000</v>
      </c>
      <c r="H102" s="45">
        <v>66906000</v>
      </c>
      <c r="I102" s="45">
        <v>145678000</v>
      </c>
      <c r="J102" s="45">
        <v>279165000</v>
      </c>
      <c r="K102" s="45">
        <v>537303000</v>
      </c>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t="s">
        <v>155</v>
      </c>
      <c r="B103" s="45" t="s">
        <v>133</v>
      </c>
      <c r="C103" s="45" t="s">
        <v>133</v>
      </c>
      <c r="D103" s="45" t="s">
        <v>133</v>
      </c>
      <c r="E103" s="45" t="s">
        <v>133</v>
      </c>
      <c r="F103" s="45" t="s">
        <v>133</v>
      </c>
      <c r="G103" s="45" t="s">
        <v>133</v>
      </c>
      <c r="H103" s="45" t="s">
        <v>133</v>
      </c>
      <c r="I103" s="45" t="s">
        <v>133</v>
      </c>
      <c r="J103" s="45" t="s">
        <v>133</v>
      </c>
      <c r="K103" s="45" t="s">
        <v>133</v>
      </c>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t="s">
        <v>215</v>
      </c>
      <c r="B104" s="45">
        <v>1.3193999999999999</v>
      </c>
      <c r="C104" s="45">
        <v>1.3745000000000001</v>
      </c>
      <c r="D104" s="45">
        <v>1.2097</v>
      </c>
      <c r="E104" s="45">
        <v>1.0860000000000001</v>
      </c>
      <c r="F104" s="45">
        <v>1.0512999999999999</v>
      </c>
      <c r="G104" s="45">
        <v>1.1996</v>
      </c>
      <c r="H104" s="45">
        <v>1.1469</v>
      </c>
      <c r="I104" s="45">
        <v>1.121</v>
      </c>
      <c r="J104" s="45">
        <v>1.2213000000000001</v>
      </c>
      <c r="K104" s="45">
        <v>1.1368</v>
      </c>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D0F3-3032-4C1E-80A7-914E1C087C3C}">
  <dimension ref="A1:AJ104"/>
  <sheetViews>
    <sheetView workbookViewId="0">
      <selection sqref="A1:AK104"/>
    </sheetView>
  </sheetViews>
  <sheetFormatPr baseColWidth="10" defaultRowHeight="15" x14ac:dyDescent="0.25"/>
  <sheetData>
    <row r="1" spans="1:36" x14ac:dyDescent="0.25">
      <c r="A1" t="s">
        <v>216</v>
      </c>
      <c r="B1" t="s">
        <v>251</v>
      </c>
      <c r="C1" t="s">
        <v>252</v>
      </c>
      <c r="D1" t="s">
        <v>253</v>
      </c>
      <c r="E1" t="s">
        <v>254</v>
      </c>
      <c r="F1" t="s">
        <v>255</v>
      </c>
      <c r="G1" t="s">
        <v>256</v>
      </c>
      <c r="H1" t="s">
        <v>257</v>
      </c>
      <c r="I1" t="s">
        <v>258</v>
      </c>
      <c r="J1" t="s">
        <v>259</v>
      </c>
      <c r="K1" t="s">
        <v>260</v>
      </c>
      <c r="L1" t="s">
        <v>261</v>
      </c>
      <c r="M1" t="s">
        <v>262</v>
      </c>
      <c r="N1" t="s">
        <v>263</v>
      </c>
      <c r="O1" t="s">
        <v>264</v>
      </c>
      <c r="P1" t="s">
        <v>265</v>
      </c>
      <c r="Q1" t="s">
        <v>266</v>
      </c>
      <c r="R1" t="s">
        <v>267</v>
      </c>
      <c r="S1" t="s">
        <v>268</v>
      </c>
      <c r="T1" t="s">
        <v>269</v>
      </c>
      <c r="U1" t="s">
        <v>270</v>
      </c>
      <c r="V1" t="s">
        <v>271</v>
      </c>
      <c r="W1" t="s">
        <v>272</v>
      </c>
      <c r="X1" t="s">
        <v>273</v>
      </c>
      <c r="Y1" t="s">
        <v>274</v>
      </c>
      <c r="Z1" t="s">
        <v>275</v>
      </c>
      <c r="AA1" t="s">
        <v>276</v>
      </c>
      <c r="AB1" t="s">
        <v>277</v>
      </c>
      <c r="AC1" t="s">
        <v>278</v>
      </c>
      <c r="AD1" t="s">
        <v>279</v>
      </c>
      <c r="AE1" t="s">
        <v>280</v>
      </c>
      <c r="AF1" t="s">
        <v>281</v>
      </c>
      <c r="AG1" t="s">
        <v>282</v>
      </c>
      <c r="AH1" t="s">
        <v>283</v>
      </c>
      <c r="AI1" t="s">
        <v>284</v>
      </c>
      <c r="AJ1" t="s">
        <v>285</v>
      </c>
    </row>
    <row r="2" spans="1:36" x14ac:dyDescent="0.25">
      <c r="A2" t="s">
        <v>131</v>
      </c>
      <c r="B2" t="s">
        <v>0</v>
      </c>
      <c r="C2" t="s">
        <v>0</v>
      </c>
      <c r="D2" t="s">
        <v>0</v>
      </c>
      <c r="E2" t="s">
        <v>0</v>
      </c>
      <c r="F2" t="s">
        <v>0</v>
      </c>
      <c r="G2" t="s">
        <v>0</v>
      </c>
      <c r="H2" t="s">
        <v>0</v>
      </c>
      <c r="I2" t="s">
        <v>0</v>
      </c>
      <c r="J2" t="s">
        <v>0</v>
      </c>
      <c r="K2" t="s">
        <v>0</v>
      </c>
    </row>
    <row r="3" spans="1:36" x14ac:dyDescent="0.25">
      <c r="A3" t="s">
        <v>1</v>
      </c>
      <c r="B3">
        <v>10761000</v>
      </c>
      <c r="C3">
        <v>11527000</v>
      </c>
      <c r="D3">
        <v>12447000</v>
      </c>
      <c r="E3">
        <v>13797553</v>
      </c>
      <c r="F3">
        <v>15426000</v>
      </c>
      <c r="G3">
        <v>17862000</v>
      </c>
      <c r="H3">
        <v>19486000</v>
      </c>
      <c r="I3">
        <v>23585000</v>
      </c>
      <c r="J3">
        <v>24794000</v>
      </c>
      <c r="K3">
        <v>27139000</v>
      </c>
      <c r="L3">
        <v>29205000</v>
      </c>
      <c r="M3">
        <v>34322000</v>
      </c>
      <c r="N3">
        <v>39688000</v>
      </c>
      <c r="O3">
        <v>42289000</v>
      </c>
      <c r="P3">
        <v>45690000</v>
      </c>
      <c r="Q3">
        <v>50718000</v>
      </c>
      <c r="R3">
        <v>51594000</v>
      </c>
      <c r="S3">
        <v>59252000</v>
      </c>
      <c r="T3">
        <v>64346000</v>
      </c>
      <c r="U3">
        <v>70226000</v>
      </c>
      <c r="V3">
        <v>79297000</v>
      </c>
      <c r="W3">
        <v>85728000</v>
      </c>
      <c r="X3">
        <v>94729000</v>
      </c>
      <c r="Y3">
        <v>105998000</v>
      </c>
      <c r="Z3">
        <v>115149000</v>
      </c>
      <c r="AA3">
        <v>128307000</v>
      </c>
      <c r="AB3">
        <v>140020000</v>
      </c>
      <c r="AC3">
        <v>177658000</v>
      </c>
      <c r="AD3">
        <v>235841000</v>
      </c>
      <c r="AE3">
        <v>256687000</v>
      </c>
      <c r="AF3">
        <v>276016000</v>
      </c>
      <c r="AG3">
        <v>300233000</v>
      </c>
      <c r="AH3">
        <v>326767000</v>
      </c>
      <c r="AI3">
        <v>343958000</v>
      </c>
      <c r="AJ3">
        <v>378532000</v>
      </c>
    </row>
    <row r="4" spans="1:36" x14ac:dyDescent="0.25">
      <c r="A4" t="s">
        <v>132</v>
      </c>
      <c r="B4" t="s">
        <v>133</v>
      </c>
      <c r="C4" t="s">
        <v>133</v>
      </c>
      <c r="D4" t="s">
        <v>133</v>
      </c>
      <c r="E4" t="s">
        <v>133</v>
      </c>
      <c r="F4" t="s">
        <v>133</v>
      </c>
      <c r="G4" t="s">
        <v>133</v>
      </c>
      <c r="H4" t="s">
        <v>133</v>
      </c>
      <c r="I4" t="s">
        <v>133</v>
      </c>
      <c r="J4" t="s">
        <v>133</v>
      </c>
      <c r="K4" t="s">
        <v>133</v>
      </c>
      <c r="L4" t="s">
        <v>133</v>
      </c>
      <c r="M4" t="s">
        <v>133</v>
      </c>
      <c r="N4" t="s">
        <v>133</v>
      </c>
      <c r="O4" t="s">
        <v>133</v>
      </c>
      <c r="P4" t="s">
        <v>133</v>
      </c>
      <c r="Q4" t="s">
        <v>133</v>
      </c>
      <c r="R4" t="s">
        <v>133</v>
      </c>
      <c r="S4" t="s">
        <v>133</v>
      </c>
      <c r="T4" t="s">
        <v>133</v>
      </c>
      <c r="U4" t="s">
        <v>133</v>
      </c>
      <c r="V4" t="s">
        <v>133</v>
      </c>
      <c r="W4" t="s">
        <v>133</v>
      </c>
      <c r="X4" t="s">
        <v>133</v>
      </c>
      <c r="Y4" t="s">
        <v>133</v>
      </c>
      <c r="Z4" t="s">
        <v>133</v>
      </c>
      <c r="AA4" t="s">
        <v>133</v>
      </c>
      <c r="AB4" t="s">
        <v>133</v>
      </c>
      <c r="AC4" t="s">
        <v>133</v>
      </c>
      <c r="AD4" t="s">
        <v>133</v>
      </c>
      <c r="AE4" t="s">
        <v>133</v>
      </c>
      <c r="AF4" t="s">
        <v>133</v>
      </c>
      <c r="AG4" t="s">
        <v>133</v>
      </c>
      <c r="AH4" t="s">
        <v>133</v>
      </c>
      <c r="AI4" t="s">
        <v>133</v>
      </c>
      <c r="AJ4" t="s">
        <v>133</v>
      </c>
    </row>
    <row r="5" spans="1:36" x14ac:dyDescent="0.25">
      <c r="A5" t="s">
        <v>2</v>
      </c>
      <c r="B5" t="s">
        <v>133</v>
      </c>
      <c r="C5" t="s">
        <v>133</v>
      </c>
      <c r="D5" t="s">
        <v>133</v>
      </c>
      <c r="E5" t="s">
        <v>133</v>
      </c>
      <c r="F5" t="s">
        <v>133</v>
      </c>
      <c r="G5" t="s">
        <v>133</v>
      </c>
      <c r="H5" t="s">
        <v>133</v>
      </c>
      <c r="I5" t="s">
        <v>133</v>
      </c>
      <c r="J5" t="s">
        <v>133</v>
      </c>
      <c r="K5" t="s">
        <v>133</v>
      </c>
      <c r="L5" t="s">
        <v>133</v>
      </c>
      <c r="M5" t="s">
        <v>133</v>
      </c>
      <c r="N5" t="s">
        <v>133</v>
      </c>
      <c r="O5" t="s">
        <v>133</v>
      </c>
      <c r="P5" t="s">
        <v>133</v>
      </c>
      <c r="Q5" t="s">
        <v>133</v>
      </c>
      <c r="R5" t="s">
        <v>133</v>
      </c>
      <c r="S5" t="s">
        <v>133</v>
      </c>
      <c r="T5" t="s">
        <v>133</v>
      </c>
      <c r="U5" t="s">
        <v>133</v>
      </c>
      <c r="V5" t="s">
        <v>133</v>
      </c>
      <c r="W5" t="s">
        <v>133</v>
      </c>
      <c r="X5" t="s">
        <v>133</v>
      </c>
      <c r="Y5" t="s">
        <v>133</v>
      </c>
      <c r="Z5" t="s">
        <v>133</v>
      </c>
      <c r="AA5" t="s">
        <v>133</v>
      </c>
      <c r="AB5" t="s">
        <v>133</v>
      </c>
      <c r="AC5" t="s">
        <v>133</v>
      </c>
      <c r="AD5" t="s">
        <v>133</v>
      </c>
      <c r="AE5" t="s">
        <v>133</v>
      </c>
      <c r="AF5" t="s">
        <v>133</v>
      </c>
      <c r="AG5" t="s">
        <v>133</v>
      </c>
      <c r="AH5" t="s">
        <v>133</v>
      </c>
      <c r="AI5" t="s">
        <v>133</v>
      </c>
      <c r="AJ5" t="s">
        <v>133</v>
      </c>
    </row>
    <row r="6" spans="1:36" x14ac:dyDescent="0.25">
      <c r="A6" t="s">
        <v>134</v>
      </c>
      <c r="B6" t="s">
        <v>133</v>
      </c>
      <c r="C6" t="s">
        <v>133</v>
      </c>
      <c r="D6" t="s">
        <v>133</v>
      </c>
      <c r="E6" t="s">
        <v>133</v>
      </c>
      <c r="F6" t="s">
        <v>133</v>
      </c>
      <c r="G6" t="s">
        <v>133</v>
      </c>
      <c r="H6" t="s">
        <v>133</v>
      </c>
      <c r="I6" t="s">
        <v>133</v>
      </c>
      <c r="J6" t="s">
        <v>133</v>
      </c>
      <c r="K6" t="s">
        <v>133</v>
      </c>
      <c r="L6" t="s">
        <v>133</v>
      </c>
      <c r="M6" t="s">
        <v>133</v>
      </c>
      <c r="N6" t="s">
        <v>133</v>
      </c>
      <c r="O6" t="s">
        <v>133</v>
      </c>
      <c r="P6" t="s">
        <v>133</v>
      </c>
      <c r="Q6" t="s">
        <v>133</v>
      </c>
      <c r="R6" t="s">
        <v>133</v>
      </c>
      <c r="S6" t="s">
        <v>133</v>
      </c>
      <c r="T6" t="s">
        <v>133</v>
      </c>
      <c r="U6" t="s">
        <v>133</v>
      </c>
      <c r="V6" t="s">
        <v>133</v>
      </c>
      <c r="W6" t="s">
        <v>133</v>
      </c>
      <c r="X6" t="s">
        <v>133</v>
      </c>
      <c r="Y6" t="s">
        <v>133</v>
      </c>
      <c r="Z6" t="s">
        <v>133</v>
      </c>
      <c r="AA6" t="s">
        <v>133</v>
      </c>
      <c r="AB6" t="s">
        <v>133</v>
      </c>
      <c r="AC6" t="s">
        <v>133</v>
      </c>
      <c r="AD6" t="s">
        <v>133</v>
      </c>
      <c r="AE6" t="s">
        <v>133</v>
      </c>
      <c r="AF6" t="s">
        <v>133</v>
      </c>
      <c r="AG6" t="s">
        <v>133</v>
      </c>
      <c r="AH6" t="s">
        <v>133</v>
      </c>
      <c r="AI6" t="s">
        <v>133</v>
      </c>
      <c r="AJ6" t="s">
        <v>133</v>
      </c>
    </row>
    <row r="7" spans="1:36" x14ac:dyDescent="0.25">
      <c r="A7" t="s">
        <v>135</v>
      </c>
      <c r="B7" t="s">
        <v>133</v>
      </c>
      <c r="C7" t="s">
        <v>133</v>
      </c>
      <c r="D7" t="s">
        <v>133</v>
      </c>
      <c r="E7" t="s">
        <v>133</v>
      </c>
      <c r="F7" t="s">
        <v>133</v>
      </c>
      <c r="G7" t="s">
        <v>133</v>
      </c>
      <c r="H7" t="s">
        <v>133</v>
      </c>
      <c r="I7" t="s">
        <v>133</v>
      </c>
      <c r="J7" t="s">
        <v>133</v>
      </c>
      <c r="K7" t="s">
        <v>133</v>
      </c>
      <c r="L7" t="s">
        <v>133</v>
      </c>
      <c r="M7" t="s">
        <v>133</v>
      </c>
      <c r="N7" t="s">
        <v>133</v>
      </c>
      <c r="O7" t="s">
        <v>133</v>
      </c>
      <c r="P7" t="s">
        <v>133</v>
      </c>
      <c r="Q7" t="s">
        <v>133</v>
      </c>
      <c r="R7" t="s">
        <v>133</v>
      </c>
      <c r="S7" t="s">
        <v>133</v>
      </c>
      <c r="T7" t="s">
        <v>133</v>
      </c>
      <c r="U7" t="s">
        <v>133</v>
      </c>
      <c r="V7" t="s">
        <v>133</v>
      </c>
      <c r="W7" t="s">
        <v>133</v>
      </c>
      <c r="X7" t="s">
        <v>133</v>
      </c>
      <c r="Y7" t="s">
        <v>133</v>
      </c>
      <c r="Z7" t="s">
        <v>133</v>
      </c>
      <c r="AA7" t="s">
        <v>133</v>
      </c>
      <c r="AB7" t="s">
        <v>133</v>
      </c>
      <c r="AC7" t="s">
        <v>133</v>
      </c>
      <c r="AD7" t="s">
        <v>133</v>
      </c>
      <c r="AE7" t="s">
        <v>133</v>
      </c>
      <c r="AF7" t="s">
        <v>133</v>
      </c>
      <c r="AG7" t="s">
        <v>133</v>
      </c>
      <c r="AH7" t="s">
        <v>133</v>
      </c>
      <c r="AI7" t="s">
        <v>133</v>
      </c>
      <c r="AJ7" t="s">
        <v>133</v>
      </c>
    </row>
    <row r="8" spans="1:36" x14ac:dyDescent="0.25">
      <c r="A8" t="s">
        <v>136</v>
      </c>
      <c r="B8" t="s">
        <v>133</v>
      </c>
      <c r="C8" t="s">
        <v>133</v>
      </c>
      <c r="D8" t="s">
        <v>133</v>
      </c>
      <c r="E8" t="s">
        <v>133</v>
      </c>
      <c r="F8" t="s">
        <v>133</v>
      </c>
      <c r="G8" t="s">
        <v>133</v>
      </c>
      <c r="H8" t="s">
        <v>133</v>
      </c>
      <c r="I8" t="s">
        <v>133</v>
      </c>
      <c r="J8" t="s">
        <v>133</v>
      </c>
      <c r="K8" t="s">
        <v>133</v>
      </c>
      <c r="L8" t="s">
        <v>133</v>
      </c>
      <c r="M8" t="s">
        <v>133</v>
      </c>
      <c r="N8" t="s">
        <v>133</v>
      </c>
      <c r="O8" t="s">
        <v>133</v>
      </c>
      <c r="P8" t="s">
        <v>133</v>
      </c>
      <c r="Q8" t="s">
        <v>133</v>
      </c>
      <c r="R8" t="s">
        <v>133</v>
      </c>
      <c r="S8" t="s">
        <v>133</v>
      </c>
      <c r="T8" t="s">
        <v>133</v>
      </c>
      <c r="U8" t="s">
        <v>133</v>
      </c>
      <c r="V8" t="s">
        <v>133</v>
      </c>
      <c r="W8" t="s">
        <v>133</v>
      </c>
      <c r="X8" t="s">
        <v>133</v>
      </c>
      <c r="Y8" t="s">
        <v>133</v>
      </c>
      <c r="Z8" t="s">
        <v>133</v>
      </c>
      <c r="AA8" t="s">
        <v>133</v>
      </c>
      <c r="AB8" t="s">
        <v>133</v>
      </c>
      <c r="AC8" t="s">
        <v>133</v>
      </c>
      <c r="AD8" t="s">
        <v>133</v>
      </c>
      <c r="AE8" t="s">
        <v>133</v>
      </c>
      <c r="AF8" t="s">
        <v>133</v>
      </c>
      <c r="AG8" t="s">
        <v>133</v>
      </c>
      <c r="AH8" t="s">
        <v>133</v>
      </c>
      <c r="AI8" t="s">
        <v>133</v>
      </c>
      <c r="AJ8" t="s">
        <v>133</v>
      </c>
    </row>
    <row r="9" spans="1:36" x14ac:dyDescent="0.25">
      <c r="A9" t="s">
        <v>137</v>
      </c>
      <c r="B9" t="s">
        <v>133</v>
      </c>
      <c r="C9" t="s">
        <v>133</v>
      </c>
      <c r="D9" t="s">
        <v>133</v>
      </c>
      <c r="E9" t="s">
        <v>133</v>
      </c>
      <c r="F9" t="s">
        <v>133</v>
      </c>
      <c r="G9" t="s">
        <v>133</v>
      </c>
      <c r="H9" t="s">
        <v>133</v>
      </c>
      <c r="I9" t="s">
        <v>133</v>
      </c>
      <c r="J9" t="s">
        <v>133</v>
      </c>
      <c r="K9" t="s">
        <v>133</v>
      </c>
      <c r="L9" t="s">
        <v>133</v>
      </c>
      <c r="M9" t="s">
        <v>133</v>
      </c>
      <c r="N9" t="s">
        <v>133</v>
      </c>
      <c r="O9" t="s">
        <v>133</v>
      </c>
      <c r="P9" t="s">
        <v>133</v>
      </c>
      <c r="Q9" t="s">
        <v>133</v>
      </c>
      <c r="R9" t="s">
        <v>133</v>
      </c>
      <c r="S9" t="s">
        <v>133</v>
      </c>
      <c r="T9" t="s">
        <v>133</v>
      </c>
      <c r="U9" t="s">
        <v>133</v>
      </c>
      <c r="V9" t="s">
        <v>133</v>
      </c>
      <c r="W9" t="s">
        <v>133</v>
      </c>
      <c r="X9" t="s">
        <v>133</v>
      </c>
      <c r="Y9" t="s">
        <v>133</v>
      </c>
      <c r="Z9" t="s">
        <v>133</v>
      </c>
      <c r="AA9" t="s">
        <v>133</v>
      </c>
      <c r="AB9" t="s">
        <v>133</v>
      </c>
      <c r="AC9" t="s">
        <v>133</v>
      </c>
      <c r="AD9" t="s">
        <v>133</v>
      </c>
      <c r="AE9" t="s">
        <v>133</v>
      </c>
      <c r="AF9" t="s">
        <v>133</v>
      </c>
      <c r="AG9" t="s">
        <v>133</v>
      </c>
      <c r="AH9" t="s">
        <v>133</v>
      </c>
      <c r="AI9" t="s">
        <v>133</v>
      </c>
      <c r="AJ9" t="s">
        <v>133</v>
      </c>
    </row>
    <row r="10" spans="1:36" x14ac:dyDescent="0.25">
      <c r="A10" t="s">
        <v>138</v>
      </c>
      <c r="B10" t="s">
        <v>133</v>
      </c>
      <c r="C10" t="s">
        <v>133</v>
      </c>
      <c r="D10" t="s">
        <v>133</v>
      </c>
      <c r="E10" t="s">
        <v>133</v>
      </c>
      <c r="F10" t="s">
        <v>133</v>
      </c>
      <c r="G10" t="s">
        <v>133</v>
      </c>
      <c r="H10" t="s">
        <v>133</v>
      </c>
      <c r="I10" t="s">
        <v>133</v>
      </c>
      <c r="J10" t="s">
        <v>133</v>
      </c>
      <c r="K10" t="s">
        <v>133</v>
      </c>
      <c r="L10" t="s">
        <v>133</v>
      </c>
      <c r="M10" t="s">
        <v>133</v>
      </c>
      <c r="N10" t="s">
        <v>133</v>
      </c>
      <c r="O10" t="s">
        <v>133</v>
      </c>
      <c r="P10" t="s">
        <v>133</v>
      </c>
      <c r="Q10" t="s">
        <v>133</v>
      </c>
      <c r="R10" t="s">
        <v>133</v>
      </c>
      <c r="S10" t="s">
        <v>133</v>
      </c>
      <c r="T10" t="s">
        <v>133</v>
      </c>
      <c r="U10" t="s">
        <v>133</v>
      </c>
      <c r="V10" t="s">
        <v>133</v>
      </c>
      <c r="W10" t="s">
        <v>133</v>
      </c>
      <c r="X10" t="s">
        <v>133</v>
      </c>
      <c r="Y10" t="s">
        <v>133</v>
      </c>
      <c r="Z10" t="s">
        <v>133</v>
      </c>
      <c r="AA10" t="s">
        <v>133</v>
      </c>
      <c r="AB10" t="s">
        <v>133</v>
      </c>
      <c r="AC10" t="s">
        <v>133</v>
      </c>
      <c r="AD10" t="s">
        <v>133</v>
      </c>
      <c r="AE10" t="s">
        <v>133</v>
      </c>
      <c r="AF10" t="s">
        <v>133</v>
      </c>
      <c r="AG10" t="s">
        <v>133</v>
      </c>
      <c r="AH10" t="s">
        <v>133</v>
      </c>
      <c r="AI10" t="s">
        <v>133</v>
      </c>
      <c r="AJ10" t="s">
        <v>133</v>
      </c>
    </row>
    <row r="11" spans="1:36" x14ac:dyDescent="0.25">
      <c r="A11" t="s">
        <v>139</v>
      </c>
      <c r="B11">
        <v>8485000</v>
      </c>
      <c r="C11">
        <v>8392000</v>
      </c>
      <c r="D11">
        <v>8927000</v>
      </c>
      <c r="E11">
        <v>-9044942</v>
      </c>
      <c r="F11">
        <v>14486000</v>
      </c>
      <c r="G11">
        <v>11522000</v>
      </c>
      <c r="H11">
        <v>13197000</v>
      </c>
      <c r="I11">
        <v>16071000</v>
      </c>
      <c r="J11">
        <v>16527000</v>
      </c>
      <c r="K11">
        <v>18832000</v>
      </c>
      <c r="L11">
        <v>21024000</v>
      </c>
      <c r="M11">
        <v>24215000</v>
      </c>
      <c r="N11">
        <v>25733000</v>
      </c>
      <c r="O11">
        <v>26355000</v>
      </c>
      <c r="P11">
        <v>27465000</v>
      </c>
      <c r="Q11">
        <v>31912000</v>
      </c>
      <c r="R11">
        <v>33751000</v>
      </c>
      <c r="S11">
        <v>37564000</v>
      </c>
      <c r="T11">
        <v>41121000</v>
      </c>
      <c r="U11">
        <v>43492000</v>
      </c>
      <c r="V11">
        <v>49108000</v>
      </c>
      <c r="W11">
        <v>49114000</v>
      </c>
      <c r="X11">
        <v>52734000</v>
      </c>
      <c r="Y11">
        <v>57324000</v>
      </c>
      <c r="Z11">
        <v>58024000</v>
      </c>
      <c r="AA11">
        <v>54141000</v>
      </c>
      <c r="AB11">
        <v>56448000</v>
      </c>
      <c r="AC11">
        <v>92821000</v>
      </c>
      <c r="AD11">
        <v>94193000</v>
      </c>
      <c r="AE11">
        <v>100835000</v>
      </c>
      <c r="AF11">
        <v>104053000</v>
      </c>
      <c r="AG11">
        <v>-47873000</v>
      </c>
      <c r="AH11">
        <v>119682000</v>
      </c>
      <c r="AI11">
        <v>129378000</v>
      </c>
      <c r="AJ11">
        <v>142139000</v>
      </c>
    </row>
    <row r="12" spans="1:36" x14ac:dyDescent="0.25">
      <c r="A12" t="s">
        <v>140</v>
      </c>
      <c r="B12">
        <v>8485000</v>
      </c>
      <c r="C12">
        <v>8392000</v>
      </c>
      <c r="D12">
        <v>8927000</v>
      </c>
      <c r="E12">
        <v>-9044942</v>
      </c>
      <c r="F12">
        <v>14486000</v>
      </c>
      <c r="G12">
        <v>11522000</v>
      </c>
      <c r="H12">
        <v>13197000</v>
      </c>
      <c r="I12">
        <v>16071000</v>
      </c>
      <c r="J12">
        <v>16527000</v>
      </c>
      <c r="K12">
        <v>18832000</v>
      </c>
      <c r="L12">
        <v>21024000</v>
      </c>
      <c r="M12">
        <v>24215000</v>
      </c>
      <c r="N12">
        <v>25733000</v>
      </c>
      <c r="O12">
        <v>26355000</v>
      </c>
      <c r="P12">
        <v>27465000</v>
      </c>
      <c r="Q12">
        <v>31912000</v>
      </c>
      <c r="R12">
        <v>33751000</v>
      </c>
      <c r="S12">
        <v>37564000</v>
      </c>
      <c r="T12">
        <v>41121000</v>
      </c>
      <c r="U12">
        <v>43492000</v>
      </c>
      <c r="V12">
        <v>49108000</v>
      </c>
      <c r="W12">
        <v>49114000</v>
      </c>
      <c r="X12">
        <v>52734000</v>
      </c>
      <c r="Y12">
        <v>57324000</v>
      </c>
      <c r="Z12">
        <v>58024000</v>
      </c>
      <c r="AA12">
        <v>54141000</v>
      </c>
      <c r="AB12">
        <v>56448000</v>
      </c>
      <c r="AC12">
        <v>92821000</v>
      </c>
      <c r="AD12">
        <v>94193000</v>
      </c>
      <c r="AE12">
        <v>100835000</v>
      </c>
      <c r="AF12">
        <v>104053000</v>
      </c>
      <c r="AG12">
        <v>-47873000</v>
      </c>
      <c r="AH12">
        <v>119682000</v>
      </c>
      <c r="AI12">
        <v>129378000</v>
      </c>
      <c r="AJ12">
        <v>142139000</v>
      </c>
    </row>
    <row r="13" spans="1:36" x14ac:dyDescent="0.25">
      <c r="A13" t="s">
        <v>141</v>
      </c>
      <c r="B13">
        <v>8485000</v>
      </c>
      <c r="C13">
        <v>8392000</v>
      </c>
      <c r="D13">
        <v>8927000</v>
      </c>
      <c r="E13">
        <v>9638368</v>
      </c>
      <c r="F13">
        <v>14486000</v>
      </c>
      <c r="G13">
        <v>11522000</v>
      </c>
      <c r="H13">
        <v>13197000</v>
      </c>
      <c r="I13">
        <v>16071000</v>
      </c>
      <c r="J13">
        <v>16527000</v>
      </c>
      <c r="K13">
        <v>18832000</v>
      </c>
      <c r="L13">
        <v>21024000</v>
      </c>
      <c r="M13">
        <v>24215000</v>
      </c>
      <c r="N13">
        <v>25733000</v>
      </c>
      <c r="O13">
        <v>26355000</v>
      </c>
      <c r="P13">
        <v>27465000</v>
      </c>
      <c r="Q13">
        <v>31912000</v>
      </c>
      <c r="R13">
        <v>33751000</v>
      </c>
      <c r="S13">
        <v>37564000</v>
      </c>
      <c r="T13">
        <v>41121000</v>
      </c>
      <c r="U13">
        <v>43492000</v>
      </c>
      <c r="V13">
        <v>49108000</v>
      </c>
      <c r="W13">
        <v>49114000</v>
      </c>
      <c r="X13">
        <v>52734000</v>
      </c>
      <c r="Y13">
        <v>57324000</v>
      </c>
      <c r="Z13">
        <v>58024000</v>
      </c>
      <c r="AA13">
        <v>54141000</v>
      </c>
      <c r="AB13">
        <v>56448000</v>
      </c>
      <c r="AC13">
        <v>92821000</v>
      </c>
      <c r="AD13">
        <v>94193000</v>
      </c>
      <c r="AE13">
        <v>100835000</v>
      </c>
      <c r="AF13">
        <v>104053000</v>
      </c>
      <c r="AG13">
        <v>115692000</v>
      </c>
      <c r="AH13">
        <v>119682000</v>
      </c>
      <c r="AI13">
        <v>129378000</v>
      </c>
      <c r="AJ13">
        <v>142139000</v>
      </c>
    </row>
    <row r="14" spans="1:36" x14ac:dyDescent="0.25">
      <c r="A14" t="s">
        <v>142</v>
      </c>
      <c r="B14" t="s">
        <v>133</v>
      </c>
      <c r="C14" t="s">
        <v>133</v>
      </c>
      <c r="D14" t="s">
        <v>133</v>
      </c>
      <c r="E14" t="s">
        <v>133</v>
      </c>
      <c r="F14" t="s">
        <v>133</v>
      </c>
      <c r="G14" t="s">
        <v>133</v>
      </c>
      <c r="H14" t="s">
        <v>133</v>
      </c>
      <c r="I14" t="s">
        <v>133</v>
      </c>
      <c r="J14" t="s">
        <v>133</v>
      </c>
      <c r="K14" t="s">
        <v>133</v>
      </c>
      <c r="L14" t="s">
        <v>133</v>
      </c>
      <c r="M14" t="s">
        <v>133</v>
      </c>
      <c r="N14" t="s">
        <v>133</v>
      </c>
      <c r="O14" t="s">
        <v>133</v>
      </c>
      <c r="P14" t="s">
        <v>133</v>
      </c>
      <c r="Q14" t="s">
        <v>133</v>
      </c>
      <c r="R14" t="s">
        <v>133</v>
      </c>
      <c r="S14" t="s">
        <v>133</v>
      </c>
      <c r="T14" t="s">
        <v>133</v>
      </c>
      <c r="U14" t="s">
        <v>133</v>
      </c>
      <c r="V14" t="s">
        <v>133</v>
      </c>
      <c r="W14" t="s">
        <v>133</v>
      </c>
      <c r="X14" t="s">
        <v>133</v>
      </c>
      <c r="Y14" t="s">
        <v>133</v>
      </c>
      <c r="Z14" t="s">
        <v>133</v>
      </c>
      <c r="AA14" t="s">
        <v>133</v>
      </c>
      <c r="AB14" t="s">
        <v>133</v>
      </c>
      <c r="AC14" t="s">
        <v>133</v>
      </c>
      <c r="AD14" t="s">
        <v>133</v>
      </c>
      <c r="AE14" t="s">
        <v>133</v>
      </c>
      <c r="AF14" t="s">
        <v>133</v>
      </c>
      <c r="AG14" t="s">
        <v>133</v>
      </c>
      <c r="AH14" t="s">
        <v>133</v>
      </c>
      <c r="AI14" t="s">
        <v>133</v>
      </c>
      <c r="AJ14" t="s">
        <v>133</v>
      </c>
    </row>
    <row r="15" spans="1:36" x14ac:dyDescent="0.25">
      <c r="A15" t="s">
        <v>143</v>
      </c>
      <c r="B15" t="s">
        <v>133</v>
      </c>
      <c r="C15" t="s">
        <v>133</v>
      </c>
      <c r="D15" t="s">
        <v>133</v>
      </c>
      <c r="E15" t="s">
        <v>133</v>
      </c>
      <c r="F15" t="s">
        <v>133</v>
      </c>
      <c r="G15" t="s">
        <v>133</v>
      </c>
      <c r="H15" t="s">
        <v>133</v>
      </c>
      <c r="I15" t="s">
        <v>133</v>
      </c>
      <c r="J15" t="s">
        <v>133</v>
      </c>
      <c r="K15" t="s">
        <v>133</v>
      </c>
      <c r="L15" t="s">
        <v>133</v>
      </c>
      <c r="M15" t="s">
        <v>133</v>
      </c>
      <c r="N15" t="s">
        <v>133</v>
      </c>
      <c r="O15" t="s">
        <v>133</v>
      </c>
      <c r="P15" t="s">
        <v>133</v>
      </c>
      <c r="Q15" t="s">
        <v>133</v>
      </c>
      <c r="R15" t="s">
        <v>133</v>
      </c>
      <c r="S15" t="s">
        <v>133</v>
      </c>
      <c r="T15" t="s">
        <v>133</v>
      </c>
      <c r="U15" t="s">
        <v>133</v>
      </c>
      <c r="V15" t="s">
        <v>133</v>
      </c>
      <c r="W15">
        <v>51000</v>
      </c>
      <c r="X15" t="s">
        <v>133</v>
      </c>
      <c r="Y15" t="s">
        <v>133</v>
      </c>
      <c r="Z15" t="s">
        <v>133</v>
      </c>
      <c r="AA15" t="s">
        <v>133</v>
      </c>
      <c r="AB15" t="s">
        <v>133</v>
      </c>
      <c r="AC15" t="s">
        <v>133</v>
      </c>
      <c r="AD15" t="s">
        <v>133</v>
      </c>
      <c r="AE15" t="s">
        <v>133</v>
      </c>
      <c r="AF15" t="s">
        <v>133</v>
      </c>
      <c r="AG15" t="s">
        <v>133</v>
      </c>
      <c r="AH15">
        <v>4311000</v>
      </c>
      <c r="AI15">
        <v>2413000</v>
      </c>
      <c r="AJ15">
        <v>1341000</v>
      </c>
    </row>
    <row r="16" spans="1:36" x14ac:dyDescent="0.25">
      <c r="A16" t="s">
        <v>144</v>
      </c>
      <c r="B16">
        <v>875000</v>
      </c>
      <c r="C16">
        <v>921000</v>
      </c>
      <c r="D16">
        <v>989000</v>
      </c>
      <c r="E16">
        <v>1108846</v>
      </c>
      <c r="F16">
        <v>1226000</v>
      </c>
      <c r="G16">
        <v>1347000</v>
      </c>
      <c r="H16">
        <v>1555000</v>
      </c>
      <c r="I16">
        <v>1816000</v>
      </c>
      <c r="J16">
        <v>2027000</v>
      </c>
      <c r="K16">
        <v>2303000</v>
      </c>
      <c r="L16">
        <v>2571000</v>
      </c>
      <c r="M16">
        <v>2859000</v>
      </c>
      <c r="N16">
        <v>3072000</v>
      </c>
      <c r="O16">
        <v>3313000</v>
      </c>
      <c r="P16">
        <v>3577000</v>
      </c>
      <c r="Q16">
        <v>3792000</v>
      </c>
      <c r="R16">
        <v>4117000</v>
      </c>
      <c r="S16">
        <v>4480000</v>
      </c>
      <c r="T16">
        <v>4767000</v>
      </c>
      <c r="U16">
        <v>4834000</v>
      </c>
      <c r="V16">
        <v>5729000</v>
      </c>
      <c r="W16">
        <v>6116000</v>
      </c>
      <c r="X16">
        <v>6475000</v>
      </c>
      <c r="Y16">
        <v>7156000</v>
      </c>
      <c r="Z16">
        <v>6998000</v>
      </c>
      <c r="AA16">
        <v>6977000</v>
      </c>
      <c r="AB16">
        <v>7156000</v>
      </c>
      <c r="AC16">
        <v>11382000</v>
      </c>
      <c r="AD16">
        <v>18477000</v>
      </c>
      <c r="AE16">
        <v>18816000</v>
      </c>
      <c r="AF16">
        <v>20979000</v>
      </c>
      <c r="AG16">
        <v>22374000</v>
      </c>
      <c r="AH16">
        <v>22593000</v>
      </c>
      <c r="AI16">
        <v>23638000</v>
      </c>
      <c r="AJ16">
        <v>24622000</v>
      </c>
    </row>
    <row r="17" spans="1:36" x14ac:dyDescent="0.25">
      <c r="A17" t="s">
        <v>3</v>
      </c>
      <c r="B17">
        <v>3152000</v>
      </c>
      <c r="C17">
        <v>4057000</v>
      </c>
      <c r="D17">
        <v>4510000</v>
      </c>
      <c r="E17">
        <v>5276368</v>
      </c>
      <c r="F17">
        <v>2167000</v>
      </c>
      <c r="G17">
        <v>7687000</v>
      </c>
      <c r="H17">
        <v>7844000</v>
      </c>
      <c r="I17">
        <v>9322000</v>
      </c>
      <c r="J17">
        <v>10278000</v>
      </c>
      <c r="K17">
        <v>10559000</v>
      </c>
      <c r="L17">
        <v>10703000</v>
      </c>
      <c r="M17">
        <v>12851000</v>
      </c>
      <c r="N17">
        <v>16941000</v>
      </c>
      <c r="O17">
        <v>19202000</v>
      </c>
      <c r="P17">
        <v>21755000</v>
      </c>
      <c r="Q17">
        <v>22560000</v>
      </c>
      <c r="R17">
        <v>21916000</v>
      </c>
      <c r="S17">
        <v>26125000</v>
      </c>
      <c r="T17">
        <v>27950000</v>
      </c>
      <c r="U17">
        <v>31538000</v>
      </c>
      <c r="V17">
        <v>35873000</v>
      </c>
      <c r="W17">
        <v>42730000</v>
      </c>
      <c r="X17">
        <v>48406000</v>
      </c>
      <c r="Y17">
        <v>55790000</v>
      </c>
      <c r="Z17">
        <v>64043000</v>
      </c>
      <c r="AA17">
        <v>81064000</v>
      </c>
      <c r="AB17">
        <v>90687000</v>
      </c>
      <c r="AC17">
        <v>95401000</v>
      </c>
      <c r="AD17">
        <v>159172000</v>
      </c>
      <c r="AE17">
        <v>171933000</v>
      </c>
      <c r="AF17">
        <v>190409000</v>
      </c>
      <c r="AG17">
        <v>206623000</v>
      </c>
      <c r="AH17">
        <v>238300000</v>
      </c>
      <c r="AI17">
        <v>243044000</v>
      </c>
      <c r="AJ17">
        <v>263697000</v>
      </c>
    </row>
    <row r="18" spans="1:36" x14ac:dyDescent="0.25">
      <c r="A18" t="s">
        <v>145</v>
      </c>
      <c r="B18">
        <v>0.29289999999999999</v>
      </c>
      <c r="C18">
        <v>0.35199999999999998</v>
      </c>
      <c r="D18">
        <v>0.36230000000000001</v>
      </c>
      <c r="E18">
        <v>0.38240000000000002</v>
      </c>
      <c r="F18">
        <v>0.14050000000000001</v>
      </c>
      <c r="G18">
        <v>0.4304</v>
      </c>
      <c r="H18">
        <v>0.40250000000000002</v>
      </c>
      <c r="I18">
        <v>0.39529999999999998</v>
      </c>
      <c r="J18">
        <v>0.41449999999999998</v>
      </c>
      <c r="K18">
        <v>0.3891</v>
      </c>
      <c r="L18">
        <v>0.36649999999999999</v>
      </c>
      <c r="M18">
        <v>0.37440000000000001</v>
      </c>
      <c r="N18">
        <v>0.4269</v>
      </c>
      <c r="O18">
        <v>0.4541</v>
      </c>
      <c r="P18">
        <v>0.47610000000000002</v>
      </c>
      <c r="Q18">
        <v>0.44479999999999997</v>
      </c>
      <c r="R18">
        <v>0.42480000000000001</v>
      </c>
      <c r="S18">
        <v>0.44090000000000001</v>
      </c>
      <c r="T18">
        <v>0.43440000000000001</v>
      </c>
      <c r="U18">
        <v>0.4491</v>
      </c>
      <c r="V18">
        <v>0.45240000000000002</v>
      </c>
      <c r="W18">
        <v>0.49840000000000001</v>
      </c>
      <c r="X18">
        <v>0.51100000000000001</v>
      </c>
      <c r="Y18">
        <v>0.52629999999999999</v>
      </c>
      <c r="Z18">
        <v>0.55620000000000003</v>
      </c>
      <c r="AA18">
        <v>0.63180000000000003</v>
      </c>
      <c r="AB18">
        <v>0.64770000000000005</v>
      </c>
      <c r="AC18">
        <v>0.53700000000000003</v>
      </c>
      <c r="AD18">
        <v>0.67490000000000006</v>
      </c>
      <c r="AE18">
        <v>0.66979999999999995</v>
      </c>
      <c r="AF18">
        <v>0.68979999999999997</v>
      </c>
      <c r="AG18">
        <v>0.68820000000000003</v>
      </c>
      <c r="AH18">
        <v>0.72929999999999995</v>
      </c>
      <c r="AI18">
        <v>0.70660000000000001</v>
      </c>
      <c r="AJ18">
        <v>0.6966</v>
      </c>
    </row>
    <row r="19" spans="1:36" x14ac:dyDescent="0.25">
      <c r="A19" t="s">
        <v>4</v>
      </c>
      <c r="B19">
        <v>2276000</v>
      </c>
      <c r="C19">
        <v>3135000</v>
      </c>
      <c r="D19">
        <v>3520000</v>
      </c>
      <c r="E19">
        <v>4159185</v>
      </c>
      <c r="F19">
        <v>940000</v>
      </c>
      <c r="G19">
        <v>6340000</v>
      </c>
      <c r="H19">
        <v>6289000</v>
      </c>
      <c r="I19">
        <v>7514000</v>
      </c>
      <c r="J19">
        <v>8267000</v>
      </c>
      <c r="K19">
        <v>8307000</v>
      </c>
      <c r="L19">
        <v>8181000</v>
      </c>
      <c r="M19">
        <v>10107000</v>
      </c>
      <c r="N19">
        <v>13955000</v>
      </c>
      <c r="O19">
        <v>15934000</v>
      </c>
      <c r="P19">
        <v>18225000</v>
      </c>
      <c r="Q19">
        <v>18806000</v>
      </c>
      <c r="R19">
        <v>17843000</v>
      </c>
      <c r="S19">
        <v>21688000</v>
      </c>
      <c r="T19">
        <v>23225000</v>
      </c>
      <c r="U19">
        <v>26734000</v>
      </c>
      <c r="V19">
        <v>30189000</v>
      </c>
      <c r="W19">
        <v>36614000</v>
      </c>
      <c r="X19">
        <v>41995000</v>
      </c>
      <c r="Y19">
        <v>48674000</v>
      </c>
      <c r="Z19">
        <v>57125000</v>
      </c>
      <c r="AA19">
        <v>74166000</v>
      </c>
      <c r="AB19">
        <v>83572000</v>
      </c>
      <c r="AC19">
        <v>84837000</v>
      </c>
      <c r="AD19">
        <v>141648000</v>
      </c>
      <c r="AE19">
        <v>155852000</v>
      </c>
      <c r="AF19">
        <v>171963000</v>
      </c>
      <c r="AG19">
        <v>184541000</v>
      </c>
      <c r="AH19">
        <v>207085000</v>
      </c>
      <c r="AI19">
        <v>214580000</v>
      </c>
      <c r="AJ19">
        <v>236393000</v>
      </c>
    </row>
    <row r="20" spans="1:36" x14ac:dyDescent="0.25">
      <c r="A20" t="s">
        <v>146</v>
      </c>
      <c r="B20">
        <v>0.21149999999999999</v>
      </c>
      <c r="C20">
        <v>0.27200000000000002</v>
      </c>
      <c r="D20">
        <v>0.2828</v>
      </c>
      <c r="E20">
        <v>0.3014</v>
      </c>
      <c r="F20">
        <v>6.0900000000000003E-2</v>
      </c>
      <c r="G20">
        <v>0.35489999999999999</v>
      </c>
      <c r="H20">
        <v>0.32269999999999999</v>
      </c>
      <c r="I20">
        <v>0.31859999999999999</v>
      </c>
      <c r="J20">
        <v>0.33339999999999997</v>
      </c>
      <c r="K20">
        <v>0.30609999999999998</v>
      </c>
      <c r="L20">
        <v>0.28010000000000002</v>
      </c>
      <c r="M20">
        <v>0.29449999999999998</v>
      </c>
      <c r="N20">
        <v>0.35160000000000002</v>
      </c>
      <c r="O20">
        <v>0.37680000000000002</v>
      </c>
      <c r="P20">
        <v>0.39889999999999998</v>
      </c>
      <c r="Q20">
        <v>0.37080000000000002</v>
      </c>
      <c r="R20">
        <v>0.3458</v>
      </c>
      <c r="S20">
        <v>0.36599999999999999</v>
      </c>
      <c r="T20">
        <v>0.3609</v>
      </c>
      <c r="U20">
        <v>0.38069999999999998</v>
      </c>
      <c r="V20">
        <v>0.38069999999999998</v>
      </c>
      <c r="W20">
        <v>0.42709999999999998</v>
      </c>
      <c r="X20">
        <v>0.44330000000000003</v>
      </c>
      <c r="Y20">
        <v>0.4592</v>
      </c>
      <c r="Z20">
        <v>0.49609999999999999</v>
      </c>
      <c r="AA20">
        <v>0.57799999999999996</v>
      </c>
      <c r="AB20">
        <v>0.59689999999999999</v>
      </c>
      <c r="AC20">
        <v>0.47749999999999998</v>
      </c>
      <c r="AD20">
        <v>0.60060000000000002</v>
      </c>
      <c r="AE20">
        <v>0.60719999999999996</v>
      </c>
      <c r="AF20">
        <v>0.623</v>
      </c>
      <c r="AG20">
        <v>0.61470000000000002</v>
      </c>
      <c r="AH20">
        <v>0.63370000000000004</v>
      </c>
      <c r="AI20">
        <v>0.62390000000000001</v>
      </c>
      <c r="AJ20">
        <v>0.62450000000000006</v>
      </c>
    </row>
    <row r="21" spans="1:36" x14ac:dyDescent="0.25">
      <c r="A21" t="s">
        <v>147</v>
      </c>
      <c r="B21">
        <v>1000</v>
      </c>
      <c r="C21" t="s">
        <v>133</v>
      </c>
      <c r="D21" t="s">
        <v>133</v>
      </c>
      <c r="E21">
        <v>8337</v>
      </c>
      <c r="F21">
        <v>1000</v>
      </c>
      <c r="G21" t="s">
        <v>133</v>
      </c>
      <c r="H21" t="s">
        <v>133</v>
      </c>
      <c r="I21">
        <v>-7000</v>
      </c>
      <c r="J21">
        <v>-17000</v>
      </c>
      <c r="K21">
        <v>-51000</v>
      </c>
      <c r="L21">
        <v>-49000</v>
      </c>
      <c r="M21">
        <v>-115000</v>
      </c>
      <c r="N21">
        <v>-86000</v>
      </c>
      <c r="O21">
        <v>-45000</v>
      </c>
      <c r="P21">
        <v>-48000</v>
      </c>
      <c r="Q21">
        <v>-37000</v>
      </c>
      <c r="R21">
        <v>-44000</v>
      </c>
      <c r="S21">
        <v>-43000</v>
      </c>
      <c r="T21">
        <v>-42000</v>
      </c>
      <c r="U21">
        <v>-30000</v>
      </c>
      <c r="V21">
        <v>-45000</v>
      </c>
      <c r="W21">
        <v>-51000</v>
      </c>
      <c r="X21">
        <v>-64000</v>
      </c>
      <c r="Y21">
        <v>-40000</v>
      </c>
      <c r="Z21">
        <v>-80000</v>
      </c>
      <c r="AA21">
        <v>-79000</v>
      </c>
      <c r="AB21">
        <v>-41000</v>
      </c>
      <c r="AC21">
        <v>-818000</v>
      </c>
      <c r="AD21">
        <v>-953000</v>
      </c>
      <c r="AE21">
        <v>-2735000</v>
      </c>
      <c r="AF21">
        <v>-2533000</v>
      </c>
      <c r="AG21">
        <v>-292000</v>
      </c>
      <c r="AH21">
        <v>4311000</v>
      </c>
      <c r="AI21">
        <v>2413000</v>
      </c>
      <c r="AJ21">
        <v>1341000</v>
      </c>
    </row>
    <row r="22" spans="1:36" x14ac:dyDescent="0.25">
      <c r="A22" t="s">
        <v>148</v>
      </c>
      <c r="B22">
        <v>2277000</v>
      </c>
      <c r="C22">
        <v>3135000</v>
      </c>
      <c r="D22">
        <v>3520000</v>
      </c>
      <c r="E22">
        <v>4167522</v>
      </c>
      <c r="F22">
        <v>941000</v>
      </c>
      <c r="G22">
        <v>6340000</v>
      </c>
      <c r="H22">
        <v>6289000</v>
      </c>
      <c r="I22">
        <v>7507000</v>
      </c>
      <c r="J22">
        <v>8250000</v>
      </c>
      <c r="K22">
        <v>8256000</v>
      </c>
      <c r="L22">
        <v>8132000</v>
      </c>
      <c r="M22">
        <v>9992000</v>
      </c>
      <c r="N22">
        <v>13869000</v>
      </c>
      <c r="O22">
        <v>15889000</v>
      </c>
      <c r="P22">
        <v>18177000</v>
      </c>
      <c r="Q22">
        <v>18769000</v>
      </c>
      <c r="R22">
        <v>17799000</v>
      </c>
      <c r="S22">
        <v>21645000</v>
      </c>
      <c r="T22">
        <v>23183000</v>
      </c>
      <c r="U22">
        <v>26704000</v>
      </c>
      <c r="V22">
        <v>30144000</v>
      </c>
      <c r="W22">
        <v>36563000</v>
      </c>
      <c r="X22">
        <v>41931000</v>
      </c>
      <c r="Y22">
        <v>48634000</v>
      </c>
      <c r="Z22">
        <v>57045000</v>
      </c>
      <c r="AA22">
        <v>74087000</v>
      </c>
      <c r="AB22">
        <v>83531000</v>
      </c>
      <c r="AC22">
        <v>84019000</v>
      </c>
      <c r="AD22">
        <v>140695000</v>
      </c>
      <c r="AE22">
        <v>153117000</v>
      </c>
      <c r="AF22">
        <v>169430000</v>
      </c>
      <c r="AG22">
        <v>184249000</v>
      </c>
      <c r="AH22">
        <v>211396000</v>
      </c>
      <c r="AI22">
        <v>216993000</v>
      </c>
      <c r="AJ22">
        <v>237734000</v>
      </c>
    </row>
    <row r="23" spans="1:36" x14ac:dyDescent="0.25">
      <c r="A23" t="s">
        <v>149</v>
      </c>
      <c r="B23">
        <v>0.21160000000000001</v>
      </c>
      <c r="C23">
        <v>0.27200000000000002</v>
      </c>
      <c r="D23">
        <v>0.2828</v>
      </c>
      <c r="E23">
        <v>0.30199999999999999</v>
      </c>
      <c r="F23">
        <v>6.0999999999999999E-2</v>
      </c>
      <c r="G23">
        <v>0.35489999999999999</v>
      </c>
      <c r="H23">
        <v>0.32269999999999999</v>
      </c>
      <c r="I23">
        <v>0.31830000000000003</v>
      </c>
      <c r="J23">
        <v>0.3327</v>
      </c>
      <c r="K23">
        <v>0.30420000000000003</v>
      </c>
      <c r="L23">
        <v>0.27839999999999998</v>
      </c>
      <c r="M23">
        <v>0.29110000000000003</v>
      </c>
      <c r="N23">
        <v>0.34949999999999998</v>
      </c>
      <c r="O23">
        <v>0.37569999999999998</v>
      </c>
      <c r="P23">
        <v>0.39779999999999999</v>
      </c>
      <c r="Q23">
        <v>0.37009999999999998</v>
      </c>
      <c r="R23">
        <v>0.34499999999999997</v>
      </c>
      <c r="S23">
        <v>0.36530000000000001</v>
      </c>
      <c r="T23">
        <v>0.36030000000000001</v>
      </c>
      <c r="U23">
        <v>0.38030000000000003</v>
      </c>
      <c r="V23">
        <v>0.38009999999999999</v>
      </c>
      <c r="W23">
        <v>0.42649999999999999</v>
      </c>
      <c r="X23">
        <v>0.44259999999999999</v>
      </c>
      <c r="Y23">
        <v>0.45879999999999999</v>
      </c>
      <c r="Z23">
        <v>0.49540000000000001</v>
      </c>
      <c r="AA23">
        <v>0.57740000000000002</v>
      </c>
      <c r="AB23">
        <v>0.59660000000000002</v>
      </c>
      <c r="AC23">
        <v>0.47289999999999999</v>
      </c>
      <c r="AD23">
        <v>0.59660000000000002</v>
      </c>
      <c r="AE23">
        <v>0.59650000000000003</v>
      </c>
      <c r="AF23">
        <v>0.61380000000000001</v>
      </c>
      <c r="AG23">
        <v>0.61370000000000002</v>
      </c>
      <c r="AH23">
        <v>0.64690000000000003</v>
      </c>
      <c r="AI23">
        <v>0.63090000000000002</v>
      </c>
      <c r="AJ23">
        <v>0.628</v>
      </c>
    </row>
    <row r="24" spans="1:36" x14ac:dyDescent="0.25">
      <c r="A24" t="s">
        <v>150</v>
      </c>
      <c r="B24">
        <v>187000</v>
      </c>
      <c r="C24">
        <v>223000</v>
      </c>
      <c r="D24">
        <v>266000</v>
      </c>
      <c r="E24">
        <v>327137</v>
      </c>
      <c r="F24">
        <v>-450000</v>
      </c>
      <c r="G24">
        <v>441000</v>
      </c>
      <c r="H24">
        <v>499000</v>
      </c>
      <c r="I24">
        <v>557000</v>
      </c>
      <c r="J24">
        <v>611000</v>
      </c>
      <c r="K24">
        <v>639000</v>
      </c>
      <c r="L24">
        <v>697000</v>
      </c>
      <c r="M24">
        <v>944000</v>
      </c>
      <c r="N24">
        <v>1127000</v>
      </c>
      <c r="O24">
        <v>1272000</v>
      </c>
      <c r="P24">
        <v>1401000</v>
      </c>
      <c r="Q24">
        <v>735000</v>
      </c>
      <c r="R24">
        <v>1278000</v>
      </c>
      <c r="S24">
        <v>1569000</v>
      </c>
      <c r="T24">
        <v>1941000</v>
      </c>
      <c r="U24">
        <v>1169000</v>
      </c>
      <c r="V24">
        <v>1568000</v>
      </c>
      <c r="W24">
        <v>2034000</v>
      </c>
      <c r="X24">
        <v>2156000</v>
      </c>
      <c r="Y24">
        <v>1788000</v>
      </c>
      <c r="Z24">
        <v>2849000</v>
      </c>
      <c r="AA24">
        <v>3642000</v>
      </c>
      <c r="AB24">
        <v>4150000</v>
      </c>
      <c r="AC24">
        <v>3419000</v>
      </c>
      <c r="AD24">
        <v>8657000</v>
      </c>
      <c r="AE24">
        <v>8711000</v>
      </c>
      <c r="AF24">
        <v>11996000</v>
      </c>
      <c r="AG24">
        <v>12692000</v>
      </c>
      <c r="AH24">
        <v>13707000</v>
      </c>
      <c r="AI24">
        <v>16120000</v>
      </c>
      <c r="AJ24">
        <v>16437000</v>
      </c>
    </row>
    <row r="25" spans="1:36" x14ac:dyDescent="0.25">
      <c r="A25" t="s">
        <v>5</v>
      </c>
      <c r="B25">
        <v>2090000</v>
      </c>
      <c r="C25">
        <v>2913000</v>
      </c>
      <c r="D25">
        <v>3255000</v>
      </c>
      <c r="E25">
        <v>3840385</v>
      </c>
      <c r="F25">
        <v>1391000</v>
      </c>
      <c r="G25">
        <v>5899000</v>
      </c>
      <c r="H25">
        <v>5790000</v>
      </c>
      <c r="I25">
        <v>6949000</v>
      </c>
      <c r="J25">
        <v>7640000</v>
      </c>
      <c r="K25">
        <v>7617000</v>
      </c>
      <c r="L25">
        <v>7435000</v>
      </c>
      <c r="M25">
        <v>9048000</v>
      </c>
      <c r="N25">
        <v>12742000</v>
      </c>
      <c r="O25">
        <v>14617000</v>
      </c>
      <c r="P25">
        <v>16777000</v>
      </c>
      <c r="Q25">
        <v>18033000</v>
      </c>
      <c r="R25">
        <v>16521000</v>
      </c>
      <c r="S25">
        <v>20076000</v>
      </c>
      <c r="T25">
        <v>21242000</v>
      </c>
      <c r="U25">
        <v>25535000</v>
      </c>
      <c r="V25">
        <v>28576000</v>
      </c>
      <c r="W25">
        <v>34529000</v>
      </c>
      <c r="X25">
        <v>39775000</v>
      </c>
      <c r="Y25">
        <v>46846000</v>
      </c>
      <c r="Z25">
        <v>54196000</v>
      </c>
      <c r="AA25">
        <v>70445000</v>
      </c>
      <c r="AB25">
        <v>79381000</v>
      </c>
      <c r="AC25">
        <v>80600000</v>
      </c>
      <c r="AD25">
        <v>132038000</v>
      </c>
      <c r="AE25">
        <v>144406000</v>
      </c>
      <c r="AF25">
        <v>157434000</v>
      </c>
      <c r="AG25">
        <v>171557000</v>
      </c>
      <c r="AH25">
        <v>197689000</v>
      </c>
      <c r="AI25">
        <v>200873000</v>
      </c>
      <c r="AJ25">
        <v>221297000</v>
      </c>
    </row>
    <row r="26" spans="1:36" x14ac:dyDescent="0.25">
      <c r="A26" t="s">
        <v>151</v>
      </c>
      <c r="B26">
        <v>0.19420000000000001</v>
      </c>
      <c r="C26">
        <v>0.25269999999999998</v>
      </c>
      <c r="D26">
        <v>0.26150000000000001</v>
      </c>
      <c r="E26">
        <v>0.27829999999999999</v>
      </c>
      <c r="F26">
        <v>9.0200000000000002E-2</v>
      </c>
      <c r="G26">
        <v>0.33029999999999998</v>
      </c>
      <c r="H26">
        <v>0.29709999999999998</v>
      </c>
      <c r="I26">
        <v>0.29459999999999997</v>
      </c>
      <c r="J26">
        <v>0.30809999999999998</v>
      </c>
      <c r="K26">
        <v>0.28070000000000001</v>
      </c>
      <c r="L26">
        <v>0.25459999999999999</v>
      </c>
      <c r="M26">
        <v>0.2636</v>
      </c>
      <c r="N26">
        <v>0.3211</v>
      </c>
      <c r="O26">
        <v>0.34560000000000002</v>
      </c>
      <c r="P26">
        <v>0.36720000000000003</v>
      </c>
      <c r="Q26">
        <v>0.35560000000000003</v>
      </c>
      <c r="R26">
        <v>0.32019999999999998</v>
      </c>
      <c r="S26">
        <v>0.33879999999999999</v>
      </c>
      <c r="T26">
        <v>0.3301</v>
      </c>
      <c r="U26">
        <v>0.36359999999999998</v>
      </c>
      <c r="V26">
        <v>0.3604</v>
      </c>
      <c r="W26">
        <v>0.40279999999999999</v>
      </c>
      <c r="X26">
        <v>0.4199</v>
      </c>
      <c r="Y26">
        <v>0.442</v>
      </c>
      <c r="Z26">
        <v>0.47070000000000001</v>
      </c>
      <c r="AA26">
        <v>0.54900000000000004</v>
      </c>
      <c r="AB26">
        <v>0.56689999999999996</v>
      </c>
      <c r="AC26">
        <v>0.45369999999999999</v>
      </c>
      <c r="AD26">
        <v>0.55989999999999995</v>
      </c>
      <c r="AE26">
        <v>0.56259999999999999</v>
      </c>
      <c r="AF26">
        <v>0.57040000000000002</v>
      </c>
      <c r="AG26">
        <v>0.57140000000000002</v>
      </c>
      <c r="AH26">
        <v>0.60499999999999998</v>
      </c>
      <c r="AI26">
        <v>0.58399999999999996</v>
      </c>
      <c r="AJ26">
        <v>0.58460000000000001</v>
      </c>
    </row>
    <row r="27" spans="1:36" x14ac:dyDescent="0.25">
      <c r="A27" t="s">
        <v>6</v>
      </c>
      <c r="B27">
        <v>0.01</v>
      </c>
      <c r="C27">
        <v>0.02</v>
      </c>
      <c r="D27">
        <v>0.02</v>
      </c>
      <c r="E27">
        <v>0.02</v>
      </c>
      <c r="F27">
        <v>0.01</v>
      </c>
      <c r="G27">
        <v>0.03</v>
      </c>
      <c r="H27">
        <v>0.03</v>
      </c>
      <c r="I27">
        <v>0.04</v>
      </c>
      <c r="J27">
        <v>0.04</v>
      </c>
      <c r="K27">
        <v>0.04</v>
      </c>
      <c r="L27">
        <v>0.04</v>
      </c>
      <c r="M27">
        <v>0.05</v>
      </c>
      <c r="N27">
        <v>7.0000000000000007E-2</v>
      </c>
      <c r="O27">
        <v>0.08</v>
      </c>
      <c r="P27">
        <v>0.09</v>
      </c>
      <c r="Q27">
        <v>0.1</v>
      </c>
      <c r="R27">
        <v>0.09</v>
      </c>
      <c r="S27">
        <v>0.11</v>
      </c>
      <c r="T27">
        <v>0.12</v>
      </c>
      <c r="U27">
        <v>0.14000000000000001</v>
      </c>
      <c r="V27">
        <v>0.16</v>
      </c>
      <c r="W27">
        <v>0.19</v>
      </c>
      <c r="X27">
        <v>0.22</v>
      </c>
      <c r="Y27">
        <v>0.26</v>
      </c>
      <c r="Z27">
        <v>0.3</v>
      </c>
      <c r="AA27">
        <v>0.39</v>
      </c>
      <c r="AB27">
        <v>0.44</v>
      </c>
      <c r="AC27">
        <v>0.44</v>
      </c>
      <c r="AD27">
        <v>0.62</v>
      </c>
      <c r="AE27">
        <v>0.68</v>
      </c>
      <c r="AF27">
        <v>0.73</v>
      </c>
      <c r="AG27">
        <v>3.41</v>
      </c>
      <c r="AH27">
        <v>3.93</v>
      </c>
      <c r="AI27">
        <v>0.94</v>
      </c>
      <c r="AJ27">
        <v>1.04</v>
      </c>
    </row>
    <row r="28" spans="1:36" x14ac:dyDescent="0.25">
      <c r="A28" t="s">
        <v>152</v>
      </c>
      <c r="B28">
        <v>0.01</v>
      </c>
      <c r="C28">
        <v>0.02</v>
      </c>
      <c r="D28">
        <v>0.02</v>
      </c>
      <c r="E28">
        <v>0.02</v>
      </c>
      <c r="F28">
        <v>0.01</v>
      </c>
      <c r="G28">
        <v>0.03</v>
      </c>
      <c r="H28">
        <v>0.03</v>
      </c>
      <c r="I28">
        <v>0.04</v>
      </c>
      <c r="J28">
        <v>0.04</v>
      </c>
      <c r="K28">
        <v>0.04</v>
      </c>
      <c r="L28">
        <v>0.04</v>
      </c>
      <c r="M28">
        <v>0.05</v>
      </c>
      <c r="N28">
        <v>7.0000000000000007E-2</v>
      </c>
      <c r="O28">
        <v>0.08</v>
      </c>
      <c r="P28">
        <v>0.09</v>
      </c>
      <c r="Q28">
        <v>0.1</v>
      </c>
      <c r="R28">
        <v>0.09</v>
      </c>
      <c r="S28">
        <v>0.11</v>
      </c>
      <c r="T28">
        <v>0.12</v>
      </c>
      <c r="U28">
        <v>0.14000000000000001</v>
      </c>
      <c r="V28">
        <v>0.16</v>
      </c>
      <c r="W28">
        <v>0.19</v>
      </c>
      <c r="X28">
        <v>0.22</v>
      </c>
      <c r="Y28">
        <v>0.26</v>
      </c>
      <c r="Z28">
        <v>0.3</v>
      </c>
      <c r="AA28">
        <v>0.38</v>
      </c>
      <c r="AB28">
        <v>0.42</v>
      </c>
      <c r="AC28">
        <v>0.44</v>
      </c>
      <c r="AD28">
        <v>0.6</v>
      </c>
      <c r="AE28">
        <v>0.65</v>
      </c>
      <c r="AF28">
        <v>0.71</v>
      </c>
      <c r="AG28">
        <v>3.36</v>
      </c>
      <c r="AH28">
        <v>3.88</v>
      </c>
      <c r="AI28">
        <v>0.92</v>
      </c>
      <c r="AJ28">
        <v>1.02</v>
      </c>
    </row>
    <row r="29" spans="1:36" x14ac:dyDescent="0.25">
      <c r="A29" t="s">
        <v>153</v>
      </c>
      <c r="B29">
        <v>179851885</v>
      </c>
      <c r="C29">
        <v>179851885</v>
      </c>
      <c r="D29">
        <v>175179840</v>
      </c>
      <c r="E29">
        <v>175179840</v>
      </c>
      <c r="F29">
        <v>179851885</v>
      </c>
      <c r="G29">
        <v>179851885</v>
      </c>
      <c r="H29">
        <v>179851885</v>
      </c>
      <c r="I29">
        <v>179851885</v>
      </c>
      <c r="J29">
        <v>179851885</v>
      </c>
      <c r="K29">
        <v>179851885</v>
      </c>
      <c r="L29">
        <v>179851885</v>
      </c>
      <c r="M29">
        <v>179851885</v>
      </c>
      <c r="N29">
        <v>179851885</v>
      </c>
      <c r="O29">
        <v>179851885</v>
      </c>
      <c r="P29">
        <v>179851885</v>
      </c>
      <c r="Q29">
        <v>179851885</v>
      </c>
      <c r="R29">
        <v>179851885</v>
      </c>
      <c r="S29">
        <v>179851885</v>
      </c>
      <c r="T29">
        <v>179851885</v>
      </c>
      <c r="U29">
        <v>179851885</v>
      </c>
      <c r="V29">
        <v>179851885</v>
      </c>
      <c r="W29">
        <v>179851885</v>
      </c>
      <c r="X29">
        <v>181622725</v>
      </c>
      <c r="Y29">
        <v>181622725</v>
      </c>
      <c r="Z29">
        <v>181622725</v>
      </c>
      <c r="AA29">
        <v>181284725</v>
      </c>
      <c r="AB29">
        <v>181284725</v>
      </c>
      <c r="AC29">
        <v>181284725</v>
      </c>
      <c r="AD29">
        <v>212327008</v>
      </c>
      <c r="AE29">
        <v>212695352</v>
      </c>
      <c r="AF29">
        <v>215111115</v>
      </c>
      <c r="AG29">
        <v>50333000</v>
      </c>
      <c r="AH29">
        <v>50333000</v>
      </c>
      <c r="AI29">
        <v>213454250</v>
      </c>
      <c r="AJ29">
        <v>213205250</v>
      </c>
    </row>
    <row r="30" spans="1:36" x14ac:dyDescent="0.25">
      <c r="A30" t="s">
        <v>154</v>
      </c>
      <c r="B30">
        <v>179851885</v>
      </c>
      <c r="C30">
        <v>179851885</v>
      </c>
      <c r="D30">
        <v>175179840</v>
      </c>
      <c r="E30">
        <v>175179840</v>
      </c>
      <c r="F30">
        <v>179851885</v>
      </c>
      <c r="G30">
        <v>179851885</v>
      </c>
      <c r="H30">
        <v>179851885</v>
      </c>
      <c r="I30">
        <v>179851885</v>
      </c>
      <c r="J30">
        <v>179851885</v>
      </c>
      <c r="K30">
        <v>179851885</v>
      </c>
      <c r="L30">
        <v>180891055</v>
      </c>
      <c r="M30">
        <v>179851885</v>
      </c>
      <c r="N30">
        <v>181220950</v>
      </c>
      <c r="O30">
        <v>181685230</v>
      </c>
      <c r="P30">
        <v>181685230</v>
      </c>
      <c r="Q30">
        <v>179851885</v>
      </c>
      <c r="R30">
        <v>181685230</v>
      </c>
      <c r="S30">
        <v>181685230</v>
      </c>
      <c r="T30">
        <v>183565260</v>
      </c>
      <c r="U30">
        <v>179851885</v>
      </c>
      <c r="V30">
        <v>183565260</v>
      </c>
      <c r="W30">
        <v>183565260</v>
      </c>
      <c r="X30">
        <v>183384005</v>
      </c>
      <c r="Y30">
        <v>181622725</v>
      </c>
      <c r="Z30">
        <v>183384005</v>
      </c>
      <c r="AA30">
        <v>187046005</v>
      </c>
      <c r="AB30">
        <v>187046005</v>
      </c>
      <c r="AC30">
        <v>181284725</v>
      </c>
      <c r="AD30">
        <v>219379580</v>
      </c>
      <c r="AE30">
        <v>223350840</v>
      </c>
      <c r="AF30">
        <v>222980433</v>
      </c>
      <c r="AG30">
        <v>51013000</v>
      </c>
      <c r="AH30">
        <v>51013000</v>
      </c>
      <c r="AI30">
        <v>218671369</v>
      </c>
      <c r="AJ30">
        <v>217125300</v>
      </c>
    </row>
    <row r="31" spans="1:36" x14ac:dyDescent="0.25">
      <c r="A31" t="s">
        <v>155</v>
      </c>
      <c r="B31" t="s">
        <v>133</v>
      </c>
      <c r="C31" t="s">
        <v>133</v>
      </c>
      <c r="D31" t="s">
        <v>133</v>
      </c>
      <c r="E31" t="s">
        <v>133</v>
      </c>
      <c r="F31" t="s">
        <v>133</v>
      </c>
      <c r="G31" t="s">
        <v>133</v>
      </c>
      <c r="H31" t="s">
        <v>133</v>
      </c>
      <c r="I31" t="s">
        <v>133</v>
      </c>
      <c r="J31" t="s">
        <v>133</v>
      </c>
      <c r="K31" t="s">
        <v>133</v>
      </c>
      <c r="L31" t="s">
        <v>133</v>
      </c>
      <c r="M31" t="s">
        <v>133</v>
      </c>
      <c r="N31" t="s">
        <v>133</v>
      </c>
      <c r="O31" t="s">
        <v>133</v>
      </c>
      <c r="P31" t="s">
        <v>133</v>
      </c>
      <c r="Q31" t="s">
        <v>133</v>
      </c>
      <c r="R31" t="s">
        <v>133</v>
      </c>
      <c r="S31" t="s">
        <v>133</v>
      </c>
      <c r="T31" t="s">
        <v>133</v>
      </c>
      <c r="U31" t="s">
        <v>133</v>
      </c>
      <c r="V31" t="s">
        <v>133</v>
      </c>
      <c r="W31" t="s">
        <v>133</v>
      </c>
      <c r="X31" t="s">
        <v>133</v>
      </c>
      <c r="Y31" t="s">
        <v>133</v>
      </c>
      <c r="Z31" t="s">
        <v>133</v>
      </c>
      <c r="AA31" t="s">
        <v>133</v>
      </c>
      <c r="AB31" t="s">
        <v>133</v>
      </c>
      <c r="AC31" t="s">
        <v>133</v>
      </c>
      <c r="AD31" t="s">
        <v>133</v>
      </c>
      <c r="AE31" t="s">
        <v>133</v>
      </c>
      <c r="AF31" t="s">
        <v>133</v>
      </c>
      <c r="AG31" t="s">
        <v>133</v>
      </c>
      <c r="AH31" t="s">
        <v>133</v>
      </c>
      <c r="AI31" t="s">
        <v>133</v>
      </c>
      <c r="AJ31" t="s">
        <v>133</v>
      </c>
    </row>
    <row r="32" spans="1:36" x14ac:dyDescent="0.25">
      <c r="A32" t="s">
        <v>156</v>
      </c>
      <c r="B32" t="s">
        <v>0</v>
      </c>
      <c r="C32" t="s">
        <v>0</v>
      </c>
      <c r="D32" t="s">
        <v>0</v>
      </c>
      <c r="E32" t="s">
        <v>0</v>
      </c>
      <c r="F32" t="s">
        <v>0</v>
      </c>
      <c r="G32" t="s">
        <v>0</v>
      </c>
      <c r="H32" t="s">
        <v>0</v>
      </c>
      <c r="I32" t="s">
        <v>0</v>
      </c>
      <c r="J32" t="s">
        <v>0</v>
      </c>
      <c r="K32" t="s">
        <v>0</v>
      </c>
    </row>
    <row r="33" spans="1:36" x14ac:dyDescent="0.25">
      <c r="A33" t="s">
        <v>157</v>
      </c>
      <c r="B33" t="s">
        <v>133</v>
      </c>
      <c r="C33" t="s">
        <v>133</v>
      </c>
      <c r="D33" t="s">
        <v>133</v>
      </c>
      <c r="E33">
        <v>8295043</v>
      </c>
      <c r="F33">
        <v>10790000</v>
      </c>
      <c r="G33">
        <v>11374000</v>
      </c>
      <c r="H33">
        <v>15672000</v>
      </c>
      <c r="I33">
        <v>19930000</v>
      </c>
      <c r="J33">
        <v>19922000</v>
      </c>
      <c r="K33">
        <v>14778000</v>
      </c>
      <c r="L33">
        <v>17804000</v>
      </c>
      <c r="M33">
        <v>26188000</v>
      </c>
      <c r="N33">
        <v>34119000</v>
      </c>
      <c r="O33">
        <v>28347000</v>
      </c>
      <c r="P33">
        <v>38798000</v>
      </c>
      <c r="Q33">
        <v>49272000</v>
      </c>
      <c r="R33">
        <v>52076000</v>
      </c>
      <c r="S33">
        <v>37163000</v>
      </c>
      <c r="T33">
        <v>63548000</v>
      </c>
      <c r="U33">
        <v>84951000</v>
      </c>
      <c r="V33">
        <v>103734000</v>
      </c>
      <c r="W33">
        <v>88680000</v>
      </c>
      <c r="X33">
        <v>141108000</v>
      </c>
      <c r="Y33">
        <v>182520000</v>
      </c>
      <c r="Z33">
        <v>204949000</v>
      </c>
      <c r="AA33">
        <v>212049000</v>
      </c>
      <c r="AB33">
        <v>283203000</v>
      </c>
      <c r="AC33">
        <v>221675000</v>
      </c>
      <c r="AD33">
        <v>326041000</v>
      </c>
      <c r="AE33">
        <v>200392000</v>
      </c>
      <c r="AF33">
        <v>391931000</v>
      </c>
      <c r="AG33">
        <v>421432000</v>
      </c>
      <c r="AH33">
        <v>439516000</v>
      </c>
      <c r="AI33">
        <v>276785000</v>
      </c>
      <c r="AJ33">
        <v>300665000</v>
      </c>
    </row>
    <row r="34" spans="1:36" x14ac:dyDescent="0.25">
      <c r="A34" t="s">
        <v>7</v>
      </c>
      <c r="B34" t="s">
        <v>133</v>
      </c>
      <c r="C34" t="s">
        <v>133</v>
      </c>
      <c r="D34" t="s">
        <v>133</v>
      </c>
      <c r="E34" t="s">
        <v>133</v>
      </c>
      <c r="F34" t="s">
        <v>133</v>
      </c>
      <c r="G34" t="s">
        <v>133</v>
      </c>
      <c r="H34" t="s">
        <v>133</v>
      </c>
      <c r="I34" t="s">
        <v>133</v>
      </c>
      <c r="J34" t="s">
        <v>133</v>
      </c>
      <c r="K34" t="s">
        <v>133</v>
      </c>
      <c r="L34" t="s">
        <v>133</v>
      </c>
      <c r="M34" t="s">
        <v>133</v>
      </c>
      <c r="N34" t="s">
        <v>133</v>
      </c>
      <c r="O34" t="s">
        <v>133</v>
      </c>
      <c r="P34" t="s">
        <v>133</v>
      </c>
      <c r="Q34" t="s">
        <v>133</v>
      </c>
      <c r="R34" t="s">
        <v>133</v>
      </c>
      <c r="S34" t="s">
        <v>133</v>
      </c>
      <c r="T34" t="s">
        <v>133</v>
      </c>
      <c r="U34" t="s">
        <v>133</v>
      </c>
      <c r="V34" t="s">
        <v>133</v>
      </c>
      <c r="W34" t="s">
        <v>133</v>
      </c>
      <c r="X34" t="s">
        <v>133</v>
      </c>
      <c r="Y34" t="s">
        <v>133</v>
      </c>
      <c r="Z34" t="s">
        <v>133</v>
      </c>
      <c r="AA34" t="s">
        <v>133</v>
      </c>
      <c r="AB34" t="s">
        <v>133</v>
      </c>
      <c r="AC34" t="s">
        <v>133</v>
      </c>
      <c r="AD34" t="s">
        <v>133</v>
      </c>
      <c r="AE34" t="s">
        <v>133</v>
      </c>
      <c r="AF34" t="s">
        <v>133</v>
      </c>
      <c r="AG34" t="s">
        <v>133</v>
      </c>
      <c r="AH34" t="s">
        <v>133</v>
      </c>
      <c r="AI34" t="s">
        <v>133</v>
      </c>
      <c r="AJ34" t="s">
        <v>133</v>
      </c>
    </row>
    <row r="35" spans="1:36" x14ac:dyDescent="0.25">
      <c r="A35" t="s">
        <v>8</v>
      </c>
      <c r="B35" t="s">
        <v>133</v>
      </c>
      <c r="C35" t="s">
        <v>133</v>
      </c>
      <c r="D35" t="s">
        <v>133</v>
      </c>
      <c r="E35">
        <v>8295043</v>
      </c>
      <c r="F35">
        <v>10790000</v>
      </c>
      <c r="G35">
        <v>11374000</v>
      </c>
      <c r="H35">
        <v>15672000</v>
      </c>
      <c r="I35">
        <v>19930000</v>
      </c>
      <c r="J35">
        <v>19922000</v>
      </c>
      <c r="K35">
        <v>14778000</v>
      </c>
      <c r="L35">
        <v>17804000</v>
      </c>
      <c r="M35">
        <v>26188000</v>
      </c>
      <c r="N35">
        <v>34119000</v>
      </c>
      <c r="O35">
        <v>28347000</v>
      </c>
      <c r="P35">
        <v>38798000</v>
      </c>
      <c r="Q35">
        <v>49272000</v>
      </c>
      <c r="R35">
        <v>52076000</v>
      </c>
      <c r="S35">
        <v>37163000</v>
      </c>
      <c r="T35">
        <v>63548000</v>
      </c>
      <c r="U35">
        <v>84951000</v>
      </c>
      <c r="V35">
        <v>103734000</v>
      </c>
      <c r="W35">
        <v>88680000</v>
      </c>
      <c r="X35">
        <v>141108000</v>
      </c>
      <c r="Y35">
        <v>182520000</v>
      </c>
      <c r="Z35">
        <v>204949000</v>
      </c>
      <c r="AA35">
        <v>212049000</v>
      </c>
      <c r="AB35">
        <v>283203000</v>
      </c>
      <c r="AC35">
        <v>221675000</v>
      </c>
      <c r="AD35">
        <v>326041000</v>
      </c>
      <c r="AE35">
        <v>200392000</v>
      </c>
      <c r="AF35">
        <v>391931000</v>
      </c>
      <c r="AG35">
        <v>421432000</v>
      </c>
      <c r="AH35">
        <v>439516000</v>
      </c>
      <c r="AI35">
        <v>276785000</v>
      </c>
      <c r="AJ35">
        <v>300665000</v>
      </c>
    </row>
    <row r="36" spans="1:36" x14ac:dyDescent="0.25">
      <c r="A36" t="s">
        <v>158</v>
      </c>
      <c r="B36" t="s">
        <v>133</v>
      </c>
      <c r="C36" t="s">
        <v>133</v>
      </c>
      <c r="D36" t="s">
        <v>133</v>
      </c>
      <c r="E36" t="s">
        <v>133</v>
      </c>
      <c r="F36" t="s">
        <v>133</v>
      </c>
      <c r="G36" t="s">
        <v>133</v>
      </c>
      <c r="H36" t="s">
        <v>133</v>
      </c>
      <c r="I36" t="s">
        <v>133</v>
      </c>
      <c r="J36" t="s">
        <v>133</v>
      </c>
      <c r="K36" t="s">
        <v>133</v>
      </c>
      <c r="L36" t="s">
        <v>133</v>
      </c>
      <c r="M36" t="s">
        <v>133</v>
      </c>
      <c r="N36" t="s">
        <v>133</v>
      </c>
      <c r="O36" t="s">
        <v>133</v>
      </c>
      <c r="P36" t="s">
        <v>133</v>
      </c>
      <c r="Q36" t="s">
        <v>133</v>
      </c>
      <c r="R36" t="s">
        <v>133</v>
      </c>
      <c r="S36" t="s">
        <v>133</v>
      </c>
      <c r="T36" t="s">
        <v>133</v>
      </c>
      <c r="U36" t="s">
        <v>133</v>
      </c>
      <c r="V36" t="s">
        <v>133</v>
      </c>
      <c r="W36" t="s">
        <v>133</v>
      </c>
      <c r="X36" t="s">
        <v>133</v>
      </c>
      <c r="Y36" t="s">
        <v>133</v>
      </c>
      <c r="Z36" t="s">
        <v>133</v>
      </c>
      <c r="AA36" t="s">
        <v>133</v>
      </c>
      <c r="AB36" t="s">
        <v>133</v>
      </c>
      <c r="AC36" t="s">
        <v>133</v>
      </c>
      <c r="AD36" t="s">
        <v>133</v>
      </c>
      <c r="AE36" t="s">
        <v>133</v>
      </c>
      <c r="AF36" t="s">
        <v>133</v>
      </c>
      <c r="AG36" t="s">
        <v>133</v>
      </c>
      <c r="AH36" t="s">
        <v>133</v>
      </c>
      <c r="AI36" t="s">
        <v>133</v>
      </c>
      <c r="AJ36" t="s">
        <v>133</v>
      </c>
    </row>
    <row r="37" spans="1:36" x14ac:dyDescent="0.25">
      <c r="A37" t="s">
        <v>159</v>
      </c>
      <c r="B37" t="s">
        <v>133</v>
      </c>
      <c r="C37" t="s">
        <v>133</v>
      </c>
      <c r="D37" t="s">
        <v>133</v>
      </c>
      <c r="E37" t="s">
        <v>133</v>
      </c>
      <c r="F37" t="s">
        <v>133</v>
      </c>
      <c r="G37" t="s">
        <v>133</v>
      </c>
      <c r="H37" t="s">
        <v>133</v>
      </c>
      <c r="I37" t="s">
        <v>133</v>
      </c>
      <c r="J37" t="s">
        <v>133</v>
      </c>
      <c r="K37" t="s">
        <v>133</v>
      </c>
      <c r="L37" t="s">
        <v>133</v>
      </c>
      <c r="M37" t="s">
        <v>133</v>
      </c>
      <c r="N37" t="s">
        <v>133</v>
      </c>
      <c r="O37" t="s">
        <v>133</v>
      </c>
      <c r="P37" t="s">
        <v>133</v>
      </c>
      <c r="Q37" t="s">
        <v>133</v>
      </c>
      <c r="R37" t="s">
        <v>133</v>
      </c>
      <c r="S37" t="s">
        <v>133</v>
      </c>
      <c r="T37" t="s">
        <v>133</v>
      </c>
      <c r="U37">
        <v>845000</v>
      </c>
      <c r="V37" t="s">
        <v>133</v>
      </c>
      <c r="W37" t="s">
        <v>133</v>
      </c>
      <c r="X37" t="s">
        <v>133</v>
      </c>
      <c r="Y37">
        <v>1395000</v>
      </c>
      <c r="Z37" t="s">
        <v>133</v>
      </c>
      <c r="AA37" t="s">
        <v>133</v>
      </c>
      <c r="AB37" t="s">
        <v>133</v>
      </c>
      <c r="AC37">
        <v>1475000</v>
      </c>
      <c r="AD37" t="s">
        <v>133</v>
      </c>
      <c r="AE37" t="s">
        <v>133</v>
      </c>
      <c r="AF37" t="s">
        <v>133</v>
      </c>
      <c r="AG37">
        <v>3524000</v>
      </c>
      <c r="AH37" t="s">
        <v>133</v>
      </c>
      <c r="AI37" t="s">
        <v>133</v>
      </c>
      <c r="AJ37" t="s">
        <v>133</v>
      </c>
    </row>
    <row r="38" spans="1:36" x14ac:dyDescent="0.25">
      <c r="A38" t="s">
        <v>160</v>
      </c>
      <c r="B38" t="s">
        <v>133</v>
      </c>
      <c r="C38" t="s">
        <v>133</v>
      </c>
      <c r="D38" t="s">
        <v>133</v>
      </c>
      <c r="E38">
        <v>12074085</v>
      </c>
      <c r="F38">
        <v>14140000</v>
      </c>
      <c r="G38">
        <v>16432000</v>
      </c>
      <c r="H38">
        <v>16383000</v>
      </c>
      <c r="I38">
        <v>21369000</v>
      </c>
      <c r="J38">
        <v>23794000</v>
      </c>
      <c r="K38">
        <v>23962000</v>
      </c>
      <c r="L38">
        <v>27003000</v>
      </c>
      <c r="M38">
        <v>37266000</v>
      </c>
      <c r="N38">
        <v>35555000</v>
      </c>
      <c r="O38">
        <v>39823000</v>
      </c>
      <c r="P38">
        <v>58560000</v>
      </c>
      <c r="Q38">
        <v>69526000</v>
      </c>
      <c r="R38">
        <v>67923000</v>
      </c>
      <c r="S38">
        <v>67411000</v>
      </c>
      <c r="T38">
        <v>64136000</v>
      </c>
      <c r="U38">
        <v>92766000</v>
      </c>
      <c r="V38">
        <v>90803000</v>
      </c>
      <c r="W38">
        <v>108931000</v>
      </c>
      <c r="X38">
        <v>126088000</v>
      </c>
      <c r="Y38">
        <v>145254000</v>
      </c>
      <c r="Z38">
        <v>157761000</v>
      </c>
      <c r="AA38">
        <v>168638000</v>
      </c>
      <c r="AB38">
        <v>202774000</v>
      </c>
      <c r="AC38">
        <v>276079000</v>
      </c>
      <c r="AD38">
        <v>321444000</v>
      </c>
      <c r="AE38">
        <v>377411000</v>
      </c>
      <c r="AF38">
        <v>432543000</v>
      </c>
      <c r="AG38">
        <v>384456000</v>
      </c>
      <c r="AH38">
        <v>488282000</v>
      </c>
      <c r="AI38">
        <v>514066000</v>
      </c>
      <c r="AJ38">
        <v>585442000</v>
      </c>
    </row>
    <row r="39" spans="1:36" x14ac:dyDescent="0.25">
      <c r="A39" t="s">
        <v>161</v>
      </c>
      <c r="B39" t="s">
        <v>133</v>
      </c>
      <c r="C39" t="s">
        <v>133</v>
      </c>
      <c r="D39" t="s">
        <v>133</v>
      </c>
      <c r="E39">
        <v>20369128</v>
      </c>
      <c r="F39">
        <v>24930000</v>
      </c>
      <c r="G39">
        <v>27806000</v>
      </c>
      <c r="H39">
        <v>32055000</v>
      </c>
      <c r="I39">
        <v>41299000</v>
      </c>
      <c r="J39">
        <v>43716000</v>
      </c>
      <c r="K39">
        <v>38740000</v>
      </c>
      <c r="L39">
        <v>44807000</v>
      </c>
      <c r="M39">
        <v>63454000</v>
      </c>
      <c r="N39">
        <v>69674000</v>
      </c>
      <c r="O39">
        <v>68170000</v>
      </c>
      <c r="P39">
        <v>97358000</v>
      </c>
      <c r="Q39">
        <v>118798000</v>
      </c>
      <c r="R39">
        <v>119999000</v>
      </c>
      <c r="S39">
        <v>104574000</v>
      </c>
      <c r="T39">
        <v>127684000</v>
      </c>
      <c r="U39">
        <v>178562000</v>
      </c>
      <c r="V39">
        <v>194537000</v>
      </c>
      <c r="W39">
        <v>197611000</v>
      </c>
      <c r="X39">
        <v>267196000</v>
      </c>
      <c r="Y39">
        <v>329169000</v>
      </c>
      <c r="Z39">
        <v>362710000</v>
      </c>
      <c r="AA39">
        <v>380687000</v>
      </c>
      <c r="AB39">
        <v>485977000</v>
      </c>
      <c r="AC39">
        <v>499229000</v>
      </c>
      <c r="AD39">
        <v>647485000</v>
      </c>
      <c r="AE39">
        <v>577803000</v>
      </c>
      <c r="AF39">
        <v>824474000</v>
      </c>
      <c r="AG39">
        <v>809412000</v>
      </c>
      <c r="AH39">
        <v>927798000</v>
      </c>
      <c r="AI39">
        <v>790851000</v>
      </c>
      <c r="AJ39">
        <v>886107000</v>
      </c>
    </row>
    <row r="40" spans="1:36" x14ac:dyDescent="0.25">
      <c r="A40" t="s">
        <v>162</v>
      </c>
      <c r="B40" t="s">
        <v>133</v>
      </c>
      <c r="C40" t="s">
        <v>133</v>
      </c>
      <c r="D40" t="s">
        <v>133</v>
      </c>
      <c r="E40">
        <v>4834910</v>
      </c>
      <c r="F40">
        <v>4913000</v>
      </c>
      <c r="G40">
        <v>4781000</v>
      </c>
      <c r="H40">
        <v>6235000</v>
      </c>
      <c r="I40">
        <v>7343000</v>
      </c>
      <c r="J40">
        <v>20621000</v>
      </c>
      <c r="K40">
        <v>21622000</v>
      </c>
      <c r="L40">
        <v>23150000</v>
      </c>
      <c r="M40">
        <v>24340000</v>
      </c>
      <c r="N40">
        <v>24628000</v>
      </c>
      <c r="O40">
        <v>25200000</v>
      </c>
      <c r="P40">
        <v>27441000</v>
      </c>
      <c r="Q40">
        <v>29463000</v>
      </c>
      <c r="R40">
        <v>34328000</v>
      </c>
      <c r="S40">
        <v>37935000</v>
      </c>
      <c r="T40">
        <v>38635000</v>
      </c>
      <c r="U40">
        <v>39619000</v>
      </c>
      <c r="V40">
        <v>56785000</v>
      </c>
      <c r="W40">
        <v>59472000</v>
      </c>
      <c r="X40">
        <v>61257000</v>
      </c>
      <c r="Y40">
        <v>67489000</v>
      </c>
      <c r="Z40">
        <v>71985000</v>
      </c>
      <c r="AA40">
        <v>73188000</v>
      </c>
      <c r="AB40">
        <v>78495000</v>
      </c>
      <c r="AC40">
        <v>106365000</v>
      </c>
      <c r="AD40">
        <v>104858000</v>
      </c>
      <c r="AE40">
        <v>129126000</v>
      </c>
      <c r="AF40">
        <v>127242000</v>
      </c>
      <c r="AG40">
        <v>134467000</v>
      </c>
      <c r="AH40">
        <v>142775000</v>
      </c>
      <c r="AI40">
        <v>156949000</v>
      </c>
      <c r="AJ40">
        <v>176133000</v>
      </c>
    </row>
    <row r="41" spans="1:36" x14ac:dyDescent="0.25">
      <c r="A41" t="s">
        <v>163</v>
      </c>
      <c r="B41" t="s">
        <v>133</v>
      </c>
      <c r="C41" t="s">
        <v>133</v>
      </c>
      <c r="D41" t="s">
        <v>133</v>
      </c>
      <c r="E41" t="s">
        <v>133</v>
      </c>
      <c r="F41" t="s">
        <v>133</v>
      </c>
      <c r="G41" t="s">
        <v>133</v>
      </c>
      <c r="H41" t="s">
        <v>133</v>
      </c>
      <c r="I41" t="s">
        <v>133</v>
      </c>
      <c r="J41" t="s">
        <v>133</v>
      </c>
      <c r="K41" t="s">
        <v>133</v>
      </c>
      <c r="L41" t="s">
        <v>133</v>
      </c>
      <c r="M41" t="s">
        <v>133</v>
      </c>
      <c r="N41" t="s">
        <v>133</v>
      </c>
      <c r="O41" t="s">
        <v>133</v>
      </c>
      <c r="P41" t="s">
        <v>133</v>
      </c>
      <c r="Q41" t="s">
        <v>133</v>
      </c>
      <c r="R41" t="s">
        <v>133</v>
      </c>
      <c r="S41" t="s">
        <v>133</v>
      </c>
      <c r="T41" t="s">
        <v>133</v>
      </c>
      <c r="U41" t="s">
        <v>133</v>
      </c>
      <c r="V41">
        <v>14937000</v>
      </c>
      <c r="W41">
        <v>14809000</v>
      </c>
      <c r="X41">
        <v>15437000</v>
      </c>
      <c r="Y41">
        <v>12485000</v>
      </c>
      <c r="Z41">
        <v>12715000</v>
      </c>
      <c r="AA41">
        <v>12477000</v>
      </c>
      <c r="AB41">
        <v>11956000</v>
      </c>
      <c r="AC41">
        <v>1834333000</v>
      </c>
      <c r="AD41">
        <v>1800799000</v>
      </c>
      <c r="AE41">
        <v>1999578000</v>
      </c>
      <c r="AF41">
        <v>2217651000</v>
      </c>
      <c r="AG41">
        <v>2188482000</v>
      </c>
      <c r="AH41">
        <v>2183203000</v>
      </c>
      <c r="AI41">
        <v>2125991000</v>
      </c>
      <c r="AJ41">
        <v>2361411000</v>
      </c>
    </row>
    <row r="42" spans="1:36" x14ac:dyDescent="0.25">
      <c r="A42" t="s">
        <v>164</v>
      </c>
      <c r="B42" t="s">
        <v>133</v>
      </c>
      <c r="C42" t="s">
        <v>133</v>
      </c>
      <c r="D42" t="s">
        <v>133</v>
      </c>
      <c r="E42">
        <v>6550092</v>
      </c>
      <c r="F42">
        <v>7183000</v>
      </c>
      <c r="G42">
        <v>7985000</v>
      </c>
      <c r="H42">
        <v>8838000</v>
      </c>
      <c r="I42">
        <v>10032000</v>
      </c>
      <c r="J42">
        <v>11323000</v>
      </c>
      <c r="K42">
        <v>12614000</v>
      </c>
      <c r="L42">
        <v>13589000</v>
      </c>
      <c r="M42">
        <v>14452000</v>
      </c>
      <c r="N42">
        <v>15046000</v>
      </c>
      <c r="O42">
        <v>15350000</v>
      </c>
      <c r="P42">
        <v>15668000</v>
      </c>
      <c r="Q42">
        <v>16567000</v>
      </c>
      <c r="R42">
        <v>16979000</v>
      </c>
      <c r="S42">
        <v>17054000</v>
      </c>
      <c r="T42">
        <v>17483000</v>
      </c>
      <c r="U42">
        <v>21344000</v>
      </c>
      <c r="V42">
        <v>23826000</v>
      </c>
      <c r="W42">
        <v>23067000</v>
      </c>
      <c r="X42">
        <v>24229000</v>
      </c>
      <c r="Y42">
        <v>23743000</v>
      </c>
      <c r="Z42">
        <v>23481000</v>
      </c>
      <c r="AA42">
        <v>23779000</v>
      </c>
      <c r="AB42">
        <v>23294000</v>
      </c>
      <c r="AC42">
        <v>723187000</v>
      </c>
      <c r="AD42">
        <v>699515000</v>
      </c>
      <c r="AE42">
        <v>765279000</v>
      </c>
      <c r="AF42">
        <v>763630000</v>
      </c>
      <c r="AG42">
        <v>757250000</v>
      </c>
      <c r="AH42">
        <v>743367000</v>
      </c>
      <c r="AI42">
        <v>717062000</v>
      </c>
      <c r="AJ42">
        <v>766198000</v>
      </c>
    </row>
    <row r="43" spans="1:36" x14ac:dyDescent="0.25">
      <c r="A43" t="s">
        <v>164</v>
      </c>
      <c r="B43" t="s">
        <v>133</v>
      </c>
      <c r="C43" t="s">
        <v>133</v>
      </c>
      <c r="D43" t="s">
        <v>133</v>
      </c>
      <c r="E43">
        <v>6550092</v>
      </c>
      <c r="F43">
        <v>7183000</v>
      </c>
      <c r="G43">
        <v>7985000</v>
      </c>
      <c r="H43">
        <v>8838000</v>
      </c>
      <c r="I43">
        <v>10032000</v>
      </c>
      <c r="J43">
        <v>11323000</v>
      </c>
      <c r="K43">
        <v>12614000</v>
      </c>
      <c r="L43">
        <v>13589000</v>
      </c>
      <c r="M43">
        <v>14452000</v>
      </c>
      <c r="N43">
        <v>15046000</v>
      </c>
      <c r="O43">
        <v>15350000</v>
      </c>
      <c r="P43">
        <v>15668000</v>
      </c>
      <c r="Q43">
        <v>16567000</v>
      </c>
      <c r="R43">
        <v>16979000</v>
      </c>
      <c r="S43">
        <v>17054000</v>
      </c>
      <c r="T43">
        <v>17483000</v>
      </c>
      <c r="U43">
        <v>21344000</v>
      </c>
      <c r="V43">
        <v>38763000</v>
      </c>
      <c r="W43">
        <v>37876000</v>
      </c>
      <c r="X43">
        <v>39666000</v>
      </c>
      <c r="Y43">
        <v>36228000</v>
      </c>
      <c r="Z43">
        <v>36196000</v>
      </c>
      <c r="AA43">
        <v>36256000</v>
      </c>
      <c r="AB43">
        <v>35250000</v>
      </c>
      <c r="AC43">
        <v>2557520000</v>
      </c>
      <c r="AD43">
        <v>2500314000</v>
      </c>
      <c r="AE43">
        <v>2764857000</v>
      </c>
      <c r="AF43">
        <v>2981281000</v>
      </c>
      <c r="AG43">
        <v>2945732000</v>
      </c>
      <c r="AH43">
        <v>2926570000</v>
      </c>
      <c r="AI43">
        <v>2843053000</v>
      </c>
      <c r="AJ43">
        <v>3127609000</v>
      </c>
    </row>
    <row r="44" spans="1:36" x14ac:dyDescent="0.25">
      <c r="A44" t="s">
        <v>165</v>
      </c>
      <c r="B44" t="s">
        <v>133</v>
      </c>
      <c r="C44" t="s">
        <v>133</v>
      </c>
      <c r="D44" t="s">
        <v>133</v>
      </c>
      <c r="E44" t="s">
        <v>133</v>
      </c>
      <c r="F44" t="s">
        <v>133</v>
      </c>
      <c r="G44" t="s">
        <v>133</v>
      </c>
      <c r="H44" t="s">
        <v>133</v>
      </c>
      <c r="I44" t="s">
        <v>133</v>
      </c>
      <c r="J44" t="s">
        <v>133</v>
      </c>
      <c r="K44" t="s">
        <v>133</v>
      </c>
      <c r="L44" t="s">
        <v>133</v>
      </c>
      <c r="M44" t="s">
        <v>133</v>
      </c>
      <c r="N44" t="s">
        <v>133</v>
      </c>
      <c r="O44" t="s">
        <v>133</v>
      </c>
      <c r="P44" t="s">
        <v>133</v>
      </c>
      <c r="Q44" t="s">
        <v>133</v>
      </c>
      <c r="R44" t="s">
        <v>133</v>
      </c>
      <c r="S44" t="s">
        <v>133</v>
      </c>
      <c r="T44" t="s">
        <v>133</v>
      </c>
      <c r="U44" t="s">
        <v>133</v>
      </c>
      <c r="V44" t="s">
        <v>133</v>
      </c>
      <c r="W44" t="s">
        <v>133</v>
      </c>
      <c r="X44" t="s">
        <v>133</v>
      </c>
      <c r="Y44" t="s">
        <v>133</v>
      </c>
      <c r="Z44" t="s">
        <v>133</v>
      </c>
      <c r="AA44" t="s">
        <v>133</v>
      </c>
      <c r="AB44" t="s">
        <v>133</v>
      </c>
      <c r="AC44" t="s">
        <v>133</v>
      </c>
      <c r="AD44" t="s">
        <v>133</v>
      </c>
      <c r="AE44" t="s">
        <v>133</v>
      </c>
      <c r="AF44" t="s">
        <v>133</v>
      </c>
      <c r="AG44" t="s">
        <v>133</v>
      </c>
      <c r="AH44" t="s">
        <v>133</v>
      </c>
      <c r="AI44" t="s">
        <v>133</v>
      </c>
      <c r="AJ44" t="s">
        <v>133</v>
      </c>
    </row>
    <row r="45" spans="1:36" x14ac:dyDescent="0.25">
      <c r="A45" t="s">
        <v>166</v>
      </c>
      <c r="B45" t="s">
        <v>133</v>
      </c>
      <c r="C45" t="s">
        <v>133</v>
      </c>
      <c r="D45" t="s">
        <v>133</v>
      </c>
      <c r="E45" t="s">
        <v>133</v>
      </c>
      <c r="F45">
        <v>786000</v>
      </c>
      <c r="G45">
        <v>783000</v>
      </c>
      <c r="H45">
        <v>700000</v>
      </c>
      <c r="I45">
        <v>617000</v>
      </c>
      <c r="J45">
        <v>617000</v>
      </c>
      <c r="K45">
        <v>617000</v>
      </c>
      <c r="L45">
        <v>617000</v>
      </c>
      <c r="M45">
        <v>550000</v>
      </c>
      <c r="N45">
        <v>550000</v>
      </c>
      <c r="O45">
        <v>318000</v>
      </c>
      <c r="P45">
        <v>209000</v>
      </c>
      <c r="Q45">
        <v>78000</v>
      </c>
      <c r="R45">
        <v>74000</v>
      </c>
      <c r="S45">
        <v>71000</v>
      </c>
      <c r="T45">
        <v>34000</v>
      </c>
      <c r="U45">
        <v>180000</v>
      </c>
      <c r="V45">
        <v>176000</v>
      </c>
      <c r="W45">
        <v>15000</v>
      </c>
      <c r="X45">
        <v>156000</v>
      </c>
      <c r="Y45">
        <v>156000</v>
      </c>
      <c r="Z45">
        <v>170000</v>
      </c>
      <c r="AA45">
        <v>344000</v>
      </c>
      <c r="AB45">
        <v>340000</v>
      </c>
      <c r="AC45">
        <v>2696000</v>
      </c>
      <c r="AD45">
        <v>2307000</v>
      </c>
      <c r="AE45">
        <v>1900000</v>
      </c>
      <c r="AF45">
        <v>1849000</v>
      </c>
      <c r="AG45">
        <v>2360000</v>
      </c>
      <c r="AH45">
        <v>2727000</v>
      </c>
      <c r="AI45">
        <v>2849000</v>
      </c>
      <c r="AJ45">
        <v>2718000</v>
      </c>
    </row>
    <row r="46" spans="1:36" x14ac:dyDescent="0.25">
      <c r="A46" t="s">
        <v>167</v>
      </c>
      <c r="B46" t="s">
        <v>133</v>
      </c>
      <c r="C46" t="s">
        <v>133</v>
      </c>
      <c r="D46" t="s">
        <v>133</v>
      </c>
      <c r="E46">
        <v>44618</v>
      </c>
      <c r="F46">
        <v>49000</v>
      </c>
      <c r="G46">
        <v>50000</v>
      </c>
      <c r="H46">
        <v>62000</v>
      </c>
      <c r="I46">
        <v>320000</v>
      </c>
      <c r="J46">
        <v>320000</v>
      </c>
      <c r="K46">
        <v>468000</v>
      </c>
      <c r="L46">
        <v>480000</v>
      </c>
      <c r="M46">
        <v>522000</v>
      </c>
      <c r="N46">
        <v>498000</v>
      </c>
      <c r="O46">
        <v>772000</v>
      </c>
      <c r="P46">
        <v>1378000</v>
      </c>
      <c r="Q46">
        <v>2431000</v>
      </c>
      <c r="R46">
        <v>5105000</v>
      </c>
      <c r="S46">
        <v>5455000</v>
      </c>
      <c r="T46">
        <v>5903000</v>
      </c>
      <c r="U46">
        <v>952000</v>
      </c>
      <c r="V46">
        <v>1030000</v>
      </c>
      <c r="W46">
        <v>1242000</v>
      </c>
      <c r="X46">
        <v>1052000</v>
      </c>
      <c r="Y46">
        <v>1118000</v>
      </c>
      <c r="Z46">
        <v>1255000</v>
      </c>
      <c r="AA46">
        <v>1479000</v>
      </c>
      <c r="AB46">
        <v>1602000</v>
      </c>
      <c r="AC46">
        <v>3302000</v>
      </c>
      <c r="AD46">
        <v>11623000</v>
      </c>
      <c r="AE46">
        <v>12394000</v>
      </c>
      <c r="AF46">
        <v>11868000</v>
      </c>
      <c r="AG46">
        <v>11096000</v>
      </c>
      <c r="AH46">
        <v>10233000</v>
      </c>
      <c r="AI46">
        <v>10107000</v>
      </c>
      <c r="AJ46">
        <v>9654000</v>
      </c>
    </row>
    <row r="47" spans="1:36" x14ac:dyDescent="0.25">
      <c r="A47" t="s">
        <v>168</v>
      </c>
      <c r="B47" t="s">
        <v>133</v>
      </c>
      <c r="C47" t="s">
        <v>133</v>
      </c>
      <c r="D47" t="s">
        <v>133</v>
      </c>
      <c r="E47">
        <v>11429620</v>
      </c>
      <c r="F47">
        <v>12931000</v>
      </c>
      <c r="G47">
        <v>13599000</v>
      </c>
      <c r="H47">
        <v>15835000</v>
      </c>
      <c r="I47">
        <v>18312000</v>
      </c>
      <c r="J47">
        <v>32881000</v>
      </c>
      <c r="K47">
        <v>35321000</v>
      </c>
      <c r="L47">
        <v>37836000</v>
      </c>
      <c r="M47">
        <v>39864000</v>
      </c>
      <c r="N47">
        <v>40722000</v>
      </c>
      <c r="O47">
        <v>41640000</v>
      </c>
      <c r="P47">
        <v>44696000</v>
      </c>
      <c r="Q47">
        <v>48539000</v>
      </c>
      <c r="R47">
        <v>56486000</v>
      </c>
      <c r="S47">
        <v>60515000</v>
      </c>
      <c r="T47">
        <v>62055000</v>
      </c>
      <c r="U47">
        <v>62095000</v>
      </c>
      <c r="V47">
        <v>96754000</v>
      </c>
      <c r="W47">
        <v>98605000</v>
      </c>
      <c r="X47">
        <v>102131000</v>
      </c>
      <c r="Y47">
        <v>104991000</v>
      </c>
      <c r="Z47">
        <v>109606000</v>
      </c>
      <c r="AA47">
        <v>111267000</v>
      </c>
      <c r="AB47">
        <v>115687000</v>
      </c>
      <c r="AC47">
        <v>2669883000</v>
      </c>
      <c r="AD47">
        <v>2619102000</v>
      </c>
      <c r="AE47">
        <v>2908277000</v>
      </c>
      <c r="AF47">
        <v>3122240000</v>
      </c>
      <c r="AG47">
        <v>3093655000</v>
      </c>
      <c r="AH47">
        <v>3082305000</v>
      </c>
      <c r="AI47">
        <v>3012958000</v>
      </c>
      <c r="AJ47">
        <v>3316114000</v>
      </c>
    </row>
    <row r="48" spans="1:36" x14ac:dyDescent="0.25">
      <c r="A48" t="s">
        <v>169</v>
      </c>
      <c r="B48" t="s">
        <v>133</v>
      </c>
      <c r="C48" t="s">
        <v>133</v>
      </c>
      <c r="D48" t="s">
        <v>133</v>
      </c>
      <c r="E48" t="s">
        <v>133</v>
      </c>
      <c r="F48" t="s">
        <v>133</v>
      </c>
      <c r="G48" t="s">
        <v>133</v>
      </c>
      <c r="H48" t="s">
        <v>133</v>
      </c>
      <c r="I48" t="s">
        <v>133</v>
      </c>
      <c r="J48" t="s">
        <v>133</v>
      </c>
      <c r="K48" t="s">
        <v>133</v>
      </c>
      <c r="L48" t="s">
        <v>133</v>
      </c>
      <c r="M48" t="s">
        <v>133</v>
      </c>
      <c r="N48" t="s">
        <v>133</v>
      </c>
      <c r="O48" t="s">
        <v>133</v>
      </c>
      <c r="P48" t="s">
        <v>133</v>
      </c>
      <c r="Q48" t="s">
        <v>133</v>
      </c>
      <c r="R48" t="s">
        <v>133</v>
      </c>
      <c r="S48" t="s">
        <v>133</v>
      </c>
      <c r="T48" t="s">
        <v>133</v>
      </c>
      <c r="U48" t="s">
        <v>133</v>
      </c>
      <c r="V48" t="s">
        <v>133</v>
      </c>
      <c r="W48" t="s">
        <v>133</v>
      </c>
      <c r="X48" t="s">
        <v>133</v>
      </c>
      <c r="Y48" t="s">
        <v>133</v>
      </c>
      <c r="Z48" t="s">
        <v>133</v>
      </c>
      <c r="AA48" t="s">
        <v>133</v>
      </c>
      <c r="AB48" t="s">
        <v>133</v>
      </c>
      <c r="AC48" t="s">
        <v>133</v>
      </c>
      <c r="AD48" t="s">
        <v>133</v>
      </c>
      <c r="AE48" t="s">
        <v>133</v>
      </c>
      <c r="AF48" t="s">
        <v>133</v>
      </c>
      <c r="AG48" t="s">
        <v>133</v>
      </c>
      <c r="AH48" t="s">
        <v>133</v>
      </c>
      <c r="AI48" t="s">
        <v>133</v>
      </c>
      <c r="AJ48" t="s">
        <v>133</v>
      </c>
    </row>
    <row r="49" spans="1:36" x14ac:dyDescent="0.25">
      <c r="A49" t="s">
        <v>170</v>
      </c>
      <c r="B49" t="s">
        <v>133</v>
      </c>
      <c r="C49" t="s">
        <v>133</v>
      </c>
      <c r="D49" t="s">
        <v>133</v>
      </c>
      <c r="E49">
        <v>31798748</v>
      </c>
      <c r="F49">
        <v>37861000</v>
      </c>
      <c r="G49">
        <v>41405000</v>
      </c>
      <c r="H49">
        <v>47890000</v>
      </c>
      <c r="I49">
        <v>59611000</v>
      </c>
      <c r="J49">
        <v>76597000</v>
      </c>
      <c r="K49">
        <v>74061000</v>
      </c>
      <c r="L49">
        <v>82643000</v>
      </c>
      <c r="M49">
        <v>103318000</v>
      </c>
      <c r="N49">
        <v>110396000</v>
      </c>
      <c r="O49">
        <v>109810000</v>
      </c>
      <c r="P49">
        <v>142054000</v>
      </c>
      <c r="Q49">
        <v>167337000</v>
      </c>
      <c r="R49">
        <v>176485000</v>
      </c>
      <c r="S49">
        <v>165089000</v>
      </c>
      <c r="T49">
        <v>189739000</v>
      </c>
      <c r="U49">
        <v>240657000</v>
      </c>
      <c r="V49">
        <v>291291000</v>
      </c>
      <c r="W49">
        <v>296216000</v>
      </c>
      <c r="X49">
        <v>369327000</v>
      </c>
      <c r="Y49">
        <v>434160000</v>
      </c>
      <c r="Z49">
        <v>472316000</v>
      </c>
      <c r="AA49">
        <v>491954000</v>
      </c>
      <c r="AB49">
        <v>601664000</v>
      </c>
      <c r="AC49">
        <v>3169112000</v>
      </c>
      <c r="AD49">
        <v>3266587000</v>
      </c>
      <c r="AE49">
        <v>3486080000</v>
      </c>
      <c r="AF49">
        <v>3946714000</v>
      </c>
      <c r="AG49">
        <v>3903067000</v>
      </c>
      <c r="AH49">
        <v>4010103000</v>
      </c>
      <c r="AI49">
        <v>3803809000</v>
      </c>
      <c r="AJ49">
        <v>4202221000</v>
      </c>
    </row>
    <row r="50" spans="1:36" x14ac:dyDescent="0.25">
      <c r="A50" t="s">
        <v>171</v>
      </c>
      <c r="B50" t="s">
        <v>133</v>
      </c>
      <c r="C50" t="s">
        <v>133</v>
      </c>
      <c r="D50" t="s">
        <v>133</v>
      </c>
      <c r="E50">
        <v>607549</v>
      </c>
      <c r="F50">
        <v>3666000</v>
      </c>
      <c r="G50">
        <v>1100000</v>
      </c>
      <c r="H50">
        <v>1049000</v>
      </c>
      <c r="I50">
        <v>2293000</v>
      </c>
      <c r="J50">
        <v>1535000</v>
      </c>
      <c r="K50">
        <v>1305000</v>
      </c>
      <c r="L50">
        <v>2053000</v>
      </c>
      <c r="M50">
        <v>2169000</v>
      </c>
      <c r="N50">
        <v>712000</v>
      </c>
      <c r="O50">
        <v>1308000</v>
      </c>
      <c r="P50">
        <v>1152000</v>
      </c>
      <c r="Q50">
        <v>3951000</v>
      </c>
      <c r="R50">
        <v>3351000</v>
      </c>
      <c r="S50">
        <v>2355000</v>
      </c>
      <c r="T50">
        <v>2926000</v>
      </c>
      <c r="U50">
        <v>3190000</v>
      </c>
      <c r="V50">
        <v>3512000</v>
      </c>
      <c r="W50">
        <v>3038000</v>
      </c>
      <c r="X50">
        <v>3244000</v>
      </c>
      <c r="Y50">
        <v>5300000</v>
      </c>
      <c r="Z50">
        <v>2375000</v>
      </c>
      <c r="AA50">
        <v>4389000</v>
      </c>
      <c r="AB50">
        <v>3756000</v>
      </c>
      <c r="AC50">
        <v>15335000</v>
      </c>
      <c r="AD50">
        <v>6344000</v>
      </c>
      <c r="AE50">
        <v>7076000</v>
      </c>
      <c r="AF50">
        <v>7824000</v>
      </c>
      <c r="AG50">
        <v>8578000</v>
      </c>
      <c r="AH50">
        <v>14573000</v>
      </c>
      <c r="AI50">
        <v>17678000</v>
      </c>
      <c r="AJ50">
        <v>10871000</v>
      </c>
    </row>
    <row r="51" spans="1:36" x14ac:dyDescent="0.25">
      <c r="A51" t="s">
        <v>9</v>
      </c>
      <c r="B51" t="s">
        <v>133</v>
      </c>
      <c r="C51" t="s">
        <v>133</v>
      </c>
      <c r="D51" t="s">
        <v>133</v>
      </c>
      <c r="E51" t="s">
        <v>133</v>
      </c>
      <c r="F51" t="s">
        <v>133</v>
      </c>
      <c r="G51" t="s">
        <v>133</v>
      </c>
      <c r="H51" t="s">
        <v>133</v>
      </c>
      <c r="I51" t="s">
        <v>133</v>
      </c>
      <c r="J51">
        <v>954000</v>
      </c>
      <c r="K51">
        <v>930000</v>
      </c>
      <c r="L51">
        <v>930000</v>
      </c>
      <c r="M51">
        <v>1130000</v>
      </c>
      <c r="N51">
        <v>1130000</v>
      </c>
      <c r="O51">
        <v>1130000</v>
      </c>
      <c r="P51">
        <v>1130000</v>
      </c>
      <c r="Q51">
        <v>950000</v>
      </c>
      <c r="R51">
        <v>950000</v>
      </c>
      <c r="S51">
        <v>950000</v>
      </c>
      <c r="T51">
        <v>950000</v>
      </c>
      <c r="U51">
        <v>950000</v>
      </c>
      <c r="V51">
        <v>3791000</v>
      </c>
      <c r="W51">
        <v>4231000</v>
      </c>
      <c r="X51">
        <v>4188000</v>
      </c>
      <c r="Y51">
        <v>9555000</v>
      </c>
      <c r="Z51">
        <v>9768000</v>
      </c>
      <c r="AA51">
        <v>9354000</v>
      </c>
      <c r="AB51">
        <v>9325000</v>
      </c>
      <c r="AC51">
        <v>11891000</v>
      </c>
      <c r="AD51">
        <v>11563000</v>
      </c>
      <c r="AE51">
        <v>12422000</v>
      </c>
      <c r="AF51">
        <v>11918000</v>
      </c>
      <c r="AG51">
        <v>14639000</v>
      </c>
      <c r="AH51">
        <v>15927000</v>
      </c>
      <c r="AI51">
        <v>16017000</v>
      </c>
      <c r="AJ51">
        <v>17173000</v>
      </c>
    </row>
    <row r="52" spans="1:36" x14ac:dyDescent="0.25">
      <c r="A52" t="s">
        <v>172</v>
      </c>
      <c r="B52" t="s">
        <v>133</v>
      </c>
      <c r="C52" t="s">
        <v>133</v>
      </c>
      <c r="D52" t="s">
        <v>133</v>
      </c>
      <c r="E52">
        <v>4545108</v>
      </c>
      <c r="F52">
        <v>3744000</v>
      </c>
      <c r="G52">
        <v>4047000</v>
      </c>
      <c r="H52">
        <v>4276000</v>
      </c>
      <c r="I52">
        <v>7227000</v>
      </c>
      <c r="J52">
        <v>7767000</v>
      </c>
      <c r="K52">
        <v>7749000</v>
      </c>
      <c r="L52">
        <v>8144000</v>
      </c>
      <c r="M52">
        <v>18695000</v>
      </c>
      <c r="N52">
        <v>12521000</v>
      </c>
      <c r="O52">
        <v>13524000</v>
      </c>
      <c r="P52">
        <v>29029000</v>
      </c>
      <c r="Q52">
        <v>31898000</v>
      </c>
      <c r="R52">
        <v>23387000</v>
      </c>
      <c r="S52">
        <v>24339000</v>
      </c>
      <c r="T52">
        <v>26228000</v>
      </c>
      <c r="U52">
        <v>49939000</v>
      </c>
      <c r="V52">
        <v>42881000</v>
      </c>
      <c r="W52">
        <v>54622000</v>
      </c>
      <c r="X52">
        <v>71650000</v>
      </c>
      <c r="Y52">
        <v>81524000</v>
      </c>
      <c r="Z52">
        <v>72046000</v>
      </c>
      <c r="AA52">
        <v>96799000</v>
      </c>
      <c r="AB52">
        <v>125611000</v>
      </c>
      <c r="AC52">
        <v>164082000</v>
      </c>
      <c r="AD52">
        <v>152855000</v>
      </c>
      <c r="AE52">
        <v>180503000</v>
      </c>
      <c r="AF52">
        <v>247888000</v>
      </c>
      <c r="AG52">
        <v>189053000</v>
      </c>
      <c r="AH52">
        <v>258532000</v>
      </c>
      <c r="AI52">
        <v>238091000</v>
      </c>
      <c r="AJ52">
        <v>302036000</v>
      </c>
    </row>
    <row r="53" spans="1:36" x14ac:dyDescent="0.25">
      <c r="A53" t="s">
        <v>173</v>
      </c>
      <c r="B53" t="s">
        <v>133</v>
      </c>
      <c r="C53" t="s">
        <v>133</v>
      </c>
      <c r="D53" t="s">
        <v>133</v>
      </c>
      <c r="E53" t="s">
        <v>133</v>
      </c>
      <c r="F53" t="s">
        <v>133</v>
      </c>
      <c r="G53" t="s">
        <v>133</v>
      </c>
      <c r="H53" t="s">
        <v>133</v>
      </c>
      <c r="I53" t="s">
        <v>133</v>
      </c>
      <c r="J53" t="s">
        <v>133</v>
      </c>
      <c r="K53" t="s">
        <v>133</v>
      </c>
      <c r="L53" t="s">
        <v>133</v>
      </c>
      <c r="M53" t="s">
        <v>133</v>
      </c>
      <c r="N53" t="s">
        <v>133</v>
      </c>
      <c r="O53" t="s">
        <v>133</v>
      </c>
      <c r="P53" t="s">
        <v>133</v>
      </c>
      <c r="Q53" t="s">
        <v>133</v>
      </c>
      <c r="R53" t="s">
        <v>133</v>
      </c>
      <c r="S53" t="s">
        <v>133</v>
      </c>
      <c r="T53" t="s">
        <v>133</v>
      </c>
      <c r="U53" t="s">
        <v>133</v>
      </c>
      <c r="V53" t="s">
        <v>133</v>
      </c>
      <c r="W53" t="s">
        <v>133</v>
      </c>
      <c r="X53" t="s">
        <v>133</v>
      </c>
      <c r="Y53" t="s">
        <v>133</v>
      </c>
      <c r="Z53" t="s">
        <v>133</v>
      </c>
      <c r="AA53" t="s">
        <v>133</v>
      </c>
      <c r="AB53" t="s">
        <v>133</v>
      </c>
      <c r="AC53" t="s">
        <v>133</v>
      </c>
      <c r="AD53" t="s">
        <v>133</v>
      </c>
      <c r="AE53" t="s">
        <v>133</v>
      </c>
      <c r="AF53" t="s">
        <v>133</v>
      </c>
      <c r="AG53" t="s">
        <v>133</v>
      </c>
      <c r="AH53" t="s">
        <v>133</v>
      </c>
      <c r="AI53" t="s">
        <v>133</v>
      </c>
      <c r="AJ53" t="s">
        <v>133</v>
      </c>
    </row>
    <row r="54" spans="1:36" x14ac:dyDescent="0.25">
      <c r="A54" t="s">
        <v>174</v>
      </c>
      <c r="B54" t="s">
        <v>133</v>
      </c>
      <c r="C54" t="s">
        <v>133</v>
      </c>
      <c r="D54" t="s">
        <v>133</v>
      </c>
      <c r="E54">
        <v>2738928</v>
      </c>
      <c r="F54">
        <v>5026000</v>
      </c>
      <c r="G54">
        <v>4938000</v>
      </c>
      <c r="H54">
        <v>5461000</v>
      </c>
      <c r="I54">
        <v>5957000</v>
      </c>
      <c r="J54">
        <v>6346000</v>
      </c>
      <c r="K54">
        <v>7776000</v>
      </c>
      <c r="L54">
        <v>8120000</v>
      </c>
      <c r="M54">
        <v>9257000</v>
      </c>
      <c r="N54">
        <v>11500000</v>
      </c>
      <c r="O54">
        <v>11029000</v>
      </c>
      <c r="P54">
        <v>12016000</v>
      </c>
      <c r="Q54">
        <v>13399000</v>
      </c>
      <c r="R54">
        <v>15274000</v>
      </c>
      <c r="S54">
        <v>16147000</v>
      </c>
      <c r="T54">
        <v>16481000</v>
      </c>
      <c r="U54">
        <v>18689000</v>
      </c>
      <c r="V54">
        <v>32038000</v>
      </c>
      <c r="W54">
        <v>33547000</v>
      </c>
      <c r="X54">
        <v>38210000</v>
      </c>
      <c r="Y54">
        <v>41332000</v>
      </c>
      <c r="Z54">
        <v>39124000</v>
      </c>
      <c r="AA54">
        <v>40716000</v>
      </c>
      <c r="AB54">
        <v>44078000</v>
      </c>
      <c r="AC54">
        <v>176889000</v>
      </c>
      <c r="AD54">
        <v>190122000</v>
      </c>
      <c r="AE54">
        <v>162981000</v>
      </c>
      <c r="AF54">
        <v>161035000</v>
      </c>
      <c r="AG54">
        <v>157860000</v>
      </c>
      <c r="AH54">
        <v>90823000</v>
      </c>
      <c r="AI54">
        <v>80918000</v>
      </c>
      <c r="AJ54">
        <v>88029000</v>
      </c>
    </row>
    <row r="55" spans="1:36" x14ac:dyDescent="0.25">
      <c r="A55" t="s">
        <v>175</v>
      </c>
      <c r="B55" t="s">
        <v>133</v>
      </c>
      <c r="C55" t="s">
        <v>133</v>
      </c>
      <c r="D55" t="s">
        <v>133</v>
      </c>
      <c r="E55">
        <v>7891585</v>
      </c>
      <c r="F55">
        <v>12436000</v>
      </c>
      <c r="G55">
        <v>10085000</v>
      </c>
      <c r="H55">
        <v>10786000</v>
      </c>
      <c r="I55">
        <v>15477000</v>
      </c>
      <c r="J55">
        <v>16602000</v>
      </c>
      <c r="K55">
        <v>17760000</v>
      </c>
      <c r="L55">
        <v>19247000</v>
      </c>
      <c r="M55">
        <v>31251000</v>
      </c>
      <c r="N55">
        <v>25863000</v>
      </c>
      <c r="O55">
        <v>26991000</v>
      </c>
      <c r="P55">
        <v>43327000</v>
      </c>
      <c r="Q55">
        <v>50198000</v>
      </c>
      <c r="R55">
        <v>42962000</v>
      </c>
      <c r="S55">
        <v>43791000</v>
      </c>
      <c r="T55">
        <v>46585000</v>
      </c>
      <c r="U55">
        <v>72768000</v>
      </c>
      <c r="V55">
        <v>82222000</v>
      </c>
      <c r="W55">
        <v>95438000</v>
      </c>
      <c r="X55">
        <v>117292000</v>
      </c>
      <c r="Y55">
        <v>137711000</v>
      </c>
      <c r="Z55">
        <v>123313000</v>
      </c>
      <c r="AA55">
        <v>151258000</v>
      </c>
      <c r="AB55">
        <v>182770000</v>
      </c>
      <c r="AC55">
        <v>368197000</v>
      </c>
      <c r="AD55">
        <v>360884000</v>
      </c>
      <c r="AE55">
        <v>362982000</v>
      </c>
      <c r="AF55">
        <v>428665000</v>
      </c>
      <c r="AG55">
        <v>370130000</v>
      </c>
      <c r="AH55">
        <v>379855000</v>
      </c>
      <c r="AI55">
        <v>352704000</v>
      </c>
      <c r="AJ55">
        <v>418109000</v>
      </c>
    </row>
    <row r="56" spans="1:36" x14ac:dyDescent="0.25">
      <c r="A56" t="s">
        <v>10</v>
      </c>
      <c r="B56" t="s">
        <v>133</v>
      </c>
      <c r="C56" t="s">
        <v>133</v>
      </c>
      <c r="D56" t="s">
        <v>133</v>
      </c>
      <c r="E56" t="s">
        <v>133</v>
      </c>
      <c r="F56" t="s">
        <v>133</v>
      </c>
      <c r="G56" t="s">
        <v>133</v>
      </c>
      <c r="H56" t="s">
        <v>133</v>
      </c>
      <c r="I56" t="s">
        <v>133</v>
      </c>
      <c r="J56">
        <v>8226000</v>
      </c>
      <c r="K56">
        <v>8091000</v>
      </c>
      <c r="L56">
        <v>7841000</v>
      </c>
      <c r="M56">
        <v>7441000</v>
      </c>
      <c r="N56">
        <v>7159000</v>
      </c>
      <c r="O56">
        <v>6984000</v>
      </c>
      <c r="P56">
        <v>6751000</v>
      </c>
      <c r="Q56">
        <v>6693000</v>
      </c>
      <c r="R56">
        <v>6466000</v>
      </c>
      <c r="S56">
        <v>6229000</v>
      </c>
      <c r="T56">
        <v>5992000</v>
      </c>
      <c r="U56">
        <v>5619000</v>
      </c>
      <c r="V56">
        <v>17982000</v>
      </c>
      <c r="W56">
        <v>18515000</v>
      </c>
      <c r="X56">
        <v>17508000</v>
      </c>
      <c r="Y56">
        <v>15483000</v>
      </c>
      <c r="Z56">
        <v>18966000</v>
      </c>
      <c r="AA56">
        <v>17830000</v>
      </c>
      <c r="AB56">
        <v>19259000</v>
      </c>
      <c r="AC56">
        <v>38078000</v>
      </c>
      <c r="AD56">
        <v>43736000</v>
      </c>
      <c r="AE56">
        <v>63809000</v>
      </c>
      <c r="AF56">
        <v>58191000</v>
      </c>
      <c r="AG56">
        <v>53171000</v>
      </c>
      <c r="AH56">
        <v>50164000</v>
      </c>
      <c r="AI56">
        <v>49566000</v>
      </c>
      <c r="AJ56">
        <v>52036000</v>
      </c>
    </row>
    <row r="57" spans="1:36" x14ac:dyDescent="0.25">
      <c r="A57" t="s">
        <v>173</v>
      </c>
      <c r="B57" t="s">
        <v>133</v>
      </c>
      <c r="C57" t="s">
        <v>133</v>
      </c>
      <c r="D57" t="s">
        <v>133</v>
      </c>
      <c r="E57" t="s">
        <v>133</v>
      </c>
      <c r="F57" t="s">
        <v>133</v>
      </c>
      <c r="G57" t="s">
        <v>133</v>
      </c>
      <c r="H57" t="s">
        <v>133</v>
      </c>
      <c r="I57" t="s">
        <v>133</v>
      </c>
      <c r="J57" t="s">
        <v>133</v>
      </c>
      <c r="K57" t="s">
        <v>133</v>
      </c>
      <c r="L57" t="s">
        <v>133</v>
      </c>
      <c r="M57" t="s">
        <v>133</v>
      </c>
      <c r="N57" t="s">
        <v>133</v>
      </c>
      <c r="O57" t="s">
        <v>133</v>
      </c>
      <c r="P57" t="s">
        <v>133</v>
      </c>
      <c r="Q57" t="s">
        <v>133</v>
      </c>
      <c r="R57" t="s">
        <v>133</v>
      </c>
      <c r="S57" t="s">
        <v>133</v>
      </c>
      <c r="T57" t="s">
        <v>133</v>
      </c>
      <c r="U57" t="s">
        <v>133</v>
      </c>
      <c r="V57" t="s">
        <v>133</v>
      </c>
      <c r="W57" t="s">
        <v>133</v>
      </c>
      <c r="X57" t="s">
        <v>133</v>
      </c>
      <c r="Y57" t="s">
        <v>133</v>
      </c>
      <c r="Z57" t="s">
        <v>133</v>
      </c>
      <c r="AA57" t="s">
        <v>133</v>
      </c>
      <c r="AB57" t="s">
        <v>133</v>
      </c>
      <c r="AC57" t="s">
        <v>133</v>
      </c>
      <c r="AD57" t="s">
        <v>133</v>
      </c>
      <c r="AE57" t="s">
        <v>133</v>
      </c>
      <c r="AF57" t="s">
        <v>133</v>
      </c>
      <c r="AG57" t="s">
        <v>133</v>
      </c>
      <c r="AH57" t="s">
        <v>133</v>
      </c>
      <c r="AI57" t="s">
        <v>133</v>
      </c>
      <c r="AJ57" t="s">
        <v>133</v>
      </c>
    </row>
    <row r="58" spans="1:36" x14ac:dyDescent="0.25">
      <c r="A58" t="s">
        <v>176</v>
      </c>
      <c r="B58" t="s">
        <v>133</v>
      </c>
      <c r="C58" t="s">
        <v>133</v>
      </c>
      <c r="D58" t="s">
        <v>133</v>
      </c>
      <c r="E58">
        <v>192129</v>
      </c>
      <c r="F58">
        <v>227000</v>
      </c>
      <c r="G58">
        <v>200000</v>
      </c>
      <c r="H58">
        <v>245000</v>
      </c>
      <c r="I58">
        <v>324000</v>
      </c>
      <c r="J58">
        <v>407000</v>
      </c>
      <c r="K58">
        <v>805000</v>
      </c>
      <c r="L58">
        <v>753000</v>
      </c>
      <c r="M58">
        <v>729000</v>
      </c>
      <c r="N58">
        <v>735000</v>
      </c>
      <c r="O58">
        <v>764000</v>
      </c>
      <c r="P58">
        <v>113000</v>
      </c>
      <c r="Q58">
        <v>565000</v>
      </c>
      <c r="R58">
        <v>569000</v>
      </c>
      <c r="S58">
        <v>574000</v>
      </c>
      <c r="T58">
        <v>578000</v>
      </c>
      <c r="U58" t="s">
        <v>133</v>
      </c>
      <c r="V58">
        <v>150000</v>
      </c>
      <c r="W58">
        <v>144000</v>
      </c>
      <c r="X58">
        <v>127000</v>
      </c>
      <c r="Y58">
        <v>69000</v>
      </c>
      <c r="Z58">
        <v>73000</v>
      </c>
      <c r="AA58">
        <v>74000</v>
      </c>
      <c r="AB58">
        <v>73000</v>
      </c>
      <c r="AC58">
        <v>36666000</v>
      </c>
      <c r="AD58">
        <v>35566000</v>
      </c>
      <c r="AE58">
        <v>55253000</v>
      </c>
      <c r="AF58">
        <v>55410000</v>
      </c>
      <c r="AG58">
        <v>58816000</v>
      </c>
      <c r="AH58">
        <v>56800000</v>
      </c>
      <c r="AI58">
        <v>54219000</v>
      </c>
      <c r="AJ58">
        <v>59914000</v>
      </c>
    </row>
    <row r="59" spans="1:36" x14ac:dyDescent="0.25">
      <c r="A59" t="s">
        <v>177</v>
      </c>
      <c r="B59" t="s">
        <v>133</v>
      </c>
      <c r="C59" t="s">
        <v>133</v>
      </c>
      <c r="D59" t="s">
        <v>133</v>
      </c>
      <c r="E59" t="s">
        <v>133</v>
      </c>
      <c r="F59" t="s">
        <v>133</v>
      </c>
      <c r="G59">
        <v>-1000</v>
      </c>
      <c r="H59" t="s">
        <v>133</v>
      </c>
      <c r="I59" t="s">
        <v>133</v>
      </c>
      <c r="J59" t="s">
        <v>133</v>
      </c>
      <c r="K59" t="s">
        <v>133</v>
      </c>
      <c r="L59">
        <v>1000</v>
      </c>
      <c r="M59">
        <v>1000</v>
      </c>
      <c r="N59">
        <v>-1000</v>
      </c>
      <c r="O59" t="s">
        <v>133</v>
      </c>
      <c r="P59">
        <v>-1000</v>
      </c>
      <c r="Q59" t="s">
        <v>133</v>
      </c>
      <c r="R59" t="s">
        <v>133</v>
      </c>
      <c r="S59" t="s">
        <v>133</v>
      </c>
      <c r="T59" t="s">
        <v>133</v>
      </c>
      <c r="U59" t="s">
        <v>133</v>
      </c>
      <c r="V59" t="s">
        <v>133</v>
      </c>
      <c r="W59" t="s">
        <v>133</v>
      </c>
      <c r="X59" t="s">
        <v>133</v>
      </c>
      <c r="Y59" t="s">
        <v>133</v>
      </c>
      <c r="Z59" t="s">
        <v>133</v>
      </c>
      <c r="AA59" t="s">
        <v>133</v>
      </c>
      <c r="AB59" t="s">
        <v>133</v>
      </c>
      <c r="AC59" t="s">
        <v>133</v>
      </c>
      <c r="AD59" t="s">
        <v>133</v>
      </c>
      <c r="AE59" t="s">
        <v>133</v>
      </c>
      <c r="AF59">
        <v>230000000</v>
      </c>
      <c r="AG59">
        <v>230000000</v>
      </c>
      <c r="AH59">
        <v>230000000</v>
      </c>
      <c r="AI59">
        <v>230030000</v>
      </c>
      <c r="AJ59">
        <v>365835000</v>
      </c>
    </row>
    <row r="60" spans="1:36" x14ac:dyDescent="0.25">
      <c r="A60" t="s">
        <v>178</v>
      </c>
      <c r="B60" t="s">
        <v>133</v>
      </c>
      <c r="C60" t="s">
        <v>133</v>
      </c>
      <c r="D60" t="s">
        <v>133</v>
      </c>
      <c r="E60">
        <v>192129</v>
      </c>
      <c r="F60">
        <v>227000</v>
      </c>
      <c r="G60">
        <v>199000</v>
      </c>
      <c r="H60">
        <v>245000</v>
      </c>
      <c r="I60">
        <v>324000</v>
      </c>
      <c r="J60">
        <v>8633000</v>
      </c>
      <c r="K60">
        <v>8896000</v>
      </c>
      <c r="L60">
        <v>8595000</v>
      </c>
      <c r="M60">
        <v>8171000</v>
      </c>
      <c r="N60">
        <v>7893000</v>
      </c>
      <c r="O60">
        <v>7748000</v>
      </c>
      <c r="P60">
        <v>6863000</v>
      </c>
      <c r="Q60">
        <v>7258000</v>
      </c>
      <c r="R60">
        <v>7035000</v>
      </c>
      <c r="S60">
        <v>6803000</v>
      </c>
      <c r="T60">
        <v>6570000</v>
      </c>
      <c r="U60">
        <v>5619000</v>
      </c>
      <c r="V60">
        <v>18132000</v>
      </c>
      <c r="W60">
        <v>18659000</v>
      </c>
      <c r="X60">
        <v>17635000</v>
      </c>
      <c r="Y60">
        <v>15552000</v>
      </c>
      <c r="Z60">
        <v>19039000</v>
      </c>
      <c r="AA60">
        <v>17904000</v>
      </c>
      <c r="AB60">
        <v>19332000</v>
      </c>
      <c r="AC60">
        <v>74744000</v>
      </c>
      <c r="AD60">
        <v>79302000</v>
      </c>
      <c r="AE60">
        <v>119062000</v>
      </c>
      <c r="AF60">
        <v>343601000</v>
      </c>
      <c r="AG60">
        <v>341987000</v>
      </c>
      <c r="AH60">
        <v>336964000</v>
      </c>
      <c r="AI60">
        <v>333815000</v>
      </c>
      <c r="AJ60">
        <v>477785000</v>
      </c>
    </row>
    <row r="61" spans="1:36" x14ac:dyDescent="0.25">
      <c r="A61" t="s">
        <v>179</v>
      </c>
      <c r="B61" t="s">
        <v>133</v>
      </c>
      <c r="C61" t="s">
        <v>133</v>
      </c>
      <c r="D61" t="s">
        <v>133</v>
      </c>
      <c r="E61" t="s">
        <v>133</v>
      </c>
      <c r="F61" t="s">
        <v>133</v>
      </c>
      <c r="G61" t="s">
        <v>133</v>
      </c>
      <c r="H61" t="s">
        <v>133</v>
      </c>
      <c r="I61" t="s">
        <v>133</v>
      </c>
      <c r="J61" t="s">
        <v>133</v>
      </c>
      <c r="K61" t="s">
        <v>133</v>
      </c>
      <c r="L61" t="s">
        <v>133</v>
      </c>
      <c r="M61" t="s">
        <v>133</v>
      </c>
      <c r="N61" t="s">
        <v>133</v>
      </c>
      <c r="O61" t="s">
        <v>133</v>
      </c>
      <c r="P61" t="s">
        <v>133</v>
      </c>
      <c r="Q61" t="s">
        <v>133</v>
      </c>
      <c r="R61" t="s">
        <v>133</v>
      </c>
      <c r="S61" t="s">
        <v>133</v>
      </c>
      <c r="T61" t="s">
        <v>133</v>
      </c>
      <c r="U61" t="s">
        <v>133</v>
      </c>
      <c r="V61" t="s">
        <v>133</v>
      </c>
      <c r="W61" t="s">
        <v>133</v>
      </c>
      <c r="X61" t="s">
        <v>133</v>
      </c>
      <c r="Y61" t="s">
        <v>133</v>
      </c>
      <c r="Z61" t="s">
        <v>133</v>
      </c>
      <c r="AA61" t="s">
        <v>133</v>
      </c>
      <c r="AB61" t="s">
        <v>133</v>
      </c>
      <c r="AC61" t="s">
        <v>133</v>
      </c>
      <c r="AD61" t="s">
        <v>133</v>
      </c>
      <c r="AE61" t="s">
        <v>133</v>
      </c>
      <c r="AF61" t="s">
        <v>133</v>
      </c>
      <c r="AG61" t="s">
        <v>133</v>
      </c>
      <c r="AH61" t="s">
        <v>133</v>
      </c>
      <c r="AI61" t="s">
        <v>133</v>
      </c>
      <c r="AJ61" t="s">
        <v>133</v>
      </c>
    </row>
    <row r="62" spans="1:36" x14ac:dyDescent="0.25">
      <c r="A62" t="s">
        <v>180</v>
      </c>
      <c r="B62" t="s">
        <v>133</v>
      </c>
      <c r="C62" t="s">
        <v>133</v>
      </c>
      <c r="D62" t="s">
        <v>133</v>
      </c>
      <c r="E62" t="s">
        <v>133</v>
      </c>
      <c r="F62" t="s">
        <v>133</v>
      </c>
      <c r="G62" t="s">
        <v>133</v>
      </c>
      <c r="H62" t="s">
        <v>133</v>
      </c>
      <c r="I62" t="s">
        <v>133</v>
      </c>
      <c r="J62" t="s">
        <v>133</v>
      </c>
      <c r="K62" t="s">
        <v>133</v>
      </c>
      <c r="L62" t="s">
        <v>133</v>
      </c>
      <c r="M62" t="s">
        <v>133</v>
      </c>
      <c r="N62" t="s">
        <v>133</v>
      </c>
      <c r="O62" t="s">
        <v>133</v>
      </c>
      <c r="P62" t="s">
        <v>133</v>
      </c>
      <c r="Q62" t="s">
        <v>133</v>
      </c>
      <c r="R62" t="s">
        <v>133</v>
      </c>
      <c r="S62" t="s">
        <v>133</v>
      </c>
      <c r="T62" t="s">
        <v>133</v>
      </c>
      <c r="U62" t="s">
        <v>133</v>
      </c>
      <c r="V62">
        <v>15441000</v>
      </c>
      <c r="W62">
        <v>16653000</v>
      </c>
      <c r="X62">
        <v>15839000</v>
      </c>
      <c r="Y62">
        <v>19419000</v>
      </c>
      <c r="Z62">
        <v>23353000</v>
      </c>
      <c r="AA62">
        <v>22039000</v>
      </c>
      <c r="AB62">
        <v>23677000</v>
      </c>
      <c r="AC62">
        <v>49969000</v>
      </c>
      <c r="AD62">
        <v>55299000</v>
      </c>
      <c r="AE62">
        <v>76231000</v>
      </c>
      <c r="AF62">
        <v>70109000</v>
      </c>
      <c r="AG62">
        <v>67810000</v>
      </c>
      <c r="AH62">
        <v>66091000</v>
      </c>
      <c r="AI62">
        <v>65583000</v>
      </c>
      <c r="AJ62">
        <v>69209000</v>
      </c>
    </row>
    <row r="63" spans="1:36" x14ac:dyDescent="0.25">
      <c r="A63" t="s">
        <v>181</v>
      </c>
      <c r="B63" t="s">
        <v>133</v>
      </c>
      <c r="C63" t="s">
        <v>133</v>
      </c>
      <c r="D63" t="s">
        <v>133</v>
      </c>
      <c r="E63">
        <v>8083714</v>
      </c>
      <c r="F63">
        <v>12663000</v>
      </c>
      <c r="G63">
        <v>10284000</v>
      </c>
      <c r="H63">
        <v>11031000</v>
      </c>
      <c r="I63">
        <v>15801000</v>
      </c>
      <c r="J63">
        <v>25235000</v>
      </c>
      <c r="K63">
        <v>26656000</v>
      </c>
      <c r="L63">
        <v>27842000</v>
      </c>
      <c r="M63">
        <v>39422000</v>
      </c>
      <c r="N63">
        <v>33756000</v>
      </c>
      <c r="O63">
        <v>34739000</v>
      </c>
      <c r="P63">
        <v>50190000</v>
      </c>
      <c r="Q63">
        <v>57456000</v>
      </c>
      <c r="R63">
        <v>49997000</v>
      </c>
      <c r="S63">
        <v>50594000</v>
      </c>
      <c r="T63">
        <v>53155000</v>
      </c>
      <c r="U63">
        <v>78387000</v>
      </c>
      <c r="V63">
        <v>100354000</v>
      </c>
      <c r="W63">
        <v>114097000</v>
      </c>
      <c r="X63">
        <v>134927000</v>
      </c>
      <c r="Y63">
        <v>153263000</v>
      </c>
      <c r="Z63">
        <v>142352000</v>
      </c>
      <c r="AA63">
        <v>169162000</v>
      </c>
      <c r="AB63">
        <v>202102000</v>
      </c>
      <c r="AC63">
        <v>442941000</v>
      </c>
      <c r="AD63">
        <v>440186000</v>
      </c>
      <c r="AE63">
        <v>482044000</v>
      </c>
      <c r="AF63">
        <v>772266000</v>
      </c>
      <c r="AG63">
        <v>712117000</v>
      </c>
      <c r="AH63">
        <v>716819000</v>
      </c>
      <c r="AI63">
        <v>686519000</v>
      </c>
      <c r="AJ63">
        <v>895894000</v>
      </c>
    </row>
    <row r="64" spans="1:36" x14ac:dyDescent="0.25">
      <c r="A64" t="s">
        <v>182</v>
      </c>
      <c r="B64" t="s">
        <v>133</v>
      </c>
      <c r="C64" t="s">
        <v>133</v>
      </c>
      <c r="D64" t="s">
        <v>133</v>
      </c>
      <c r="E64" t="s">
        <v>133</v>
      </c>
      <c r="F64" t="s">
        <v>133</v>
      </c>
      <c r="G64" t="s">
        <v>133</v>
      </c>
      <c r="H64" t="s">
        <v>133</v>
      </c>
      <c r="I64" t="s">
        <v>133</v>
      </c>
      <c r="J64" t="s">
        <v>133</v>
      </c>
      <c r="K64" t="s">
        <v>133</v>
      </c>
      <c r="L64" t="s">
        <v>133</v>
      </c>
      <c r="M64" t="s">
        <v>133</v>
      </c>
      <c r="N64" t="s">
        <v>133</v>
      </c>
      <c r="O64" t="s">
        <v>133</v>
      </c>
      <c r="P64" t="s">
        <v>133</v>
      </c>
      <c r="Q64" t="s">
        <v>133</v>
      </c>
      <c r="R64" t="s">
        <v>133</v>
      </c>
      <c r="S64" t="s">
        <v>133</v>
      </c>
      <c r="T64" t="s">
        <v>133</v>
      </c>
      <c r="U64" t="s">
        <v>133</v>
      </c>
      <c r="V64" t="s">
        <v>133</v>
      </c>
      <c r="W64" t="s">
        <v>133</v>
      </c>
      <c r="X64" t="s">
        <v>133</v>
      </c>
      <c r="Y64" t="s">
        <v>133</v>
      </c>
      <c r="Z64" t="s">
        <v>133</v>
      </c>
      <c r="AA64" t="s">
        <v>133</v>
      </c>
      <c r="AB64" t="s">
        <v>133</v>
      </c>
      <c r="AC64" t="s">
        <v>133</v>
      </c>
      <c r="AD64" t="s">
        <v>133</v>
      </c>
      <c r="AE64" t="s">
        <v>133</v>
      </c>
      <c r="AF64" t="s">
        <v>133</v>
      </c>
      <c r="AG64" t="s">
        <v>133</v>
      </c>
      <c r="AH64" t="s">
        <v>133</v>
      </c>
      <c r="AI64" t="s">
        <v>133</v>
      </c>
      <c r="AJ64" t="s">
        <v>133</v>
      </c>
    </row>
    <row r="65" spans="1:36" x14ac:dyDescent="0.25">
      <c r="A65" t="s">
        <v>183</v>
      </c>
      <c r="B65" t="s">
        <v>133</v>
      </c>
      <c r="C65" t="s">
        <v>133</v>
      </c>
      <c r="D65" t="s">
        <v>133</v>
      </c>
      <c r="E65">
        <v>525540</v>
      </c>
      <c r="F65">
        <v>540000</v>
      </c>
      <c r="G65">
        <v>540000</v>
      </c>
      <c r="H65">
        <v>540000</v>
      </c>
      <c r="I65">
        <v>540000</v>
      </c>
      <c r="J65">
        <v>540000</v>
      </c>
      <c r="K65">
        <v>540000</v>
      </c>
      <c r="L65">
        <v>540000</v>
      </c>
      <c r="M65">
        <v>540000</v>
      </c>
      <c r="N65">
        <v>540000</v>
      </c>
      <c r="O65">
        <v>540000</v>
      </c>
      <c r="P65">
        <v>540000</v>
      </c>
      <c r="Q65">
        <v>540000</v>
      </c>
      <c r="R65">
        <v>540000</v>
      </c>
      <c r="S65">
        <v>540000</v>
      </c>
      <c r="T65">
        <v>540000</v>
      </c>
      <c r="U65">
        <v>540000</v>
      </c>
      <c r="V65">
        <v>540000</v>
      </c>
      <c r="W65">
        <v>540000</v>
      </c>
      <c r="X65">
        <v>545000</v>
      </c>
      <c r="Y65">
        <v>545000</v>
      </c>
      <c r="Z65">
        <v>545000</v>
      </c>
      <c r="AA65">
        <v>545000</v>
      </c>
      <c r="AB65">
        <v>545000</v>
      </c>
      <c r="AC65">
        <v>638000</v>
      </c>
      <c r="AD65">
        <v>638000</v>
      </c>
      <c r="AE65">
        <v>641000</v>
      </c>
      <c r="AF65">
        <v>647000</v>
      </c>
      <c r="AG65">
        <v>647000</v>
      </c>
      <c r="AH65">
        <v>647000</v>
      </c>
      <c r="AI65">
        <v>647000</v>
      </c>
      <c r="AJ65">
        <v>647000</v>
      </c>
    </row>
    <row r="66" spans="1:36" x14ac:dyDescent="0.25">
      <c r="A66" t="s">
        <v>184</v>
      </c>
      <c r="B66" t="s">
        <v>133</v>
      </c>
      <c r="C66" t="s">
        <v>133</v>
      </c>
      <c r="D66" t="s">
        <v>133</v>
      </c>
      <c r="E66">
        <v>18376813</v>
      </c>
      <c r="F66">
        <v>19767000</v>
      </c>
      <c r="G66">
        <v>25666000</v>
      </c>
      <c r="H66">
        <v>31456000</v>
      </c>
      <c r="I66">
        <v>38405000</v>
      </c>
      <c r="J66">
        <v>46045000</v>
      </c>
      <c r="K66">
        <v>42151000</v>
      </c>
      <c r="L66">
        <v>49586000</v>
      </c>
      <c r="M66">
        <v>58667000</v>
      </c>
      <c r="N66">
        <v>71411000</v>
      </c>
      <c r="O66">
        <v>69878000</v>
      </c>
      <c r="P66">
        <v>86675000</v>
      </c>
      <c r="Q66">
        <v>104688000</v>
      </c>
      <c r="R66">
        <v>121271000</v>
      </c>
      <c r="S66">
        <v>109231000</v>
      </c>
      <c r="T66">
        <v>130636000</v>
      </c>
      <c r="U66">
        <v>155971000</v>
      </c>
      <c r="V66">
        <v>184666000</v>
      </c>
      <c r="W66">
        <v>176101000</v>
      </c>
      <c r="X66">
        <v>215926000</v>
      </c>
      <c r="Y66">
        <v>262823000</v>
      </c>
      <c r="Z66">
        <v>307267000</v>
      </c>
      <c r="AA66">
        <v>301774000</v>
      </c>
      <c r="AB66">
        <v>381358000</v>
      </c>
      <c r="AC66">
        <v>462168000</v>
      </c>
      <c r="AD66">
        <v>594598000</v>
      </c>
      <c r="AE66">
        <v>595403000</v>
      </c>
      <c r="AF66">
        <v>753587000</v>
      </c>
      <c r="AG66">
        <v>802967000</v>
      </c>
      <c r="AH66">
        <v>925780000</v>
      </c>
      <c r="AI66">
        <v>824662000</v>
      </c>
      <c r="AJ66">
        <v>1046674000</v>
      </c>
    </row>
    <row r="67" spans="1:36" x14ac:dyDescent="0.25">
      <c r="A67" t="s">
        <v>185</v>
      </c>
      <c r="B67" t="s">
        <v>133</v>
      </c>
      <c r="C67" t="s">
        <v>133</v>
      </c>
      <c r="D67" t="s">
        <v>133</v>
      </c>
      <c r="E67" t="s">
        <v>133</v>
      </c>
      <c r="F67" t="s">
        <v>133</v>
      </c>
      <c r="G67" t="s">
        <v>133</v>
      </c>
      <c r="H67" t="s">
        <v>133</v>
      </c>
      <c r="I67" t="s">
        <v>133</v>
      </c>
      <c r="J67" t="s">
        <v>133</v>
      </c>
      <c r="K67" t="s">
        <v>133</v>
      </c>
      <c r="L67" t="s">
        <v>133</v>
      </c>
      <c r="M67" t="s">
        <v>133</v>
      </c>
      <c r="N67" t="s">
        <v>133</v>
      </c>
      <c r="O67" t="s">
        <v>133</v>
      </c>
      <c r="P67" t="s">
        <v>133</v>
      </c>
      <c r="Q67" t="s">
        <v>133</v>
      </c>
      <c r="R67" t="s">
        <v>133</v>
      </c>
      <c r="S67" t="s">
        <v>133</v>
      </c>
      <c r="T67" t="s">
        <v>133</v>
      </c>
      <c r="U67" t="s">
        <v>133</v>
      </c>
      <c r="V67" t="s">
        <v>133</v>
      </c>
      <c r="W67" t="s">
        <v>133</v>
      </c>
      <c r="X67" t="s">
        <v>133</v>
      </c>
      <c r="Y67" t="s">
        <v>133</v>
      </c>
      <c r="Z67" t="s">
        <v>133</v>
      </c>
      <c r="AA67" t="s">
        <v>133</v>
      </c>
      <c r="AB67" t="s">
        <v>133</v>
      </c>
      <c r="AC67" t="s">
        <v>133</v>
      </c>
      <c r="AD67" t="s">
        <v>133</v>
      </c>
      <c r="AE67" t="s">
        <v>133</v>
      </c>
      <c r="AF67" t="s">
        <v>133</v>
      </c>
      <c r="AG67" t="s">
        <v>133</v>
      </c>
      <c r="AH67" t="s">
        <v>133</v>
      </c>
      <c r="AI67" t="s">
        <v>133</v>
      </c>
      <c r="AJ67" t="s">
        <v>133</v>
      </c>
    </row>
    <row r="68" spans="1:36" x14ac:dyDescent="0.25">
      <c r="A68" t="s">
        <v>186</v>
      </c>
      <c r="B68" t="s">
        <v>133</v>
      </c>
      <c r="C68" t="s">
        <v>133</v>
      </c>
      <c r="D68" t="s">
        <v>133</v>
      </c>
      <c r="E68">
        <v>4812680</v>
      </c>
      <c r="F68">
        <v>4890000</v>
      </c>
      <c r="G68">
        <v>4915000</v>
      </c>
      <c r="H68">
        <v>4864000</v>
      </c>
      <c r="I68">
        <v>4867000</v>
      </c>
      <c r="J68">
        <v>4778000</v>
      </c>
      <c r="K68">
        <v>4715000</v>
      </c>
      <c r="L68">
        <v>4676000</v>
      </c>
      <c r="M68">
        <v>4689000</v>
      </c>
      <c r="N68">
        <v>4689000</v>
      </c>
      <c r="O68">
        <v>4653000</v>
      </c>
      <c r="P68">
        <v>4648000</v>
      </c>
      <c r="Q68">
        <v>4653000</v>
      </c>
      <c r="R68">
        <v>4676000</v>
      </c>
      <c r="S68">
        <v>4724000</v>
      </c>
      <c r="T68">
        <v>5408000</v>
      </c>
      <c r="U68">
        <v>5759000</v>
      </c>
      <c r="V68">
        <v>5731000</v>
      </c>
      <c r="W68">
        <v>5477000</v>
      </c>
      <c r="X68">
        <v>17929000</v>
      </c>
      <c r="Y68">
        <v>17529000</v>
      </c>
      <c r="Z68">
        <v>22152000</v>
      </c>
      <c r="AA68">
        <v>20473000</v>
      </c>
      <c r="AB68">
        <v>17659000</v>
      </c>
      <c r="AC68">
        <v>2263365000</v>
      </c>
      <c r="AD68">
        <v>2231165000</v>
      </c>
      <c r="AE68">
        <v>2407993000</v>
      </c>
      <c r="AF68">
        <v>2420214000</v>
      </c>
      <c r="AG68">
        <v>2387336000</v>
      </c>
      <c r="AH68">
        <v>2366857000</v>
      </c>
      <c r="AI68">
        <v>2291981000</v>
      </c>
      <c r="AJ68">
        <v>2259006000</v>
      </c>
    </row>
    <row r="69" spans="1:36" x14ac:dyDescent="0.25">
      <c r="A69" t="s">
        <v>187</v>
      </c>
      <c r="B69" t="s">
        <v>133</v>
      </c>
      <c r="C69" t="s">
        <v>133</v>
      </c>
      <c r="D69" t="s">
        <v>133</v>
      </c>
      <c r="E69">
        <v>23715033</v>
      </c>
      <c r="F69">
        <v>25197000</v>
      </c>
      <c r="G69">
        <v>31121000</v>
      </c>
      <c r="H69">
        <v>36860000</v>
      </c>
      <c r="I69">
        <v>43812000</v>
      </c>
      <c r="J69">
        <v>51363000</v>
      </c>
      <c r="K69">
        <v>47406000</v>
      </c>
      <c r="L69">
        <v>54802000</v>
      </c>
      <c r="M69">
        <v>63896000</v>
      </c>
      <c r="N69">
        <v>76640000</v>
      </c>
      <c r="O69">
        <v>75071000</v>
      </c>
      <c r="P69">
        <v>91863000</v>
      </c>
      <c r="Q69">
        <v>109881000</v>
      </c>
      <c r="R69">
        <v>126487000</v>
      </c>
      <c r="S69">
        <v>114495000</v>
      </c>
      <c r="T69">
        <v>136584000</v>
      </c>
      <c r="U69">
        <v>162270000</v>
      </c>
      <c r="V69">
        <v>190937000</v>
      </c>
      <c r="W69">
        <v>182118000</v>
      </c>
      <c r="X69">
        <v>234400000</v>
      </c>
      <c r="Y69">
        <v>280897000</v>
      </c>
      <c r="Z69">
        <v>329964000</v>
      </c>
      <c r="AA69">
        <v>322792000</v>
      </c>
      <c r="AB69">
        <v>399562000</v>
      </c>
      <c r="AC69">
        <v>2726171000</v>
      </c>
      <c r="AD69">
        <v>2826401000</v>
      </c>
      <c r="AE69">
        <v>3004037000</v>
      </c>
      <c r="AF69">
        <v>3174448000</v>
      </c>
      <c r="AG69">
        <v>3190950000</v>
      </c>
      <c r="AH69">
        <v>3293284000</v>
      </c>
      <c r="AI69">
        <v>3117290000</v>
      </c>
      <c r="AJ69">
        <v>3306327000</v>
      </c>
    </row>
    <row r="70" spans="1:36" x14ac:dyDescent="0.25">
      <c r="A70" t="s">
        <v>188</v>
      </c>
      <c r="B70" t="s">
        <v>133</v>
      </c>
      <c r="C70" t="s">
        <v>133</v>
      </c>
      <c r="D70" t="s">
        <v>133</v>
      </c>
      <c r="E70">
        <v>31798747</v>
      </c>
      <c r="F70">
        <v>37860000</v>
      </c>
      <c r="G70">
        <v>41405000</v>
      </c>
      <c r="H70">
        <v>47891000</v>
      </c>
      <c r="I70">
        <v>59613000</v>
      </c>
      <c r="J70">
        <v>76598000</v>
      </c>
      <c r="K70">
        <v>74062000</v>
      </c>
      <c r="L70">
        <v>82644000</v>
      </c>
      <c r="M70">
        <v>103318000</v>
      </c>
      <c r="N70">
        <v>110396000</v>
      </c>
      <c r="O70">
        <v>109810000</v>
      </c>
      <c r="P70">
        <v>142053000</v>
      </c>
      <c r="Q70">
        <v>167337000</v>
      </c>
      <c r="R70">
        <v>176484000</v>
      </c>
      <c r="S70">
        <v>165089000</v>
      </c>
      <c r="T70">
        <v>189739000</v>
      </c>
      <c r="U70">
        <v>240657000</v>
      </c>
      <c r="V70">
        <v>291291000</v>
      </c>
      <c r="W70">
        <v>296215000</v>
      </c>
      <c r="X70">
        <v>369327000</v>
      </c>
      <c r="Y70">
        <v>434160000</v>
      </c>
      <c r="Z70">
        <v>472316000</v>
      </c>
      <c r="AA70">
        <v>491954000</v>
      </c>
      <c r="AB70">
        <v>601664000</v>
      </c>
      <c r="AC70">
        <v>3169112000</v>
      </c>
      <c r="AD70">
        <v>3266587000</v>
      </c>
      <c r="AE70">
        <v>3486081000</v>
      </c>
      <c r="AF70">
        <v>3946714000</v>
      </c>
      <c r="AG70">
        <v>3903067000</v>
      </c>
      <c r="AH70">
        <v>4010103000</v>
      </c>
      <c r="AI70">
        <v>3803809000</v>
      </c>
      <c r="AJ70">
        <v>4202221000</v>
      </c>
    </row>
    <row r="71" spans="1:36" x14ac:dyDescent="0.25">
      <c r="A71" t="s">
        <v>189</v>
      </c>
      <c r="B71" t="s">
        <v>133</v>
      </c>
      <c r="C71" t="s">
        <v>133</v>
      </c>
      <c r="D71" t="s">
        <v>133</v>
      </c>
      <c r="E71">
        <v>1</v>
      </c>
      <c r="F71">
        <v>1000</v>
      </c>
      <c r="G71" t="s">
        <v>133</v>
      </c>
      <c r="H71">
        <v>-1000</v>
      </c>
      <c r="I71">
        <v>-2000</v>
      </c>
      <c r="J71">
        <v>-1000</v>
      </c>
      <c r="K71">
        <v>-1000</v>
      </c>
      <c r="L71">
        <v>-1000</v>
      </c>
      <c r="M71" t="s">
        <v>133</v>
      </c>
      <c r="N71" t="s">
        <v>133</v>
      </c>
      <c r="O71" t="s">
        <v>133</v>
      </c>
      <c r="P71">
        <v>1000</v>
      </c>
      <c r="Q71" t="s">
        <v>133</v>
      </c>
      <c r="R71">
        <v>1000</v>
      </c>
      <c r="S71" t="s">
        <v>133</v>
      </c>
      <c r="T71" t="s">
        <v>133</v>
      </c>
      <c r="U71" t="s">
        <v>133</v>
      </c>
      <c r="V71" t="s">
        <v>133</v>
      </c>
      <c r="W71">
        <v>1000</v>
      </c>
      <c r="X71" t="s">
        <v>133</v>
      </c>
      <c r="Y71" t="s">
        <v>133</v>
      </c>
      <c r="Z71" t="s">
        <v>133</v>
      </c>
      <c r="AA71" t="s">
        <v>133</v>
      </c>
      <c r="AB71" t="s">
        <v>133</v>
      </c>
      <c r="AC71" t="s">
        <v>133</v>
      </c>
      <c r="AD71" t="s">
        <v>133</v>
      </c>
      <c r="AE71">
        <v>-1000</v>
      </c>
      <c r="AF71" t="s">
        <v>133</v>
      </c>
      <c r="AG71" t="s">
        <v>133</v>
      </c>
      <c r="AH71" t="s">
        <v>133</v>
      </c>
      <c r="AI71" t="s">
        <v>133</v>
      </c>
      <c r="AJ71" t="s">
        <v>133</v>
      </c>
    </row>
    <row r="72" spans="1:36" x14ac:dyDescent="0.25">
      <c r="A72" t="s">
        <v>190</v>
      </c>
      <c r="B72" t="s">
        <v>133</v>
      </c>
      <c r="C72" t="s">
        <v>133</v>
      </c>
      <c r="D72" t="s">
        <v>133</v>
      </c>
      <c r="E72">
        <v>31798748</v>
      </c>
      <c r="F72">
        <v>37861000</v>
      </c>
      <c r="G72">
        <v>41405000</v>
      </c>
      <c r="H72">
        <v>47890000</v>
      </c>
      <c r="I72">
        <v>59611000</v>
      </c>
      <c r="J72">
        <v>76597000</v>
      </c>
      <c r="K72">
        <v>74061000</v>
      </c>
      <c r="L72">
        <v>82643000</v>
      </c>
      <c r="M72">
        <v>103318000</v>
      </c>
      <c r="N72">
        <v>110396000</v>
      </c>
      <c r="O72">
        <v>109810000</v>
      </c>
      <c r="P72">
        <v>142054000</v>
      </c>
      <c r="Q72">
        <v>167337000</v>
      </c>
      <c r="R72">
        <v>176485000</v>
      </c>
      <c r="S72">
        <v>165089000</v>
      </c>
      <c r="T72">
        <v>189739000</v>
      </c>
      <c r="U72">
        <v>240657000</v>
      </c>
      <c r="V72">
        <v>291291000</v>
      </c>
      <c r="W72">
        <v>296216000</v>
      </c>
      <c r="X72">
        <v>369327000</v>
      </c>
      <c r="Y72">
        <v>434160000</v>
      </c>
      <c r="Z72">
        <v>472316000</v>
      </c>
      <c r="AA72">
        <v>491954000</v>
      </c>
      <c r="AB72">
        <v>601664000</v>
      </c>
      <c r="AC72">
        <v>3169112000</v>
      </c>
      <c r="AD72">
        <v>3266587000</v>
      </c>
      <c r="AE72">
        <v>3486080000</v>
      </c>
      <c r="AF72">
        <v>3946714000</v>
      </c>
      <c r="AG72">
        <v>3903067000</v>
      </c>
      <c r="AH72">
        <v>4010103000</v>
      </c>
      <c r="AI72">
        <v>3803809000</v>
      </c>
      <c r="AJ72">
        <v>4202221000</v>
      </c>
    </row>
    <row r="73" spans="1:36" x14ac:dyDescent="0.25">
      <c r="A73" t="s">
        <v>155</v>
      </c>
      <c r="B73" t="s">
        <v>286</v>
      </c>
      <c r="C73" t="s">
        <v>286</v>
      </c>
      <c r="D73" t="s">
        <v>286</v>
      </c>
      <c r="E73" t="s">
        <v>133</v>
      </c>
      <c r="F73" t="s">
        <v>133</v>
      </c>
      <c r="G73" t="s">
        <v>133</v>
      </c>
      <c r="H73" t="s">
        <v>133</v>
      </c>
      <c r="I73" t="s">
        <v>133</v>
      </c>
      <c r="J73" t="s">
        <v>133</v>
      </c>
      <c r="K73" t="s">
        <v>133</v>
      </c>
      <c r="L73" t="s">
        <v>133</v>
      </c>
      <c r="M73" t="s">
        <v>133</v>
      </c>
      <c r="N73" t="s">
        <v>133</v>
      </c>
      <c r="O73" t="s">
        <v>133</v>
      </c>
      <c r="P73" t="s">
        <v>133</v>
      </c>
      <c r="Q73" t="s">
        <v>133</v>
      </c>
      <c r="R73" t="s">
        <v>133</v>
      </c>
      <c r="S73" t="s">
        <v>133</v>
      </c>
      <c r="T73" t="s">
        <v>133</v>
      </c>
      <c r="U73" t="s">
        <v>133</v>
      </c>
      <c r="V73" t="s">
        <v>133</v>
      </c>
      <c r="W73" t="s">
        <v>133</v>
      </c>
      <c r="X73" t="s">
        <v>133</v>
      </c>
      <c r="Y73" t="s">
        <v>133</v>
      </c>
      <c r="Z73" t="s">
        <v>133</v>
      </c>
      <c r="AA73" t="s">
        <v>133</v>
      </c>
      <c r="AB73" t="s">
        <v>133</v>
      </c>
      <c r="AC73" t="s">
        <v>133</v>
      </c>
      <c r="AD73" t="s">
        <v>133</v>
      </c>
      <c r="AE73" t="s">
        <v>133</v>
      </c>
      <c r="AF73" t="s">
        <v>133</v>
      </c>
      <c r="AG73" t="s">
        <v>133</v>
      </c>
      <c r="AH73" t="s">
        <v>133</v>
      </c>
      <c r="AI73" t="s">
        <v>133</v>
      </c>
      <c r="AJ73" t="s">
        <v>133</v>
      </c>
    </row>
    <row r="74" spans="1:36" x14ac:dyDescent="0.25">
      <c r="A74" t="s">
        <v>191</v>
      </c>
      <c r="B74" t="s">
        <v>0</v>
      </c>
      <c r="C74" t="s">
        <v>0</v>
      </c>
      <c r="D74" t="s">
        <v>0</v>
      </c>
      <c r="E74" t="s">
        <v>0</v>
      </c>
      <c r="F74" t="s">
        <v>0</v>
      </c>
      <c r="G74" t="s">
        <v>0</v>
      </c>
      <c r="H74" t="s">
        <v>0</v>
      </c>
      <c r="I74" t="s">
        <v>0</v>
      </c>
      <c r="J74" t="s">
        <v>0</v>
      </c>
      <c r="K74" t="s">
        <v>0</v>
      </c>
    </row>
    <row r="75" spans="1:36" x14ac:dyDescent="0.25">
      <c r="A75" t="s">
        <v>5</v>
      </c>
      <c r="B75">
        <v>2090000</v>
      </c>
      <c r="C75">
        <v>2913000</v>
      </c>
      <c r="D75">
        <v>3255000</v>
      </c>
      <c r="E75">
        <v>3840385</v>
      </c>
      <c r="F75">
        <v>1391000</v>
      </c>
      <c r="G75">
        <v>5899000</v>
      </c>
      <c r="H75">
        <v>5790000</v>
      </c>
      <c r="I75">
        <v>6949000</v>
      </c>
      <c r="J75">
        <v>7640000</v>
      </c>
      <c r="K75">
        <v>7617000</v>
      </c>
      <c r="L75">
        <v>7435000</v>
      </c>
      <c r="M75">
        <v>9048000</v>
      </c>
      <c r="N75">
        <v>12742000</v>
      </c>
      <c r="O75">
        <v>14617000</v>
      </c>
      <c r="P75">
        <v>16777000</v>
      </c>
      <c r="Q75">
        <v>18033000</v>
      </c>
      <c r="R75">
        <v>16521000</v>
      </c>
      <c r="S75">
        <v>20076000</v>
      </c>
      <c r="T75">
        <v>21242000</v>
      </c>
      <c r="U75">
        <v>25535000</v>
      </c>
      <c r="V75">
        <v>28576000</v>
      </c>
      <c r="W75">
        <v>34529000</v>
      </c>
      <c r="X75">
        <v>39775000</v>
      </c>
      <c r="Y75">
        <v>46846000</v>
      </c>
      <c r="Z75">
        <v>54196000</v>
      </c>
      <c r="AA75">
        <v>70445000</v>
      </c>
      <c r="AB75">
        <v>79381000</v>
      </c>
      <c r="AC75">
        <v>80600000</v>
      </c>
      <c r="AD75">
        <v>132038000</v>
      </c>
      <c r="AE75">
        <v>144406000</v>
      </c>
      <c r="AF75">
        <v>157434000</v>
      </c>
      <c r="AG75">
        <v>171557000</v>
      </c>
      <c r="AH75">
        <v>197689000</v>
      </c>
      <c r="AI75">
        <v>200873000</v>
      </c>
      <c r="AJ75">
        <v>236393000</v>
      </c>
    </row>
    <row r="76" spans="1:36" x14ac:dyDescent="0.25">
      <c r="A76" t="s">
        <v>144</v>
      </c>
      <c r="B76">
        <v>875000</v>
      </c>
      <c r="C76">
        <v>921000</v>
      </c>
      <c r="D76">
        <v>989000</v>
      </c>
      <c r="E76">
        <v>1108846</v>
      </c>
      <c r="F76">
        <v>1226000</v>
      </c>
      <c r="G76">
        <v>1347000</v>
      </c>
      <c r="H76">
        <v>1555000</v>
      </c>
      <c r="I76">
        <v>1816000</v>
      </c>
      <c r="J76">
        <v>2027000</v>
      </c>
      <c r="K76">
        <v>2303000</v>
      </c>
      <c r="L76">
        <v>2571000</v>
      </c>
      <c r="M76">
        <v>2859000</v>
      </c>
      <c r="N76">
        <v>3072000</v>
      </c>
      <c r="O76">
        <v>3313000</v>
      </c>
      <c r="P76">
        <v>3577000</v>
      </c>
      <c r="Q76">
        <v>3792000</v>
      </c>
      <c r="R76">
        <v>4117000</v>
      </c>
      <c r="S76">
        <v>4480000</v>
      </c>
      <c r="T76">
        <v>4767000</v>
      </c>
      <c r="U76">
        <v>4834000</v>
      </c>
      <c r="V76">
        <v>5729000</v>
      </c>
      <c r="W76">
        <v>6116000</v>
      </c>
      <c r="X76">
        <v>6475000</v>
      </c>
      <c r="Y76">
        <v>7156000</v>
      </c>
      <c r="Z76">
        <v>6998000</v>
      </c>
      <c r="AA76">
        <v>6977000</v>
      </c>
      <c r="AB76">
        <v>7156000</v>
      </c>
      <c r="AC76">
        <v>11382000</v>
      </c>
      <c r="AD76">
        <v>18477000</v>
      </c>
      <c r="AE76">
        <v>18816000</v>
      </c>
      <c r="AF76">
        <v>20979000</v>
      </c>
      <c r="AG76">
        <v>22374000</v>
      </c>
      <c r="AH76">
        <v>22593000</v>
      </c>
      <c r="AI76">
        <v>23638000</v>
      </c>
      <c r="AJ76">
        <v>24622000</v>
      </c>
    </row>
    <row r="77" spans="1:36" x14ac:dyDescent="0.25">
      <c r="A77" t="s">
        <v>192</v>
      </c>
      <c r="B77" t="s">
        <v>133</v>
      </c>
      <c r="C77" t="s">
        <v>133</v>
      </c>
      <c r="D77" t="s">
        <v>133</v>
      </c>
      <c r="E77" t="s">
        <v>133</v>
      </c>
      <c r="F77" t="s">
        <v>133</v>
      </c>
      <c r="G77" t="s">
        <v>133</v>
      </c>
      <c r="H77" t="s">
        <v>133</v>
      </c>
      <c r="I77" t="s">
        <v>133</v>
      </c>
      <c r="J77" t="s">
        <v>133</v>
      </c>
      <c r="K77" t="s">
        <v>133</v>
      </c>
      <c r="L77" t="s">
        <v>133</v>
      </c>
      <c r="M77" t="s">
        <v>133</v>
      </c>
      <c r="N77" t="s">
        <v>133</v>
      </c>
      <c r="O77" t="s">
        <v>133</v>
      </c>
      <c r="P77" t="s">
        <v>133</v>
      </c>
      <c r="Q77" t="s">
        <v>133</v>
      </c>
      <c r="R77" t="s">
        <v>133</v>
      </c>
      <c r="S77" t="s">
        <v>133</v>
      </c>
      <c r="T77" t="s">
        <v>133</v>
      </c>
      <c r="U77" t="s">
        <v>133</v>
      </c>
      <c r="V77" t="s">
        <v>133</v>
      </c>
      <c r="W77" t="s">
        <v>133</v>
      </c>
      <c r="X77" t="s">
        <v>133</v>
      </c>
      <c r="Y77" t="s">
        <v>133</v>
      </c>
      <c r="Z77" t="s">
        <v>133</v>
      </c>
      <c r="AA77" t="s">
        <v>133</v>
      </c>
      <c r="AB77" t="s">
        <v>133</v>
      </c>
      <c r="AC77" t="s">
        <v>133</v>
      </c>
      <c r="AD77" t="s">
        <v>133</v>
      </c>
      <c r="AE77" t="s">
        <v>133</v>
      </c>
      <c r="AF77" t="s">
        <v>133</v>
      </c>
      <c r="AG77" t="s">
        <v>133</v>
      </c>
      <c r="AH77" t="s">
        <v>133</v>
      </c>
      <c r="AI77" t="s">
        <v>133</v>
      </c>
      <c r="AJ77" t="s">
        <v>133</v>
      </c>
    </row>
    <row r="78" spans="1:36" x14ac:dyDescent="0.25">
      <c r="A78" t="s">
        <v>193</v>
      </c>
      <c r="B78" t="s">
        <v>133</v>
      </c>
      <c r="C78" t="s">
        <v>133</v>
      </c>
      <c r="D78" t="s">
        <v>133</v>
      </c>
      <c r="E78" t="s">
        <v>133</v>
      </c>
      <c r="F78" t="s">
        <v>133</v>
      </c>
      <c r="G78" t="s">
        <v>133</v>
      </c>
      <c r="H78" t="s">
        <v>133</v>
      </c>
      <c r="I78" t="s">
        <v>133</v>
      </c>
      <c r="J78" t="s">
        <v>133</v>
      </c>
      <c r="K78" t="s">
        <v>133</v>
      </c>
      <c r="L78" t="s">
        <v>133</v>
      </c>
      <c r="M78" t="s">
        <v>133</v>
      </c>
      <c r="N78" t="s">
        <v>133</v>
      </c>
      <c r="O78" t="s">
        <v>133</v>
      </c>
      <c r="P78" t="s">
        <v>133</v>
      </c>
      <c r="Q78" t="s">
        <v>133</v>
      </c>
      <c r="R78" t="s">
        <v>133</v>
      </c>
      <c r="S78" t="s">
        <v>133</v>
      </c>
      <c r="T78" t="s">
        <v>133</v>
      </c>
      <c r="U78" t="s">
        <v>133</v>
      </c>
      <c r="V78" t="s">
        <v>133</v>
      </c>
      <c r="W78" t="s">
        <v>133</v>
      </c>
      <c r="X78" t="s">
        <v>133</v>
      </c>
      <c r="Y78" t="s">
        <v>133</v>
      </c>
      <c r="Z78" t="s">
        <v>133</v>
      </c>
      <c r="AA78" t="s">
        <v>133</v>
      </c>
      <c r="AB78" t="s">
        <v>133</v>
      </c>
      <c r="AC78" t="s">
        <v>133</v>
      </c>
      <c r="AD78" t="s">
        <v>133</v>
      </c>
      <c r="AE78" t="s">
        <v>133</v>
      </c>
      <c r="AF78" t="s">
        <v>133</v>
      </c>
      <c r="AG78" t="s">
        <v>133</v>
      </c>
      <c r="AH78" t="s">
        <v>133</v>
      </c>
      <c r="AI78" t="s">
        <v>133</v>
      </c>
      <c r="AJ78" t="s">
        <v>133</v>
      </c>
    </row>
    <row r="79" spans="1:36" x14ac:dyDescent="0.25">
      <c r="A79" t="s">
        <v>194</v>
      </c>
      <c r="B79">
        <v>-1202000</v>
      </c>
      <c r="C79">
        <v>-301000</v>
      </c>
      <c r="D79">
        <v>420000</v>
      </c>
      <c r="E79">
        <v>-968205</v>
      </c>
      <c r="F79">
        <v>2306000</v>
      </c>
      <c r="G79">
        <v>-4913000</v>
      </c>
      <c r="H79">
        <v>478000</v>
      </c>
      <c r="I79">
        <v>47000</v>
      </c>
      <c r="J79">
        <v>-2836000</v>
      </c>
      <c r="K79">
        <v>962000</v>
      </c>
      <c r="L79">
        <v>-2187000</v>
      </c>
      <c r="M79">
        <v>225000</v>
      </c>
      <c r="N79">
        <v>-3459000</v>
      </c>
      <c r="O79">
        <v>-3724000</v>
      </c>
      <c r="P79">
        <v>-4511000</v>
      </c>
      <c r="Q79">
        <v>-3659000</v>
      </c>
      <c r="R79">
        <v>-5255000</v>
      </c>
      <c r="S79">
        <v>420000</v>
      </c>
      <c r="T79">
        <v>4526000</v>
      </c>
      <c r="U79">
        <v>-4793000</v>
      </c>
      <c r="V79">
        <v>11483000</v>
      </c>
      <c r="W79">
        <v>-7157000</v>
      </c>
      <c r="X79">
        <v>2708000</v>
      </c>
      <c r="Y79">
        <v>-1387000</v>
      </c>
      <c r="Z79">
        <v>-22057000</v>
      </c>
      <c r="AA79">
        <v>13971000</v>
      </c>
      <c r="AB79">
        <v>-7541000</v>
      </c>
      <c r="AC79">
        <v>-19266000</v>
      </c>
      <c r="AD79">
        <v>-37717000</v>
      </c>
      <c r="AE79">
        <v>-27032000</v>
      </c>
      <c r="AF79">
        <v>-10862000</v>
      </c>
      <c r="AG79">
        <v>-19672000</v>
      </c>
      <c r="AH79">
        <v>-32425000</v>
      </c>
      <c r="AI79">
        <v>-16127000</v>
      </c>
      <c r="AJ79">
        <v>-18556000</v>
      </c>
    </row>
    <row r="80" spans="1:36" x14ac:dyDescent="0.25">
      <c r="A80" t="s">
        <v>195</v>
      </c>
      <c r="B80" t="s">
        <v>133</v>
      </c>
      <c r="C80" t="s">
        <v>133</v>
      </c>
      <c r="D80" t="s">
        <v>133</v>
      </c>
      <c r="E80" t="s">
        <v>133</v>
      </c>
      <c r="F80" t="s">
        <v>133</v>
      </c>
      <c r="G80" t="s">
        <v>133</v>
      </c>
      <c r="H80" t="s">
        <v>133</v>
      </c>
      <c r="I80" t="s">
        <v>133</v>
      </c>
      <c r="J80" t="s">
        <v>133</v>
      </c>
      <c r="K80" t="s">
        <v>133</v>
      </c>
      <c r="L80" t="s">
        <v>133</v>
      </c>
      <c r="M80" t="s">
        <v>133</v>
      </c>
      <c r="N80" t="s">
        <v>133</v>
      </c>
      <c r="O80" t="s">
        <v>133</v>
      </c>
      <c r="P80" t="s">
        <v>133</v>
      </c>
      <c r="Q80" t="s">
        <v>133</v>
      </c>
      <c r="R80" t="s">
        <v>133</v>
      </c>
      <c r="S80" t="s">
        <v>133</v>
      </c>
      <c r="T80" t="s">
        <v>133</v>
      </c>
      <c r="U80" t="s">
        <v>133</v>
      </c>
      <c r="V80" t="s">
        <v>133</v>
      </c>
      <c r="W80" t="s">
        <v>133</v>
      </c>
      <c r="X80" t="s">
        <v>133</v>
      </c>
      <c r="Y80" t="s">
        <v>133</v>
      </c>
      <c r="Z80" t="s">
        <v>133</v>
      </c>
      <c r="AA80" t="s">
        <v>133</v>
      </c>
      <c r="AB80" t="s">
        <v>133</v>
      </c>
      <c r="AC80" t="s">
        <v>133</v>
      </c>
      <c r="AD80" t="s">
        <v>133</v>
      </c>
      <c r="AE80" t="s">
        <v>133</v>
      </c>
      <c r="AF80" t="s">
        <v>133</v>
      </c>
      <c r="AG80" t="s">
        <v>133</v>
      </c>
      <c r="AH80" t="s">
        <v>133</v>
      </c>
      <c r="AI80" t="s">
        <v>133</v>
      </c>
      <c r="AJ80" t="s">
        <v>133</v>
      </c>
    </row>
    <row r="81" spans="1:36" x14ac:dyDescent="0.25">
      <c r="A81" t="s">
        <v>159</v>
      </c>
      <c r="B81" t="s">
        <v>133</v>
      </c>
      <c r="C81" t="s">
        <v>133</v>
      </c>
      <c r="D81" t="s">
        <v>133</v>
      </c>
      <c r="E81" t="s">
        <v>133</v>
      </c>
      <c r="F81" t="s">
        <v>133</v>
      </c>
      <c r="G81" t="s">
        <v>133</v>
      </c>
      <c r="H81" t="s">
        <v>133</v>
      </c>
      <c r="I81" t="s">
        <v>133</v>
      </c>
      <c r="J81" t="s">
        <v>133</v>
      </c>
      <c r="K81" t="s">
        <v>133</v>
      </c>
      <c r="L81" t="s">
        <v>133</v>
      </c>
      <c r="M81" t="s">
        <v>133</v>
      </c>
      <c r="N81" t="s">
        <v>133</v>
      </c>
      <c r="O81" t="s">
        <v>133</v>
      </c>
      <c r="P81" t="s">
        <v>133</v>
      </c>
      <c r="Q81" t="s">
        <v>133</v>
      </c>
      <c r="R81" t="s">
        <v>133</v>
      </c>
      <c r="S81" t="s">
        <v>133</v>
      </c>
      <c r="T81" t="s">
        <v>133</v>
      </c>
      <c r="U81" t="s">
        <v>133</v>
      </c>
      <c r="V81" t="s">
        <v>133</v>
      </c>
      <c r="W81" t="s">
        <v>133</v>
      </c>
      <c r="X81" t="s">
        <v>133</v>
      </c>
      <c r="Y81" t="s">
        <v>133</v>
      </c>
      <c r="Z81" t="s">
        <v>133</v>
      </c>
      <c r="AA81" t="s">
        <v>133</v>
      </c>
      <c r="AB81" t="s">
        <v>133</v>
      </c>
      <c r="AC81" t="s">
        <v>133</v>
      </c>
      <c r="AD81" t="s">
        <v>133</v>
      </c>
      <c r="AE81" t="s">
        <v>133</v>
      </c>
      <c r="AF81" t="s">
        <v>133</v>
      </c>
      <c r="AG81" t="s">
        <v>133</v>
      </c>
      <c r="AH81" t="s">
        <v>133</v>
      </c>
      <c r="AI81" t="s">
        <v>133</v>
      </c>
      <c r="AJ81" t="s">
        <v>133</v>
      </c>
    </row>
    <row r="82" spans="1:36" x14ac:dyDescent="0.25">
      <c r="A82" t="s">
        <v>171</v>
      </c>
      <c r="B82" t="s">
        <v>133</v>
      </c>
      <c r="C82" t="s">
        <v>133</v>
      </c>
      <c r="D82" t="s">
        <v>133</v>
      </c>
      <c r="E82" t="s">
        <v>133</v>
      </c>
      <c r="F82" t="s">
        <v>133</v>
      </c>
      <c r="G82" t="s">
        <v>133</v>
      </c>
      <c r="H82" t="s">
        <v>133</v>
      </c>
      <c r="I82" t="s">
        <v>133</v>
      </c>
      <c r="J82" t="s">
        <v>133</v>
      </c>
      <c r="K82" t="s">
        <v>133</v>
      </c>
      <c r="L82" t="s">
        <v>133</v>
      </c>
      <c r="M82" t="s">
        <v>133</v>
      </c>
      <c r="N82" t="s">
        <v>133</v>
      </c>
      <c r="O82" t="s">
        <v>133</v>
      </c>
      <c r="P82" t="s">
        <v>133</v>
      </c>
      <c r="Q82" t="s">
        <v>133</v>
      </c>
      <c r="R82" t="s">
        <v>133</v>
      </c>
      <c r="S82" t="s">
        <v>133</v>
      </c>
      <c r="T82" t="s">
        <v>133</v>
      </c>
      <c r="U82" t="s">
        <v>133</v>
      </c>
      <c r="V82" t="s">
        <v>133</v>
      </c>
      <c r="W82" t="s">
        <v>133</v>
      </c>
      <c r="X82" t="s">
        <v>133</v>
      </c>
      <c r="Y82" t="s">
        <v>133</v>
      </c>
      <c r="Z82" t="s">
        <v>133</v>
      </c>
      <c r="AA82" t="s">
        <v>133</v>
      </c>
      <c r="AB82" t="s">
        <v>133</v>
      </c>
      <c r="AC82" t="s">
        <v>133</v>
      </c>
      <c r="AD82" t="s">
        <v>133</v>
      </c>
      <c r="AE82" t="s">
        <v>133</v>
      </c>
      <c r="AF82" t="s">
        <v>133</v>
      </c>
      <c r="AG82" t="s">
        <v>133</v>
      </c>
      <c r="AH82" t="s">
        <v>133</v>
      </c>
      <c r="AI82" t="s">
        <v>133</v>
      </c>
      <c r="AJ82" t="s">
        <v>133</v>
      </c>
    </row>
    <row r="83" spans="1:36" x14ac:dyDescent="0.25">
      <c r="A83" t="s">
        <v>196</v>
      </c>
      <c r="B83" t="s">
        <v>133</v>
      </c>
      <c r="C83" t="s">
        <v>133</v>
      </c>
      <c r="D83" t="s">
        <v>133</v>
      </c>
      <c r="E83" t="s">
        <v>133</v>
      </c>
      <c r="F83" t="s">
        <v>133</v>
      </c>
      <c r="G83" t="s">
        <v>133</v>
      </c>
      <c r="H83" t="s">
        <v>133</v>
      </c>
      <c r="I83" t="s">
        <v>133</v>
      </c>
      <c r="J83" t="s">
        <v>133</v>
      </c>
      <c r="K83" t="s">
        <v>133</v>
      </c>
      <c r="L83" t="s">
        <v>133</v>
      </c>
      <c r="M83" t="s">
        <v>133</v>
      </c>
      <c r="N83" t="s">
        <v>133</v>
      </c>
      <c r="O83" t="s">
        <v>133</v>
      </c>
      <c r="P83" t="s">
        <v>133</v>
      </c>
      <c r="Q83" t="s">
        <v>133</v>
      </c>
      <c r="R83" t="s">
        <v>133</v>
      </c>
      <c r="S83" t="s">
        <v>133</v>
      </c>
      <c r="T83" t="s">
        <v>133</v>
      </c>
      <c r="U83" t="s">
        <v>133</v>
      </c>
      <c r="V83" t="s">
        <v>133</v>
      </c>
      <c r="W83" t="s">
        <v>133</v>
      </c>
      <c r="X83" t="s">
        <v>133</v>
      </c>
      <c r="Y83" t="s">
        <v>133</v>
      </c>
      <c r="Z83" t="s">
        <v>133</v>
      </c>
      <c r="AA83" t="s">
        <v>133</v>
      </c>
      <c r="AB83" t="s">
        <v>133</v>
      </c>
      <c r="AC83" t="s">
        <v>133</v>
      </c>
      <c r="AD83" t="s">
        <v>133</v>
      </c>
      <c r="AE83" t="s">
        <v>133</v>
      </c>
      <c r="AF83" t="s">
        <v>133</v>
      </c>
      <c r="AG83" t="s">
        <v>133</v>
      </c>
      <c r="AH83" t="s">
        <v>133</v>
      </c>
      <c r="AI83" t="s">
        <v>133</v>
      </c>
      <c r="AJ83" t="s">
        <v>133</v>
      </c>
    </row>
    <row r="84" spans="1:36" x14ac:dyDescent="0.25">
      <c r="A84" t="s">
        <v>197</v>
      </c>
      <c r="B84">
        <v>23000</v>
      </c>
      <c r="C84">
        <v>102000</v>
      </c>
      <c r="D84">
        <v>161000</v>
      </c>
      <c r="E84">
        <v>-8736</v>
      </c>
      <c r="F84">
        <v>-501000</v>
      </c>
      <c r="G84">
        <v>270000</v>
      </c>
      <c r="H84">
        <v>351000</v>
      </c>
      <c r="I84">
        <v>-122000</v>
      </c>
      <c r="J84">
        <v>576000</v>
      </c>
      <c r="K84">
        <v>386000</v>
      </c>
      <c r="L84">
        <v>543000</v>
      </c>
      <c r="M84">
        <v>858000</v>
      </c>
      <c r="N84">
        <v>-270000</v>
      </c>
      <c r="O84">
        <v>911000</v>
      </c>
      <c r="P84">
        <v>1222000</v>
      </c>
      <c r="Q84">
        <v>-164000</v>
      </c>
      <c r="R84">
        <v>-320000</v>
      </c>
      <c r="S84">
        <v>943000</v>
      </c>
      <c r="T84">
        <v>1673000</v>
      </c>
      <c r="U84">
        <v>1271000</v>
      </c>
      <c r="V84">
        <v>-1795000</v>
      </c>
      <c r="W84">
        <v>1873000</v>
      </c>
      <c r="X84">
        <v>1729000</v>
      </c>
      <c r="Y84">
        <v>1640000</v>
      </c>
      <c r="Z84">
        <v>-1057000</v>
      </c>
      <c r="AA84">
        <v>2230000</v>
      </c>
      <c r="AB84">
        <v>5728000</v>
      </c>
      <c r="AC84">
        <v>26908000</v>
      </c>
      <c r="AD84">
        <v>-11009000</v>
      </c>
      <c r="AE84">
        <v>-10925000</v>
      </c>
      <c r="AF84">
        <v>25854000</v>
      </c>
      <c r="AG84">
        <v>4177000</v>
      </c>
      <c r="AH84">
        <v>6485000</v>
      </c>
      <c r="AI84">
        <v>-22433000</v>
      </c>
      <c r="AJ84">
        <v>-5421000</v>
      </c>
    </row>
    <row r="85" spans="1:36" x14ac:dyDescent="0.25">
      <c r="A85" t="s">
        <v>198</v>
      </c>
      <c r="B85">
        <v>1786000</v>
      </c>
      <c r="C85">
        <v>3635000</v>
      </c>
      <c r="D85">
        <v>4825000</v>
      </c>
      <c r="E85">
        <v>3972290</v>
      </c>
      <c r="F85">
        <v>4422000</v>
      </c>
      <c r="G85">
        <v>2603000</v>
      </c>
      <c r="H85">
        <v>8174000</v>
      </c>
      <c r="I85">
        <v>8690000</v>
      </c>
      <c r="J85">
        <v>7407000</v>
      </c>
      <c r="K85">
        <v>11268000</v>
      </c>
      <c r="L85">
        <v>8362000</v>
      </c>
      <c r="M85">
        <v>12990000</v>
      </c>
      <c r="N85">
        <v>12085000</v>
      </c>
      <c r="O85">
        <v>15117000</v>
      </c>
      <c r="P85">
        <v>17065000</v>
      </c>
      <c r="Q85">
        <v>18002000</v>
      </c>
      <c r="R85">
        <v>15063000</v>
      </c>
      <c r="S85">
        <v>25919000</v>
      </c>
      <c r="T85">
        <v>32208000</v>
      </c>
      <c r="U85">
        <v>26847000</v>
      </c>
      <c r="V85">
        <v>43993000</v>
      </c>
      <c r="W85">
        <v>35361000</v>
      </c>
      <c r="X85">
        <v>50687000</v>
      </c>
      <c r="Y85">
        <v>54255000</v>
      </c>
      <c r="Z85">
        <v>38080000</v>
      </c>
      <c r="AA85">
        <v>93623000</v>
      </c>
      <c r="AB85">
        <v>84724000</v>
      </c>
      <c r="AC85">
        <v>99624000</v>
      </c>
      <c r="AD85">
        <v>101789000</v>
      </c>
      <c r="AE85">
        <v>125265000</v>
      </c>
      <c r="AF85">
        <v>193405000</v>
      </c>
      <c r="AG85">
        <v>178436000</v>
      </c>
      <c r="AH85">
        <v>194342000</v>
      </c>
      <c r="AI85">
        <v>185951000</v>
      </c>
      <c r="AJ85">
        <v>237038000</v>
      </c>
    </row>
    <row r="86" spans="1:36" x14ac:dyDescent="0.25">
      <c r="A86" t="s">
        <v>199</v>
      </c>
      <c r="B86">
        <v>-1192000</v>
      </c>
      <c r="C86">
        <v>-1352000</v>
      </c>
      <c r="D86">
        <v>-1543000</v>
      </c>
      <c r="E86">
        <v>-1880182</v>
      </c>
      <c r="F86">
        <v>-1936000</v>
      </c>
      <c r="G86">
        <v>-2019000</v>
      </c>
      <c r="H86">
        <v>-3863000</v>
      </c>
      <c r="I86">
        <v>-4119000</v>
      </c>
      <c r="J86">
        <v>-16596000</v>
      </c>
      <c r="K86">
        <v>-4595000</v>
      </c>
      <c r="L86">
        <v>-5074000</v>
      </c>
      <c r="M86">
        <v>-4918000</v>
      </c>
      <c r="N86">
        <v>-4154000</v>
      </c>
      <c r="O86">
        <v>-4190000</v>
      </c>
      <c r="P86">
        <v>-6135000</v>
      </c>
      <c r="Q86">
        <v>-6471000</v>
      </c>
      <c r="R86">
        <v>-9393000</v>
      </c>
      <c r="S86">
        <v>-8162000</v>
      </c>
      <c r="T86">
        <v>-5858000</v>
      </c>
      <c r="U86">
        <v>-9717000</v>
      </c>
      <c r="V86">
        <v>-24874000</v>
      </c>
      <c r="W86">
        <v>-5895000</v>
      </c>
      <c r="X86">
        <v>-9223000</v>
      </c>
      <c r="Y86">
        <v>-9654000</v>
      </c>
      <c r="Z86">
        <v>-7408000</v>
      </c>
      <c r="AA86">
        <v>-8284000</v>
      </c>
      <c r="AB86">
        <v>-10272000</v>
      </c>
      <c r="AC86">
        <v>-10922000</v>
      </c>
      <c r="AD86">
        <v>-13205000</v>
      </c>
      <c r="AE86">
        <v>-12277000</v>
      </c>
      <c r="AF86">
        <v>-12593000</v>
      </c>
      <c r="AG86">
        <v>-22287000</v>
      </c>
      <c r="AH86">
        <v>-21151000</v>
      </c>
      <c r="AI86">
        <v>-24425000</v>
      </c>
      <c r="AJ86">
        <v>-23421000</v>
      </c>
    </row>
    <row r="87" spans="1:36" x14ac:dyDescent="0.25">
      <c r="A87" t="s">
        <v>200</v>
      </c>
      <c r="B87" t="s">
        <v>133</v>
      </c>
      <c r="C87" t="s">
        <v>133</v>
      </c>
      <c r="D87" t="s">
        <v>133</v>
      </c>
      <c r="E87" t="s">
        <v>133</v>
      </c>
      <c r="F87" t="s">
        <v>133</v>
      </c>
      <c r="G87" t="s">
        <v>133</v>
      </c>
      <c r="H87" t="s">
        <v>133</v>
      </c>
      <c r="I87" t="s">
        <v>133</v>
      </c>
      <c r="J87" t="s">
        <v>133</v>
      </c>
      <c r="K87" t="s">
        <v>133</v>
      </c>
      <c r="L87" t="s">
        <v>133</v>
      </c>
      <c r="M87" t="s">
        <v>133</v>
      </c>
      <c r="N87" t="s">
        <v>133</v>
      </c>
      <c r="O87" t="s">
        <v>133</v>
      </c>
      <c r="P87" t="s">
        <v>133</v>
      </c>
      <c r="Q87" t="s">
        <v>133</v>
      </c>
      <c r="R87" t="s">
        <v>133</v>
      </c>
      <c r="S87" t="s">
        <v>133</v>
      </c>
      <c r="T87" t="s">
        <v>133</v>
      </c>
      <c r="U87" t="s">
        <v>133</v>
      </c>
      <c r="V87" t="s">
        <v>133</v>
      </c>
      <c r="W87" t="s">
        <v>133</v>
      </c>
      <c r="X87" t="s">
        <v>133</v>
      </c>
      <c r="Y87">
        <v>-1352000</v>
      </c>
      <c r="Z87">
        <v>-1381000</v>
      </c>
      <c r="AA87" t="s">
        <v>133</v>
      </c>
      <c r="AB87" t="s">
        <v>133</v>
      </c>
      <c r="AC87">
        <v>47466000</v>
      </c>
      <c r="AD87">
        <v>-2356000</v>
      </c>
      <c r="AE87">
        <v>-94162000</v>
      </c>
      <c r="AF87">
        <v>4288000</v>
      </c>
      <c r="AG87" t="s">
        <v>133</v>
      </c>
      <c r="AH87">
        <v>-74085000</v>
      </c>
      <c r="AI87" t="s">
        <v>133</v>
      </c>
      <c r="AJ87">
        <v>-184729000</v>
      </c>
    </row>
    <row r="88" spans="1:36" x14ac:dyDescent="0.25">
      <c r="A88" t="s">
        <v>201</v>
      </c>
      <c r="B88" t="s">
        <v>133</v>
      </c>
      <c r="C88" t="s">
        <v>133</v>
      </c>
      <c r="D88" t="s">
        <v>133</v>
      </c>
      <c r="E88" t="s">
        <v>133</v>
      </c>
      <c r="F88" t="s">
        <v>133</v>
      </c>
      <c r="G88" t="s">
        <v>133</v>
      </c>
      <c r="H88" t="s">
        <v>133</v>
      </c>
      <c r="I88" t="s">
        <v>133</v>
      </c>
      <c r="J88" t="s">
        <v>133</v>
      </c>
      <c r="K88" t="s">
        <v>133</v>
      </c>
      <c r="L88" t="s">
        <v>133</v>
      </c>
      <c r="M88" t="s">
        <v>133</v>
      </c>
      <c r="N88" t="s">
        <v>133</v>
      </c>
      <c r="O88">
        <v>-274000</v>
      </c>
      <c r="P88">
        <v>-266000</v>
      </c>
      <c r="Q88" t="s">
        <v>133</v>
      </c>
      <c r="R88">
        <v>-2670000</v>
      </c>
      <c r="S88">
        <v>-348000</v>
      </c>
      <c r="T88">
        <v>-410000</v>
      </c>
      <c r="U88" t="s">
        <v>133</v>
      </c>
      <c r="V88" t="s">
        <v>133</v>
      </c>
      <c r="W88" t="s">
        <v>133</v>
      </c>
      <c r="X88" t="s">
        <v>133</v>
      </c>
      <c r="Y88" t="s">
        <v>133</v>
      </c>
      <c r="Z88" t="s">
        <v>133</v>
      </c>
      <c r="AA88" t="s">
        <v>133</v>
      </c>
      <c r="AB88" t="s">
        <v>133</v>
      </c>
      <c r="AC88" t="s">
        <v>133</v>
      </c>
      <c r="AD88" t="s">
        <v>133</v>
      </c>
      <c r="AE88" t="s">
        <v>133</v>
      </c>
      <c r="AF88" t="s">
        <v>133</v>
      </c>
      <c r="AG88" t="s">
        <v>133</v>
      </c>
      <c r="AH88" t="s">
        <v>133</v>
      </c>
      <c r="AI88" t="s">
        <v>133</v>
      </c>
      <c r="AJ88" t="s">
        <v>133</v>
      </c>
    </row>
    <row r="89" spans="1:36" x14ac:dyDescent="0.25">
      <c r="A89" t="s">
        <v>202</v>
      </c>
      <c r="B89" t="s">
        <v>133</v>
      </c>
      <c r="C89" t="s">
        <v>133</v>
      </c>
      <c r="D89" t="s">
        <v>133</v>
      </c>
      <c r="E89" t="s">
        <v>133</v>
      </c>
      <c r="F89" t="s">
        <v>133</v>
      </c>
      <c r="G89" t="s">
        <v>133</v>
      </c>
      <c r="H89" t="s">
        <v>133</v>
      </c>
      <c r="I89" t="s">
        <v>133</v>
      </c>
      <c r="J89" t="s">
        <v>133</v>
      </c>
      <c r="K89" t="s">
        <v>133</v>
      </c>
      <c r="L89" t="s">
        <v>133</v>
      </c>
      <c r="M89" t="s">
        <v>133</v>
      </c>
      <c r="N89" t="s">
        <v>133</v>
      </c>
      <c r="O89" t="s">
        <v>133</v>
      </c>
      <c r="P89" t="s">
        <v>133</v>
      </c>
      <c r="Q89" t="s">
        <v>133</v>
      </c>
      <c r="R89" t="s">
        <v>133</v>
      </c>
      <c r="S89" t="s">
        <v>133</v>
      </c>
      <c r="T89" t="s">
        <v>133</v>
      </c>
      <c r="U89" t="s">
        <v>133</v>
      </c>
      <c r="V89" t="s">
        <v>133</v>
      </c>
      <c r="W89" t="s">
        <v>133</v>
      </c>
      <c r="X89" t="s">
        <v>133</v>
      </c>
      <c r="Y89" t="s">
        <v>133</v>
      </c>
      <c r="Z89" t="s">
        <v>133</v>
      </c>
      <c r="AA89" t="s">
        <v>133</v>
      </c>
      <c r="AB89" t="s">
        <v>133</v>
      </c>
      <c r="AC89" t="s">
        <v>133</v>
      </c>
      <c r="AD89" t="s">
        <v>133</v>
      </c>
      <c r="AE89" t="s">
        <v>133</v>
      </c>
      <c r="AF89" t="s">
        <v>133</v>
      </c>
      <c r="AG89" t="s">
        <v>133</v>
      </c>
      <c r="AH89" t="s">
        <v>133</v>
      </c>
      <c r="AI89" t="s">
        <v>133</v>
      </c>
      <c r="AJ89" t="s">
        <v>133</v>
      </c>
    </row>
    <row r="90" spans="1:36" x14ac:dyDescent="0.25">
      <c r="A90" t="s">
        <v>203</v>
      </c>
      <c r="B90">
        <v>-951000</v>
      </c>
      <c r="C90">
        <v>-985000</v>
      </c>
      <c r="D90">
        <v>-1117000</v>
      </c>
      <c r="E90">
        <v>-1199217</v>
      </c>
      <c r="F90">
        <v>-1364000</v>
      </c>
      <c r="G90">
        <v>-1632000</v>
      </c>
      <c r="H90">
        <v>-1833000</v>
      </c>
      <c r="I90">
        <v>-2327000</v>
      </c>
      <c r="J90">
        <v>-2515000</v>
      </c>
      <c r="K90">
        <v>-2652000</v>
      </c>
      <c r="L90">
        <v>-2501000</v>
      </c>
      <c r="M90">
        <v>-2742000</v>
      </c>
      <c r="N90">
        <v>-2475000</v>
      </c>
      <c r="O90">
        <v>-2372000</v>
      </c>
      <c r="P90">
        <v>-2539000</v>
      </c>
      <c r="Q90">
        <v>-4092000</v>
      </c>
      <c r="R90">
        <v>-2888000</v>
      </c>
      <c r="S90">
        <v>-2680000</v>
      </c>
      <c r="T90">
        <v>-3118000</v>
      </c>
      <c r="U90">
        <v>-1669000</v>
      </c>
      <c r="V90">
        <v>-20242000</v>
      </c>
      <c r="W90">
        <v>-2091000</v>
      </c>
      <c r="X90">
        <v>-4092000</v>
      </c>
      <c r="Y90">
        <v>-3251000</v>
      </c>
      <c r="Z90">
        <v>-2782000</v>
      </c>
      <c r="AA90">
        <v>-3866000</v>
      </c>
      <c r="AB90">
        <v>-3128000</v>
      </c>
      <c r="AC90">
        <v>-6237000</v>
      </c>
      <c r="AD90">
        <v>-6116000</v>
      </c>
      <c r="AE90">
        <v>-8171000</v>
      </c>
      <c r="AF90">
        <v>-6716000</v>
      </c>
      <c r="AG90">
        <v>-8412000</v>
      </c>
      <c r="AH90">
        <v>-8039000</v>
      </c>
      <c r="AI90">
        <v>-12048000</v>
      </c>
      <c r="AJ90">
        <v>-8292000</v>
      </c>
    </row>
    <row r="91" spans="1:36" x14ac:dyDescent="0.25">
      <c r="A91" t="s">
        <v>204</v>
      </c>
      <c r="B91">
        <v>-1192000</v>
      </c>
      <c r="C91">
        <v>-1352000</v>
      </c>
      <c r="D91">
        <v>-1543000</v>
      </c>
      <c r="E91">
        <v>-1880182</v>
      </c>
      <c r="F91">
        <v>-1936000</v>
      </c>
      <c r="G91">
        <v>-2018000</v>
      </c>
      <c r="H91">
        <v>-3863000</v>
      </c>
      <c r="I91">
        <v>-4119000</v>
      </c>
      <c r="J91">
        <v>-16595000</v>
      </c>
      <c r="K91">
        <v>-4594000</v>
      </c>
      <c r="L91">
        <v>-5074000</v>
      </c>
      <c r="M91">
        <v>-5120000</v>
      </c>
      <c r="N91">
        <v>-4154000</v>
      </c>
      <c r="O91">
        <v>-4463000</v>
      </c>
      <c r="P91">
        <v>-6400000</v>
      </c>
      <c r="Q91">
        <v>-7393000</v>
      </c>
      <c r="R91">
        <v>-12063000</v>
      </c>
      <c r="S91">
        <v>-8510000</v>
      </c>
      <c r="T91">
        <v>-6268000</v>
      </c>
      <c r="U91">
        <v>-4810000</v>
      </c>
      <c r="V91">
        <v>-24952000</v>
      </c>
      <c r="W91">
        <v>-5951000</v>
      </c>
      <c r="X91">
        <v>-9189000</v>
      </c>
      <c r="Y91">
        <v>-11510000</v>
      </c>
      <c r="Z91">
        <v>-8872000</v>
      </c>
      <c r="AA91">
        <v>-8742000</v>
      </c>
      <c r="AB91">
        <v>-10639000</v>
      </c>
      <c r="AC91">
        <v>35074000</v>
      </c>
      <c r="AD91">
        <v>-15446000</v>
      </c>
      <c r="AE91">
        <v>-107483000</v>
      </c>
      <c r="AF91">
        <v>-9756000</v>
      </c>
      <c r="AG91">
        <v>-22267000</v>
      </c>
      <c r="AH91">
        <v>-96140000</v>
      </c>
      <c r="AI91">
        <v>-26844000</v>
      </c>
      <c r="AJ91">
        <v>-206887000</v>
      </c>
    </row>
    <row r="92" spans="1:36" x14ac:dyDescent="0.25">
      <c r="A92" t="s">
        <v>205</v>
      </c>
      <c r="B92" t="s">
        <v>133</v>
      </c>
      <c r="C92" t="s">
        <v>133</v>
      </c>
      <c r="D92">
        <v>-1000</v>
      </c>
      <c r="E92" t="s">
        <v>133</v>
      </c>
      <c r="F92" t="s">
        <v>133</v>
      </c>
      <c r="G92" t="s">
        <v>133</v>
      </c>
      <c r="H92">
        <v>-12000</v>
      </c>
      <c r="I92">
        <v>-259000</v>
      </c>
      <c r="J92" t="s">
        <v>133</v>
      </c>
      <c r="K92" t="s">
        <v>133</v>
      </c>
      <c r="L92" t="s">
        <v>133</v>
      </c>
      <c r="M92" t="s">
        <v>133</v>
      </c>
      <c r="N92" t="s">
        <v>133</v>
      </c>
      <c r="O92">
        <v>-239000</v>
      </c>
      <c r="P92">
        <v>-213000</v>
      </c>
      <c r="Q92">
        <v>-57000</v>
      </c>
      <c r="R92">
        <v>-227000</v>
      </c>
      <c r="S92">
        <v>-237000</v>
      </c>
      <c r="T92">
        <v>-238000</v>
      </c>
      <c r="U92">
        <v>-372000</v>
      </c>
      <c r="V92">
        <v>-237000</v>
      </c>
      <c r="W92">
        <v>-238000</v>
      </c>
      <c r="X92">
        <v>-237000</v>
      </c>
      <c r="Y92">
        <v>-238000</v>
      </c>
      <c r="Z92">
        <v>-239000</v>
      </c>
      <c r="AA92">
        <v>-239000</v>
      </c>
      <c r="AB92">
        <v>-240000</v>
      </c>
      <c r="AC92">
        <v>-189633000</v>
      </c>
      <c r="AD92" t="s">
        <v>133</v>
      </c>
      <c r="AE92" t="s">
        <v>133</v>
      </c>
      <c r="AF92" t="s">
        <v>133</v>
      </c>
      <c r="AG92" t="s">
        <v>133</v>
      </c>
      <c r="AH92" t="s">
        <v>133</v>
      </c>
      <c r="AI92" t="s">
        <v>133</v>
      </c>
      <c r="AJ92" t="s">
        <v>133</v>
      </c>
    </row>
    <row r="93" spans="1:36" x14ac:dyDescent="0.25">
      <c r="A93" t="s">
        <v>206</v>
      </c>
      <c r="B93" t="s">
        <v>133</v>
      </c>
      <c r="C93" t="s">
        <v>133</v>
      </c>
      <c r="D93" t="s">
        <v>133</v>
      </c>
      <c r="E93" t="s">
        <v>133</v>
      </c>
      <c r="F93">
        <v>13000</v>
      </c>
      <c r="G93" t="s">
        <v>133</v>
      </c>
      <c r="H93" t="s">
        <v>133</v>
      </c>
      <c r="I93" t="s">
        <v>133</v>
      </c>
      <c r="J93" t="s">
        <v>133</v>
      </c>
      <c r="K93" t="s">
        <v>133</v>
      </c>
      <c r="L93" t="s">
        <v>133</v>
      </c>
      <c r="M93">
        <v>376000</v>
      </c>
      <c r="N93" t="s">
        <v>133</v>
      </c>
      <c r="O93" t="s">
        <v>133</v>
      </c>
      <c r="P93" t="s">
        <v>133</v>
      </c>
      <c r="Q93" t="s">
        <v>133</v>
      </c>
      <c r="R93" t="s">
        <v>133</v>
      </c>
      <c r="S93" t="s">
        <v>133</v>
      </c>
      <c r="T93">
        <v>803000</v>
      </c>
      <c r="U93" t="s">
        <v>133</v>
      </c>
      <c r="V93">
        <v>-140000</v>
      </c>
      <c r="W93">
        <v>-12000</v>
      </c>
      <c r="X93">
        <v>11720000</v>
      </c>
      <c r="Y93" t="s">
        <v>133</v>
      </c>
      <c r="Z93">
        <v>4579000</v>
      </c>
      <c r="AA93" t="s">
        <v>133</v>
      </c>
      <c r="AB93" t="s">
        <v>133</v>
      </c>
      <c r="AC93">
        <v>-75000</v>
      </c>
      <c r="AD93">
        <v>17591000</v>
      </c>
      <c r="AE93">
        <v>4382000</v>
      </c>
      <c r="AF93">
        <v>10766000</v>
      </c>
      <c r="AG93">
        <v>-724000</v>
      </c>
      <c r="AH93">
        <v>-1013000</v>
      </c>
      <c r="AI93">
        <v>-236000</v>
      </c>
      <c r="AJ93">
        <v>-166000</v>
      </c>
    </row>
    <row r="94" spans="1:36" x14ac:dyDescent="0.25">
      <c r="A94" t="s">
        <v>207</v>
      </c>
      <c r="B94" t="s">
        <v>133</v>
      </c>
      <c r="C94" t="s">
        <v>133</v>
      </c>
      <c r="D94">
        <v>-3000000</v>
      </c>
      <c r="E94" t="s">
        <v>133</v>
      </c>
      <c r="F94" t="s">
        <v>133</v>
      </c>
      <c r="G94" t="s">
        <v>133</v>
      </c>
      <c r="H94" t="s">
        <v>133</v>
      </c>
      <c r="I94" t="s">
        <v>133</v>
      </c>
      <c r="J94" t="s">
        <v>133</v>
      </c>
      <c r="K94" t="s">
        <v>133</v>
      </c>
      <c r="L94" t="s">
        <v>133</v>
      </c>
      <c r="M94" t="s">
        <v>133</v>
      </c>
      <c r="N94" t="s">
        <v>133</v>
      </c>
      <c r="O94" t="s">
        <v>133</v>
      </c>
      <c r="P94" t="s">
        <v>133</v>
      </c>
      <c r="Q94" t="s">
        <v>133</v>
      </c>
      <c r="R94" t="s">
        <v>133</v>
      </c>
      <c r="S94" t="s">
        <v>133</v>
      </c>
      <c r="T94" t="s">
        <v>133</v>
      </c>
      <c r="U94" t="s">
        <v>133</v>
      </c>
      <c r="V94" t="s">
        <v>133</v>
      </c>
      <c r="W94" t="s">
        <v>133</v>
      </c>
      <c r="X94" t="s">
        <v>133</v>
      </c>
      <c r="Y94" t="s">
        <v>133</v>
      </c>
      <c r="Z94">
        <v>-9854000</v>
      </c>
      <c r="AA94" t="s">
        <v>133</v>
      </c>
      <c r="AB94" t="s">
        <v>133</v>
      </c>
      <c r="AC94">
        <v>-3010000</v>
      </c>
      <c r="AD94" t="s">
        <v>133</v>
      </c>
      <c r="AE94" t="s">
        <v>133</v>
      </c>
      <c r="AF94" t="s">
        <v>133</v>
      </c>
      <c r="AG94">
        <v>-123315000</v>
      </c>
      <c r="AH94">
        <v>-75591000</v>
      </c>
      <c r="AI94" t="s">
        <v>133</v>
      </c>
      <c r="AJ94" t="s">
        <v>133</v>
      </c>
    </row>
    <row r="95" spans="1:36" x14ac:dyDescent="0.25">
      <c r="A95" t="s">
        <v>208</v>
      </c>
      <c r="B95" t="s">
        <v>133</v>
      </c>
      <c r="C95" t="s">
        <v>133</v>
      </c>
      <c r="D95" t="s">
        <v>133</v>
      </c>
      <c r="E95" t="s">
        <v>133</v>
      </c>
      <c r="F95" t="s">
        <v>133</v>
      </c>
      <c r="G95" t="s">
        <v>133</v>
      </c>
      <c r="H95" t="s">
        <v>133</v>
      </c>
      <c r="I95" t="s">
        <v>133</v>
      </c>
      <c r="J95" t="s">
        <v>133</v>
      </c>
      <c r="K95">
        <v>-11510000</v>
      </c>
      <c r="L95" t="s">
        <v>133</v>
      </c>
      <c r="M95" t="s">
        <v>133</v>
      </c>
      <c r="N95" t="s">
        <v>133</v>
      </c>
      <c r="O95">
        <v>-16187000</v>
      </c>
      <c r="P95" t="s">
        <v>133</v>
      </c>
      <c r="Q95" t="s">
        <v>133</v>
      </c>
      <c r="R95" t="s">
        <v>133</v>
      </c>
      <c r="S95">
        <v>-32135000</v>
      </c>
      <c r="T95" t="s">
        <v>133</v>
      </c>
      <c r="U95">
        <v>-238000</v>
      </c>
      <c r="V95" t="s">
        <v>133</v>
      </c>
      <c r="W95">
        <v>-43164000</v>
      </c>
      <c r="X95" t="s">
        <v>133</v>
      </c>
      <c r="Y95" t="s">
        <v>133</v>
      </c>
      <c r="Z95" t="s">
        <v>133</v>
      </c>
      <c r="AA95">
        <v>-76140000</v>
      </c>
      <c r="AB95" t="s">
        <v>133</v>
      </c>
      <c r="AC95" t="s">
        <v>133</v>
      </c>
      <c r="AD95" t="s">
        <v>133</v>
      </c>
      <c r="AE95">
        <v>-144382000</v>
      </c>
      <c r="AF95" t="s">
        <v>133</v>
      </c>
      <c r="AG95" t="s">
        <v>133</v>
      </c>
      <c r="AH95" t="s">
        <v>133</v>
      </c>
      <c r="AI95">
        <v>-303167000</v>
      </c>
      <c r="AJ95" t="s">
        <v>133</v>
      </c>
    </row>
    <row r="96" spans="1:36" x14ac:dyDescent="0.25">
      <c r="A96" t="s">
        <v>209</v>
      </c>
      <c r="B96">
        <v>5000</v>
      </c>
      <c r="C96">
        <v>-1000</v>
      </c>
      <c r="D96" t="s">
        <v>133</v>
      </c>
      <c r="E96">
        <v>-2498962</v>
      </c>
      <c r="F96">
        <v>-4000</v>
      </c>
      <c r="G96">
        <v>-1000</v>
      </c>
      <c r="H96" t="s">
        <v>133</v>
      </c>
      <c r="I96">
        <v>1000</v>
      </c>
      <c r="J96">
        <v>9180000</v>
      </c>
      <c r="K96">
        <v>-308000</v>
      </c>
      <c r="L96">
        <v>-262000</v>
      </c>
      <c r="M96">
        <v>-40000</v>
      </c>
      <c r="N96" t="s">
        <v>133</v>
      </c>
      <c r="O96" t="s">
        <v>133</v>
      </c>
      <c r="P96" t="s">
        <v>133</v>
      </c>
      <c r="Q96" t="s">
        <v>133</v>
      </c>
      <c r="R96" t="s">
        <v>133</v>
      </c>
      <c r="S96" t="s">
        <v>133</v>
      </c>
      <c r="T96" t="s">
        <v>133</v>
      </c>
      <c r="U96" t="s">
        <v>133</v>
      </c>
      <c r="V96" t="s">
        <v>133</v>
      </c>
      <c r="W96">
        <v>-809000</v>
      </c>
      <c r="X96">
        <v>-841000</v>
      </c>
      <c r="Y96">
        <v>-1201000</v>
      </c>
      <c r="Z96">
        <v>-1254000</v>
      </c>
      <c r="AA96">
        <v>-1031000</v>
      </c>
      <c r="AB96">
        <v>-1108000</v>
      </c>
      <c r="AC96">
        <v>-1666000</v>
      </c>
      <c r="AD96">
        <v>-2422000</v>
      </c>
      <c r="AE96">
        <v>-2751000</v>
      </c>
      <c r="AF96">
        <v>-3840000</v>
      </c>
      <c r="AG96">
        <v>-3821000</v>
      </c>
      <c r="AH96">
        <v>-3480000</v>
      </c>
      <c r="AI96">
        <v>-3721000</v>
      </c>
      <c r="AJ96">
        <v>-4980000</v>
      </c>
    </row>
    <row r="97" spans="1:36" x14ac:dyDescent="0.25">
      <c r="A97" t="s">
        <v>210</v>
      </c>
      <c r="B97">
        <v>5000</v>
      </c>
      <c r="C97">
        <v>-1000</v>
      </c>
      <c r="D97">
        <v>-3001000</v>
      </c>
      <c r="E97">
        <v>-2498962</v>
      </c>
      <c r="F97">
        <v>9000</v>
      </c>
      <c r="G97">
        <v>-1000</v>
      </c>
      <c r="H97">
        <v>-12000</v>
      </c>
      <c r="I97">
        <v>-258000</v>
      </c>
      <c r="J97">
        <v>9180000</v>
      </c>
      <c r="K97">
        <v>-11818000</v>
      </c>
      <c r="L97">
        <v>-262000</v>
      </c>
      <c r="M97">
        <v>336000</v>
      </c>
      <c r="N97" t="s">
        <v>133</v>
      </c>
      <c r="O97">
        <v>-16426000</v>
      </c>
      <c r="P97">
        <v>-213000</v>
      </c>
      <c r="Q97">
        <v>-57000</v>
      </c>
      <c r="R97">
        <v>-227000</v>
      </c>
      <c r="S97">
        <v>-32372000</v>
      </c>
      <c r="T97">
        <v>565000</v>
      </c>
      <c r="U97">
        <v>-610000</v>
      </c>
      <c r="V97">
        <v>-377000</v>
      </c>
      <c r="W97">
        <v>-44223000</v>
      </c>
      <c r="X97">
        <v>10642000</v>
      </c>
      <c r="Y97">
        <v>-1439000</v>
      </c>
      <c r="Z97">
        <v>-6768000</v>
      </c>
      <c r="AA97">
        <v>-77410000</v>
      </c>
      <c r="AB97">
        <v>-1348000</v>
      </c>
      <c r="AC97">
        <v>-194384000</v>
      </c>
      <c r="AD97">
        <v>15169000</v>
      </c>
      <c r="AE97">
        <v>-142751000</v>
      </c>
      <c r="AF97">
        <v>6926000</v>
      </c>
      <c r="AG97">
        <v>-127860000</v>
      </c>
      <c r="AH97">
        <v>-80084000</v>
      </c>
      <c r="AI97">
        <v>-307124000</v>
      </c>
      <c r="AJ97">
        <v>-5146000</v>
      </c>
    </row>
    <row r="98" spans="1:36" x14ac:dyDescent="0.25">
      <c r="A98" t="s">
        <v>211</v>
      </c>
      <c r="B98" t="s">
        <v>133</v>
      </c>
      <c r="C98" t="s">
        <v>133</v>
      </c>
      <c r="D98" t="s">
        <v>133</v>
      </c>
      <c r="E98" t="s">
        <v>133</v>
      </c>
      <c r="F98" t="s">
        <v>133</v>
      </c>
      <c r="G98" t="s">
        <v>133</v>
      </c>
      <c r="H98" t="s">
        <v>133</v>
      </c>
      <c r="I98" t="s">
        <v>133</v>
      </c>
      <c r="J98" t="s">
        <v>133</v>
      </c>
      <c r="K98" t="s">
        <v>133</v>
      </c>
      <c r="L98" t="s">
        <v>133</v>
      </c>
      <c r="M98" t="s">
        <v>133</v>
      </c>
      <c r="N98" t="s">
        <v>133</v>
      </c>
      <c r="O98" t="s">
        <v>133</v>
      </c>
      <c r="P98" t="s">
        <v>133</v>
      </c>
      <c r="Q98" t="s">
        <v>133</v>
      </c>
      <c r="R98">
        <v>30000</v>
      </c>
      <c r="S98">
        <v>49000</v>
      </c>
      <c r="T98">
        <v>-118000</v>
      </c>
      <c r="U98">
        <v>-24000</v>
      </c>
      <c r="V98">
        <v>119000</v>
      </c>
      <c r="W98">
        <v>-241000</v>
      </c>
      <c r="X98">
        <v>287000</v>
      </c>
      <c r="Y98">
        <v>106000</v>
      </c>
      <c r="Z98">
        <v>-11000</v>
      </c>
      <c r="AA98">
        <v>-371000</v>
      </c>
      <c r="AB98">
        <v>-1583000</v>
      </c>
      <c r="AC98">
        <v>-1842000</v>
      </c>
      <c r="AD98">
        <v>2854000</v>
      </c>
      <c r="AE98">
        <v>-680000</v>
      </c>
      <c r="AF98">
        <v>964000</v>
      </c>
      <c r="AG98">
        <v>1192000</v>
      </c>
      <c r="AH98">
        <v>-34000</v>
      </c>
      <c r="AI98">
        <v>2416000</v>
      </c>
      <c r="AJ98">
        <v>746000</v>
      </c>
    </row>
    <row r="99" spans="1:36" x14ac:dyDescent="0.25">
      <c r="A99" t="s">
        <v>212</v>
      </c>
      <c r="B99">
        <v>599000</v>
      </c>
      <c r="C99">
        <v>2283000</v>
      </c>
      <c r="D99">
        <v>281000</v>
      </c>
      <c r="E99">
        <v>-470956</v>
      </c>
      <c r="F99">
        <v>2495000</v>
      </c>
      <c r="G99">
        <v>584000</v>
      </c>
      <c r="H99">
        <v>4298000</v>
      </c>
      <c r="I99">
        <v>4258000</v>
      </c>
      <c r="J99">
        <v>-8000</v>
      </c>
      <c r="K99">
        <v>-5144000</v>
      </c>
      <c r="L99">
        <v>3026000</v>
      </c>
      <c r="M99">
        <v>8384000</v>
      </c>
      <c r="N99">
        <v>7931000</v>
      </c>
      <c r="O99">
        <v>-5772000</v>
      </c>
      <c r="P99">
        <v>10451000</v>
      </c>
      <c r="Q99">
        <v>10474000</v>
      </c>
      <c r="R99">
        <v>2804000</v>
      </c>
      <c r="S99">
        <v>-14913000</v>
      </c>
      <c r="T99">
        <v>26387000</v>
      </c>
      <c r="U99">
        <v>21403000</v>
      </c>
      <c r="V99">
        <v>18783000</v>
      </c>
      <c r="W99">
        <v>-15054000</v>
      </c>
      <c r="X99">
        <v>52427000</v>
      </c>
      <c r="Y99">
        <v>41412000</v>
      </c>
      <c r="Z99">
        <v>22429000</v>
      </c>
      <c r="AA99">
        <v>7100000</v>
      </c>
      <c r="AB99">
        <v>71154000</v>
      </c>
      <c r="AC99">
        <v>-61528000</v>
      </c>
      <c r="AD99">
        <v>104366000</v>
      </c>
      <c r="AE99">
        <v>-125649000</v>
      </c>
      <c r="AF99">
        <v>191539000</v>
      </c>
      <c r="AG99">
        <v>29501000</v>
      </c>
      <c r="AH99">
        <v>18084000</v>
      </c>
      <c r="AI99">
        <v>-145601000</v>
      </c>
      <c r="AJ99">
        <v>25751000</v>
      </c>
    </row>
    <row r="100" spans="1:36" x14ac:dyDescent="0.25">
      <c r="A100" t="s">
        <v>213</v>
      </c>
      <c r="B100">
        <v>6201000</v>
      </c>
      <c r="C100">
        <v>8485000</v>
      </c>
      <c r="D100">
        <v>8766000</v>
      </c>
      <c r="E100">
        <v>8295044</v>
      </c>
      <c r="F100">
        <v>10790000</v>
      </c>
      <c r="G100">
        <v>11374000</v>
      </c>
      <c r="H100">
        <v>15672000</v>
      </c>
      <c r="I100">
        <v>19930000</v>
      </c>
      <c r="J100">
        <v>19922000</v>
      </c>
      <c r="K100">
        <v>14778000</v>
      </c>
      <c r="L100">
        <v>17804000</v>
      </c>
      <c r="M100">
        <v>26188000</v>
      </c>
      <c r="N100">
        <v>34119000</v>
      </c>
      <c r="O100">
        <v>28347000</v>
      </c>
      <c r="P100">
        <v>38798000</v>
      </c>
      <c r="Q100">
        <v>49272000</v>
      </c>
      <c r="R100">
        <v>52076000</v>
      </c>
      <c r="S100">
        <v>37163000</v>
      </c>
      <c r="T100">
        <v>63548000</v>
      </c>
      <c r="U100">
        <v>84951000</v>
      </c>
      <c r="V100">
        <v>103734000</v>
      </c>
      <c r="W100">
        <v>88680000</v>
      </c>
      <c r="X100">
        <v>141108000</v>
      </c>
      <c r="Y100">
        <v>182520000</v>
      </c>
      <c r="Z100">
        <v>204949000</v>
      </c>
      <c r="AA100">
        <v>212049000</v>
      </c>
      <c r="AB100">
        <v>283203000</v>
      </c>
      <c r="AC100">
        <v>221675000</v>
      </c>
      <c r="AD100">
        <v>326041000</v>
      </c>
      <c r="AE100">
        <v>200392000</v>
      </c>
      <c r="AF100">
        <v>391931000</v>
      </c>
      <c r="AG100">
        <v>421432000</v>
      </c>
      <c r="AH100">
        <v>439516000</v>
      </c>
      <c r="AI100">
        <v>293915000</v>
      </c>
      <c r="AJ100">
        <v>319666000</v>
      </c>
    </row>
    <row r="101" spans="1:36" x14ac:dyDescent="0.25">
      <c r="A101" t="s">
        <v>214</v>
      </c>
      <c r="B101">
        <v>5602000</v>
      </c>
      <c r="C101">
        <v>6202000</v>
      </c>
      <c r="D101">
        <v>8485000</v>
      </c>
      <c r="E101">
        <v>8766000</v>
      </c>
      <c r="F101">
        <v>8295000</v>
      </c>
      <c r="G101">
        <v>10790000</v>
      </c>
      <c r="H101">
        <v>11374000</v>
      </c>
      <c r="I101">
        <v>15672000</v>
      </c>
      <c r="J101">
        <v>19930000</v>
      </c>
      <c r="K101">
        <v>19922000</v>
      </c>
      <c r="L101">
        <v>14778000</v>
      </c>
      <c r="M101">
        <v>17804000</v>
      </c>
      <c r="N101">
        <v>26188000</v>
      </c>
      <c r="O101">
        <v>34119000</v>
      </c>
      <c r="P101">
        <v>28347000</v>
      </c>
      <c r="Q101">
        <v>38798000</v>
      </c>
      <c r="R101">
        <v>49272000</v>
      </c>
      <c r="S101">
        <v>52076000</v>
      </c>
      <c r="T101">
        <v>37161000</v>
      </c>
      <c r="U101">
        <v>63548000</v>
      </c>
      <c r="V101">
        <v>84951000</v>
      </c>
      <c r="W101">
        <v>103734000</v>
      </c>
      <c r="X101">
        <v>88681000</v>
      </c>
      <c r="Y101">
        <v>141108000</v>
      </c>
      <c r="Z101">
        <v>182520000</v>
      </c>
      <c r="AA101">
        <v>204949000</v>
      </c>
      <c r="AB101">
        <v>212049000</v>
      </c>
      <c r="AC101">
        <v>283203000</v>
      </c>
      <c r="AD101">
        <v>221675000</v>
      </c>
      <c r="AE101">
        <v>326041000</v>
      </c>
      <c r="AF101">
        <v>200392000</v>
      </c>
      <c r="AG101">
        <v>391931000</v>
      </c>
      <c r="AH101">
        <v>421432000</v>
      </c>
      <c r="AI101">
        <v>439516000</v>
      </c>
      <c r="AJ101">
        <v>293915000</v>
      </c>
    </row>
    <row r="102" spans="1:36" x14ac:dyDescent="0.25">
      <c r="A102" t="s">
        <v>11</v>
      </c>
      <c r="B102">
        <v>594000</v>
      </c>
      <c r="C102">
        <v>2283000</v>
      </c>
      <c r="D102">
        <v>3282000</v>
      </c>
      <c r="E102">
        <v>2092108</v>
      </c>
      <c r="F102">
        <v>2486000</v>
      </c>
      <c r="G102">
        <v>584000</v>
      </c>
      <c r="H102">
        <v>4311000</v>
      </c>
      <c r="I102">
        <v>4571000</v>
      </c>
      <c r="J102">
        <v>-9189000</v>
      </c>
      <c r="K102">
        <v>6673000</v>
      </c>
      <c r="L102">
        <v>3288000</v>
      </c>
      <c r="M102">
        <v>8072000</v>
      </c>
      <c r="N102">
        <v>7931000</v>
      </c>
      <c r="O102">
        <v>10927000</v>
      </c>
      <c r="P102">
        <v>10930000</v>
      </c>
      <c r="Q102">
        <v>11531000</v>
      </c>
      <c r="R102">
        <v>5670000</v>
      </c>
      <c r="S102">
        <v>17757000</v>
      </c>
      <c r="T102">
        <v>26350000</v>
      </c>
      <c r="U102">
        <v>17130000</v>
      </c>
      <c r="V102">
        <v>19119000</v>
      </c>
      <c r="W102">
        <v>29466000</v>
      </c>
      <c r="X102">
        <v>41464000</v>
      </c>
      <c r="Y102">
        <v>44601000</v>
      </c>
      <c r="Z102">
        <v>30672000</v>
      </c>
      <c r="AA102">
        <v>85339000</v>
      </c>
      <c r="AB102">
        <v>74452000</v>
      </c>
      <c r="AC102">
        <v>88702000</v>
      </c>
      <c r="AD102">
        <v>88584000</v>
      </c>
      <c r="AE102">
        <v>112988000</v>
      </c>
      <c r="AF102">
        <v>180812000</v>
      </c>
      <c r="AG102">
        <v>156149000</v>
      </c>
      <c r="AH102">
        <v>173191000</v>
      </c>
      <c r="AI102">
        <v>161526000</v>
      </c>
      <c r="AJ102">
        <v>213617000</v>
      </c>
    </row>
    <row r="103" spans="1:36" x14ac:dyDescent="0.25">
      <c r="A103" t="s">
        <v>155</v>
      </c>
      <c r="B103" t="s">
        <v>133</v>
      </c>
      <c r="C103" t="s">
        <v>133</v>
      </c>
      <c r="D103" t="s">
        <v>133</v>
      </c>
      <c r="E103" t="s">
        <v>133</v>
      </c>
      <c r="F103" t="s">
        <v>133</v>
      </c>
      <c r="G103" t="s">
        <v>133</v>
      </c>
      <c r="H103" t="s">
        <v>133</v>
      </c>
      <c r="I103" t="s">
        <v>133</v>
      </c>
      <c r="J103" t="s">
        <v>133</v>
      </c>
      <c r="K103" t="s">
        <v>133</v>
      </c>
      <c r="L103" t="s">
        <v>133</v>
      </c>
      <c r="M103" t="s">
        <v>133</v>
      </c>
      <c r="N103" t="s">
        <v>133</v>
      </c>
      <c r="O103" t="s">
        <v>133</v>
      </c>
      <c r="P103" t="s">
        <v>133</v>
      </c>
      <c r="Q103" t="s">
        <v>133</v>
      </c>
      <c r="R103" t="s">
        <v>133</v>
      </c>
      <c r="S103" t="s">
        <v>133</v>
      </c>
      <c r="T103" t="s">
        <v>133</v>
      </c>
      <c r="U103" t="s">
        <v>133</v>
      </c>
      <c r="V103" t="s">
        <v>133</v>
      </c>
      <c r="W103" t="s">
        <v>133</v>
      </c>
      <c r="X103" t="s">
        <v>133</v>
      </c>
      <c r="Y103" t="s">
        <v>133</v>
      </c>
      <c r="Z103" t="s">
        <v>133</v>
      </c>
      <c r="AA103" t="s">
        <v>133</v>
      </c>
      <c r="AB103" t="s">
        <v>133</v>
      </c>
      <c r="AC103" t="s">
        <v>133</v>
      </c>
      <c r="AD103" t="s">
        <v>133</v>
      </c>
      <c r="AE103" t="s">
        <v>133</v>
      </c>
      <c r="AF103" t="s">
        <v>133</v>
      </c>
      <c r="AG103" t="s">
        <v>133</v>
      </c>
      <c r="AH103" t="s">
        <v>133</v>
      </c>
      <c r="AI103" t="s">
        <v>133</v>
      </c>
      <c r="AJ103" t="s">
        <v>133</v>
      </c>
    </row>
    <row r="104" spans="1:36" x14ac:dyDescent="0.25">
      <c r="A104" t="s">
        <v>215</v>
      </c>
      <c r="B104">
        <v>1.377</v>
      </c>
      <c r="C104">
        <v>1.3691</v>
      </c>
      <c r="D104">
        <v>1.2630999999999999</v>
      </c>
      <c r="E104">
        <v>1.2097</v>
      </c>
      <c r="F104">
        <v>1.073</v>
      </c>
      <c r="G104">
        <v>1.1134999999999999</v>
      </c>
      <c r="H104">
        <v>1.1175999999999999</v>
      </c>
      <c r="I104">
        <v>1.0860000000000001</v>
      </c>
      <c r="J104">
        <v>1.1377999999999999</v>
      </c>
      <c r="K104">
        <v>1.1104000000000001</v>
      </c>
      <c r="L104">
        <v>1.1237999999999999</v>
      </c>
      <c r="M104">
        <v>1.0512999999999999</v>
      </c>
      <c r="N104">
        <v>1.0649</v>
      </c>
      <c r="O104">
        <v>1.1423000000000001</v>
      </c>
      <c r="P104">
        <v>1.1812</v>
      </c>
      <c r="Q104">
        <v>1.1996</v>
      </c>
      <c r="R104">
        <v>1.2321</v>
      </c>
      <c r="S104">
        <v>1.1682999999999999</v>
      </c>
      <c r="T104">
        <v>1.1608000000000001</v>
      </c>
      <c r="U104">
        <v>1.1469</v>
      </c>
      <c r="V104">
        <v>1.1216999999999999</v>
      </c>
      <c r="W104">
        <v>1.1368</v>
      </c>
      <c r="X104">
        <v>1.0898000000000001</v>
      </c>
      <c r="Y104">
        <v>1.121</v>
      </c>
      <c r="Z104">
        <v>1.1029</v>
      </c>
      <c r="AA104">
        <v>1.1231</v>
      </c>
      <c r="AB104">
        <v>1.1718</v>
      </c>
      <c r="AC104">
        <v>1.2213000000000001</v>
      </c>
      <c r="AD104">
        <v>1.1728000000000001</v>
      </c>
      <c r="AE104">
        <v>1.1855</v>
      </c>
      <c r="AF104">
        <v>1.1580999999999999</v>
      </c>
      <c r="AG104">
        <v>1.1368</v>
      </c>
      <c r="AH104">
        <v>1.1065</v>
      </c>
      <c r="AI104">
        <v>1.0589999999999999</v>
      </c>
      <c r="AJ104">
        <v>1.0589999999999999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Bible</vt:lpstr>
      <vt:lpstr>Options</vt:lpstr>
      <vt:lpstr>Processed</vt:lpstr>
      <vt:lpstr>Dump</vt:lpstr>
      <vt:lpstr>DumpQ</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2023-01-14T13:08:33Z</dcterms:modified>
</cp:coreProperties>
</file>