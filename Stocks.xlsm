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
    </mc:Choice>
  </mc:AlternateContent>
  <xr:revisionPtr revIDLastSave="0" documentId="13_ncr:1_{CD26EBA0-8026-445F-91BD-DBCFDB14D38F}" xr6:coauthVersionLast="47" xr6:coauthVersionMax="47" xr10:uidLastSave="{00000000-0000-0000-0000-000000000000}"/>
  <bookViews>
    <workbookView xWindow="-120" yWindow="-120" windowWidth="28110" windowHeight="16440" activeTab="5" xr2:uid="{00000000-000D-0000-FFFF-FFFF00000000}"/>
  </bookViews>
  <sheets>
    <sheet name="Financials" sheetId="4" r:id="rId1"/>
    <sheet name="Tracking" sheetId="7" r:id="rId2"/>
    <sheet name="Bible" sheetId="6" r:id="rId3"/>
    <sheet name="Options" sheetId="5" r:id="rId4"/>
    <sheet name="Processed" sheetId="3" r:id="rId5"/>
    <sheet name="Dump" sheetId="2" r:id="rId6"/>
  </sheets>
  <calcPr calcId="191029"/>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7" i="7" l="1"/>
  <c r="T14" i="4" l="1"/>
  <c r="AE16" i="4" l="1"/>
  <c r="E28" i="7" a="1"/>
  <c r="E28" i="7" s="1"/>
  <c r="C28" i="7" a="1"/>
  <c r="C28" i="7" s="1"/>
  <c r="A28" i="7" a="1"/>
  <c r="A28" i="7" s="1"/>
  <c r="E3" i="7" a="1"/>
  <c r="E3" i="7" s="1"/>
  <c r="G3" i="7" s="1"/>
  <c r="E23" i="7" a="1"/>
  <c r="E23" i="7" s="1"/>
  <c r="C23" i="7" a="1"/>
  <c r="C23" i="7" s="1"/>
  <c r="A23" i="7" a="1"/>
  <c r="A23" i="7" s="1"/>
  <c r="E19" i="7" a="1"/>
  <c r="E19" i="7" s="1"/>
  <c r="C19" i="7" a="1"/>
  <c r="C19" i="7" s="1"/>
  <c r="A19" i="7" a="1"/>
  <c r="A19" i="7" s="1"/>
  <c r="T34" i="7"/>
  <c r="Q34" i="7"/>
  <c r="P34" i="7"/>
  <c r="O34" i="7"/>
  <c r="N34" i="7"/>
  <c r="M34" i="7"/>
  <c r="L34" i="7"/>
  <c r="I34" i="7"/>
  <c r="B34" i="7"/>
  <c r="E26" i="7" a="1"/>
  <c r="E26" i="7" s="1"/>
  <c r="C26" i="7" a="1"/>
  <c r="C26" i="7" s="1"/>
  <c r="A26" i="7" a="1"/>
  <c r="A26" i="7" s="1"/>
  <c r="H23" i="7" l="1"/>
  <c r="G23" i="7"/>
  <c r="H26" i="7"/>
  <c r="G26" i="7"/>
  <c r="H28" i="7"/>
  <c r="G28" i="7"/>
  <c r="H19" i="7"/>
  <c r="G19" i="7"/>
  <c r="E13" i="7" a="1"/>
  <c r="E13" i="7" s="1"/>
  <c r="C13" i="7" a="1"/>
  <c r="C13" i="7" s="1"/>
  <c r="A13" i="7" a="1"/>
  <c r="A13" i="7" s="1"/>
  <c r="I2" i="4" a="1"/>
  <c r="I2" i="4"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H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H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A12" i="4"/>
  <c r="A6" i="4"/>
  <c r="R34" i="4"/>
  <c r="R47" i="4"/>
  <c r="U54" i="4"/>
  <c r="T54" i="4"/>
  <c r="S54" i="4"/>
  <c r="R54" i="4"/>
  <c r="R53" i="4"/>
  <c r="R52" i="4"/>
  <c r="R51" i="4"/>
  <c r="R50" i="4"/>
  <c r="U34" i="4"/>
  <c r="T34" i="4"/>
  <c r="S34" i="4"/>
  <c r="AD4" i="4"/>
  <c r="AD5" i="4" s="1"/>
  <c r="J5" i="4" a="1"/>
  <c r="J5" i="4" s="1"/>
  <c r="N8" i="4" s="1"/>
  <c r="N9" i="4"/>
  <c r="K9" i="4" a="1"/>
  <c r="K9" i="4" s="1"/>
  <c r="K8" i="4" a="1"/>
  <c r="K8" i="4" s="1"/>
  <c r="M6" i="4" a="1"/>
  <c r="M6" i="4" s="1"/>
  <c r="L6" i="4" a="1"/>
  <c r="L6" i="4" s="1"/>
  <c r="L2" i="4" a="1"/>
  <c r="L2" i="4" s="1"/>
  <c r="D4" i="4" a="1"/>
  <c r="D4" i="4" s="1"/>
  <c r="U21" i="4"/>
  <c r="T21" i="4"/>
  <c r="S21" i="4"/>
  <c r="R21" i="4"/>
  <c r="U23" i="4"/>
  <c r="T23" i="4"/>
  <c r="S23" i="4"/>
  <c r="R23" i="4"/>
  <c r="U22" i="4"/>
  <c r="T22" i="4"/>
  <c r="S22" i="4"/>
  <c r="R22" i="4"/>
  <c r="U52" i="4"/>
  <c r="T52" i="4"/>
  <c r="S52" i="4"/>
  <c r="U51" i="4"/>
  <c r="T51" i="4"/>
  <c r="S51" i="4"/>
  <c r="U50" i="4"/>
  <c r="T50" i="4"/>
  <c r="S50" i="4"/>
  <c r="U33" i="4"/>
  <c r="T33" i="4"/>
  <c r="S33" i="4"/>
  <c r="R33" i="4"/>
  <c r="U32" i="4"/>
  <c r="T32" i="4"/>
  <c r="S32" i="4"/>
  <c r="R32" i="4"/>
  <c r="U47" i="4"/>
  <c r="T47" i="4"/>
  <c r="S47" i="4"/>
  <c r="U46" i="4"/>
  <c r="T46" i="4"/>
  <c r="S46" i="4"/>
  <c r="R46" i="4"/>
  <c r="U45" i="4"/>
  <c r="T45" i="4"/>
  <c r="S45" i="4"/>
  <c r="R45" i="4"/>
  <c r="U44" i="4"/>
  <c r="T44" i="4"/>
  <c r="S44" i="4"/>
  <c r="R44" i="4"/>
  <c r="U43" i="4"/>
  <c r="T43" i="4"/>
  <c r="S43" i="4"/>
  <c r="R43" i="4"/>
  <c r="U42" i="4"/>
  <c r="T42" i="4"/>
  <c r="S42" i="4"/>
  <c r="R42" i="4"/>
  <c r="U41" i="4"/>
  <c r="T41" i="4"/>
  <c r="S41" i="4"/>
  <c r="R41" i="4"/>
  <c r="U40" i="4"/>
  <c r="T40" i="4"/>
  <c r="S40" i="4"/>
  <c r="R40" i="4"/>
  <c r="U39" i="4"/>
  <c r="T39" i="4"/>
  <c r="S39" i="4"/>
  <c r="R39" i="4"/>
  <c r="U38" i="4"/>
  <c r="T38" i="4"/>
  <c r="S38" i="4"/>
  <c r="R38" i="4"/>
  <c r="U37" i="4"/>
  <c r="T37" i="4"/>
  <c r="S37" i="4"/>
  <c r="R37" i="4"/>
  <c r="U30" i="4"/>
  <c r="T30" i="4"/>
  <c r="A9" i="4" s="1"/>
  <c r="S30" i="4"/>
  <c r="R30" i="4"/>
  <c r="U29" i="4"/>
  <c r="T29" i="4"/>
  <c r="S29" i="4"/>
  <c r="R29" i="4"/>
  <c r="R28" i="4"/>
  <c r="S28" i="4"/>
  <c r="T28" i="4"/>
  <c r="U28" i="4"/>
  <c r="U27" i="4"/>
  <c r="T27" i="4"/>
  <c r="S27" i="4"/>
  <c r="R27" i="4"/>
  <c r="U26" i="4"/>
  <c r="T26" i="4"/>
  <c r="S26" i="4"/>
  <c r="R26" i="4"/>
  <c r="U25" i="4"/>
  <c r="T25" i="4"/>
  <c r="S25" i="4"/>
  <c r="R25" i="4"/>
  <c r="U24" i="4"/>
  <c r="T24" i="4"/>
  <c r="S24" i="4"/>
  <c r="R24" i="4"/>
  <c r="U31" i="4"/>
  <c r="T31" i="4"/>
  <c r="S31" i="4"/>
  <c r="R31" i="4"/>
  <c r="H32" i="7" l="1"/>
  <c r="G32" i="7"/>
  <c r="H14" i="7"/>
  <c r="G14" i="7"/>
  <c r="H30" i="7"/>
  <c r="G30" i="7"/>
  <c r="H29" i="7"/>
  <c r="G29" i="7"/>
  <c r="H8" i="7"/>
  <c r="G8" i="7"/>
  <c r="H16" i="7"/>
  <c r="G16" i="7"/>
  <c r="H5" i="7"/>
  <c r="G5" i="7"/>
  <c r="H11" i="7"/>
  <c r="G11" i="7"/>
  <c r="H9" i="7"/>
  <c r="G9" i="7"/>
  <c r="H27" i="7"/>
  <c r="G27" i="7"/>
  <c r="H15" i="7"/>
  <c r="G15" i="7"/>
  <c r="H2" i="7"/>
  <c r="G2" i="7"/>
  <c r="H22" i="7"/>
  <c r="G22" i="7"/>
  <c r="H33" i="7"/>
  <c r="G33" i="7"/>
  <c r="H10" i="7"/>
  <c r="G10" i="7"/>
  <c r="H6" i="7"/>
  <c r="G6" i="7"/>
  <c r="H20" i="7"/>
  <c r="G20" i="7"/>
  <c r="H4" i="7"/>
  <c r="G4" i="7"/>
  <c r="H25" i="7"/>
  <c r="G25" i="7"/>
  <c r="H7" i="7"/>
  <c r="G7" i="7"/>
  <c r="H18" i="7"/>
  <c r="G18" i="7"/>
  <c r="H31" i="7"/>
  <c r="G31" i="7"/>
  <c r="H12" i="7"/>
  <c r="G12" i="7"/>
  <c r="H21" i="7"/>
  <c r="G21" i="7"/>
  <c r="H24" i="7"/>
  <c r="G24" i="7"/>
  <c r="H13" i="7"/>
  <c r="G13" i="7"/>
  <c r="K17" i="4"/>
  <c r="S7" i="4" s="1"/>
  <c r="H34" i="7"/>
  <c r="R5" i="4"/>
  <c r="U55" i="4"/>
  <c r="S55" i="4"/>
  <c r="R55" i="4"/>
  <c r="T55" i="4"/>
  <c r="U53" i="4"/>
  <c r="S53" i="4"/>
  <c r="T53" i="4"/>
  <c r="AD6" i="4"/>
  <c r="S5" i="4"/>
  <c r="R7" i="4" l="1"/>
  <c r="U7" i="4"/>
  <c r="A15" i="4" s="1"/>
  <c r="T7" i="4"/>
  <c r="AD7" i="4"/>
  <c r="T5" i="4"/>
  <c r="U5" i="4"/>
  <c r="AD8" i="4" l="1"/>
  <c r="AD9" i="4" s="1"/>
  <c r="AD10" i="4" s="1"/>
  <c r="AD11" i="4" s="1"/>
  <c r="AD12" i="4" s="1"/>
  <c r="AD13" i="4" s="1"/>
  <c r="AD14" i="4" s="1"/>
  <c r="AE15" i="4" s="1"/>
  <c r="S16" i="4" l="1"/>
  <c r="U17"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1"/>
        </ext>
      </extLst>
    </bk>
  </futureMetadata>
  <cellMetadata count="1">
    <bk>
      <rc t="1" v="0"/>
    </bk>
  </cellMetadata>
  <valueMetadata count="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valueMetadata>
</metadata>
</file>

<file path=xl/sharedStrings.xml><?xml version="1.0" encoding="utf-8"?>
<sst xmlns="http://schemas.openxmlformats.org/spreadsheetml/2006/main" count="709" uniqueCount="218">
  <si>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</si>
  <si>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</si>
  <si>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</si>
  <si>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</si>
  <si>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</si>
  <si>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</si>
  <si>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</si>
  <si>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</si>
  <si>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</si>
  <si>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</si>
  <si>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</si>
  <si>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</si>
  <si>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</si>
  <si>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Book value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</si>
  <si>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</si>
  <si>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</si>
  <si>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</si>
  <si>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</si>
  <si>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</si>
  <si>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</si>
  <si>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</si>
  <si>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</si>
  <si>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</si>
  <si>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</si>
  <si>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</si>
  <si>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</si>
  <si>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</si>
  <si>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</si>
  <si>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</si>
  <si>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</si>
  <si>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</si>
  <si>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</si>
  <si>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</si>
  <si>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</si>
  <si>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</si>
  <si>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</si>
  <si>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</si>
  <si>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</si>
  <si>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</si>
  <si>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</si>
  <si>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</si>
  <si>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</si>
  <si>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</si>
  <si>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</si>
  <si>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</si>
  <si>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</si>
  <si>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</si>
  <si>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</si>
  <si>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</si>
  <si>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</si>
  <si>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</si>
  <si>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</si>
  <si>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</si>
  <si>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</si>
  <si>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</si>
  <si>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</si>
  <si>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</si>
  <si>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</si>
  <si>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</si>
  <si>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</si>
  <si>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</si>
  <si>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</si>
  <si>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</si>
  <si>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</si>
  <si>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</si>
  <si>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</si>
  <si>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</si>
  <si>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</si>
  <si>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</si>
  <si>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</si>
  <si>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</si>
  <si>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</si>
  <si>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</si>
  <si>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How much net income does a company generate with all its capital</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</si>
  <si>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</si>
  <si>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</si>
  <si>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</si>
  <si>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</si>
  <si>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</si>
  <si>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</si>
  <si>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</si>
  <si>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</si>
  <si>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</si>
  <si>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</si>
  <si>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</si>
  <si>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</si>
  <si>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</si>
  <si>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</si>
  <si>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Roic</t>
  </si>
  <si>
    <t>FCF Growth</t>
  </si>
  <si>
    <t>Gross Margin</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</si>
  <si>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</si>
  <si>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</si>
  <si>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</si>
  <si>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</si>
  <si>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</si>
  <si>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</si>
  <si>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</si>
  <si>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</si>
  <si>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</si>
  <si>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</si>
  <si>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</si>
  <si>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</si>
  <si>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</si>
  <si>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</si>
  <si>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</si>
  <si>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</si>
  <si>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</si>
  <si>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</si>
  <si>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</si>
  <si>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</si>
  <si>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</si>
  <si>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</si>
  <si>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</si>
  <si>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</si>
  <si>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</si>
  <si>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</si>
  <si>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</si>
  <si>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</si>
  <si>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Z-Score</t>
  </si>
  <si>
    <t>EBITDA / Net Debt</t>
  </si>
  <si>
    <t>M. Bruto</t>
  </si>
  <si>
    <t>M. Neto</t>
  </si>
  <si>
    <t>Riesgo</t>
  </si>
  <si>
    <t>Δ FCF</t>
  </si>
  <si>
    <t>Δ EPS</t>
  </si>
  <si>
    <t>Δ Rev.</t>
  </si>
  <si>
    <t>Total</t>
  </si>
  <si>
    <t>MALA</t>
  </si>
  <si>
    <t>IR</t>
  </si>
  <si>
    <t>CAGR</t>
  </si>
  <si>
    <t>INCOME STATEMENT</t>
  </si>
  <si>
    <t>COGS</t>
  </si>
  <si>
    <t>- -</t>
  </si>
  <si>
    <t>Gross Profit Ratio</t>
  </si>
  <si>
    <t>Research and Development Exp.</t>
  </si>
  <si>
    <t>General and Administrative Exp.</t>
  </si>
  <si>
    <t>Selling and Marketing Exp.</t>
  </si>
  <si>
    <t>Selling, General and Administrative Exp.</t>
  </si>
  <si>
    <t>Other Expenses</t>
  </si>
  <si>
    <t>Operating Expenses</t>
  </si>
  <si>
    <t>COGS and Expenses</t>
  </si>
  <si>
    <t xml:space="preserve">Interest Income </t>
  </si>
  <si>
    <t>Interest Expense (Gain)</t>
  </si>
  <si>
    <t>Depreciation and Amortization</t>
  </si>
  <si>
    <t>EBITDA ratio</t>
  </si>
  <si>
    <t>Operating Income ratio</t>
  </si>
  <si>
    <t>Total Other Income Expenses (Gains)</t>
  </si>
  <si>
    <t>Income Before Tax</t>
  </si>
  <si>
    <t>Income Before Tax Ratio</t>
  </si>
  <si>
    <t>Income Tax expense (Gain)</t>
  </si>
  <si>
    <t>Net Income ratio</t>
  </si>
  <si>
    <t>EPS Diluted</t>
  </si>
  <si>
    <t>Weighted Average Shares Outstanding</t>
  </si>
  <si>
    <t>Weighted Average Shares Outstanding Diluted</t>
  </si>
  <si>
    <t>SEC Link</t>
  </si>
  <si>
    <t>BALANCE SHEET</t>
  </si>
  <si>
    <t>Cash and Cash Equivalents</t>
  </si>
  <si>
    <t>Net Receivables</t>
  </si>
  <si>
    <t>Inventory</t>
  </si>
  <si>
    <t>Other Current Assets</t>
  </si>
  <si>
    <t>Total Current Assets</t>
  </si>
  <si>
    <t>PP&amp;E</t>
  </si>
  <si>
    <t>Goodwill</t>
  </si>
  <si>
    <t>Intangible Assets</t>
  </si>
  <si>
    <t>Investments</t>
  </si>
  <si>
    <t>Tax Assets</t>
  </si>
  <si>
    <t>Other Non-Current Assets</t>
  </si>
  <si>
    <t>Total Non-Current Assets</t>
  </si>
  <si>
    <t>Other Assets</t>
  </si>
  <si>
    <t>Total Assets</t>
  </si>
  <si>
    <t>Accounts Payable</t>
  </si>
  <si>
    <t>Tax Payable</t>
  </si>
  <si>
    <t>Deferred Revenue</t>
  </si>
  <si>
    <t>Other Current Liabilities</t>
  </si>
  <si>
    <t>Total Current Liabilities</t>
  </si>
  <si>
    <t>Deferred Tax Liabilities</t>
  </si>
  <si>
    <t>Other Non-Current Liabilities</t>
  </si>
  <si>
    <t>Total Non-Current Liabilities</t>
  </si>
  <si>
    <t>Other Liabilities</t>
  </si>
  <si>
    <t>Capital Lease Obligations</t>
  </si>
  <si>
    <t>Total Liabilities</t>
  </si>
  <si>
    <t>Preferred Stock</t>
  </si>
  <si>
    <t>Common Stock</t>
  </si>
  <si>
    <t>Retained Earnings</t>
  </si>
  <si>
    <t>Other Comprehensive Income/Loss</t>
  </si>
  <si>
    <t>Other Total Stockholders Equity</t>
  </si>
  <si>
    <t>Total Stockholders Equity</t>
  </si>
  <si>
    <t>Total Liabilities And Stockholders Equity</t>
  </si>
  <si>
    <t>Minority Interest</t>
  </si>
  <si>
    <t>Total Liabilities &amp; Equity</t>
  </si>
  <si>
    <t>CASH FLOW STATEMENT</t>
  </si>
  <si>
    <t>Deferred Income Tax</t>
  </si>
  <si>
    <t>Stock Based Compensation</t>
  </si>
  <si>
    <t>Change in Working Capital</t>
  </si>
  <si>
    <t>Accounts Receivable</t>
  </si>
  <si>
    <t>Other Working Capital</t>
  </si>
  <si>
    <t>Other Non-Cash Items</t>
  </si>
  <si>
    <t>Cash Provided by Operating Activities</t>
  </si>
  <si>
    <t>CAPEX</t>
  </si>
  <si>
    <t>Acquisitions Net</t>
  </si>
  <si>
    <t>Purchases of Investments</t>
  </si>
  <si>
    <t>Sales/Maturities of Investments</t>
  </si>
  <si>
    <t>Other Investing Activites</t>
  </si>
  <si>
    <t>Cash Used for Investing Activites</t>
  </si>
  <si>
    <t>Debt Repayment</t>
  </si>
  <si>
    <t>Common Stock Issued</t>
  </si>
  <si>
    <t>Common Stock Repurchased</t>
  </si>
  <si>
    <t>Dividends Paid</t>
  </si>
  <si>
    <t>Other Financing Activites</t>
  </si>
  <si>
    <t>Cash Used/Provided by Financing Activities</t>
  </si>
  <si>
    <t>Effect of Forex Changes on Cash</t>
  </si>
  <si>
    <t>Net Change In Cash</t>
  </si>
  <si>
    <t>Cash at the End of Period</t>
  </si>
  <si>
    <t>Cash at the Beginning of Period</t>
  </si>
  <si>
    <t>Forex Rate</t>
  </si>
  <si>
    <t>EVVTY</t>
  </si>
  <si>
    <t>https://roic.ai/company/EVO.ST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</si>
</sst>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0.0"/>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s>
  <fonts count="34"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1"/>
      <color theme="10"/>
      <name val="Calibri"/>
      <family val="2"/>
      <scheme val="min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11"/>
      <color theme="1"/>
      <name val="Calibri"/>
      <family val="2"/>
      <scheme val="min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theme="0" tint="-4.9989318521683403E-2"/>
        <bgColor indexed="64"/>
      </patternFill>
    </fill>
  </fills>
  <borders count="70">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right/>
      <top style="thin">
        <color rgb="FFC0C0C0"/>
      </top>
      <bottom style="thin">
        <color theme="2" tint="-0.249977111117893"/>
      </bottom>
      <diagonal/>
    </border>
    <border>
      <left/>
      <right style="thin">
        <color rgb="FFC0C0C0"/>
      </right>
      <top style="thin">
        <color rgb="FFC0C0C0"/>
      </top>
      <bottom style="thin">
        <color theme="2" tint="-0.249977111117893"/>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style="thin">
        <color theme="2" tint="-9.9978637043366805E-2"/>
      </left>
      <right style="thin">
        <color theme="2" tint="-9.9978637043366805E-2"/>
      </right>
      <top/>
      <bottom style="thin">
        <color theme="2" tint="-9.9978637043366805E-2"/>
      </bottom>
      <diagonal/>
    </border>
    <border>
      <left style="medium">
        <color theme="1" tint="0.499984740745262"/>
      </left>
      <right/>
      <top style="medium">
        <color theme="1" tint="0.499984740745262"/>
      </top>
      <bottom/>
      <diagonal/>
    </border>
    <border>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diagonal/>
    </border>
    <border>
      <left/>
      <right style="medium">
        <color theme="1" tint="0.499984740745262"/>
      </right>
      <top/>
      <bottom/>
      <diagonal/>
    </border>
    <border>
      <left style="medium">
        <color theme="1" tint="0.499984740745262"/>
      </left>
      <right/>
      <top/>
      <bottom style="medium">
        <color theme="1" tint="0.499984740745262"/>
      </bottom>
      <diagonal/>
    </border>
    <border>
      <left/>
      <right/>
      <top/>
      <bottom style="medium">
        <color theme="1" tint="0.499984740745262"/>
      </bottom>
      <diagonal/>
    </border>
    <border>
      <left/>
      <right style="medium">
        <color theme="1" tint="0.499984740745262"/>
      </right>
      <top/>
      <bottom style="medium">
        <color theme="1" tint="0.49998474074526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bottom style="thin">
        <color theme="0" tint="-4.9989318521683403E-2"/>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15">
    <xf numFmtId="0" fontId="0" fillId="0" borderId="0" xfId="0"/>
    <xf numFmtId="3" fontId="0" fillId="0" borderId="0" xfId="0" applyNumberFormat="1"/>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4"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4" fontId="3" fillId="2" borderId="1" xfId="2" applyNumberFormat="1" applyFont="1" applyFill="1" applyBorder="1" applyAlignment="1">
      <alignment horizontal="right" vertical="center"/>
    </xf>
    <xf numFmtId="2" fontId="5" fillId="2" borderId="2" xfId="0" applyNumberFormat="1" applyFont="1" applyFill="1" applyBorder="1" applyAlignment="1">
      <alignment vertical="center"/>
    </xf>
    <xf numFmtId="4" fontId="5" fillId="2" borderId="1" xfId="2" applyNumberFormat="1" applyFont="1" applyFill="1" applyBorder="1" applyAlignment="1">
      <alignment horizontal="right" vertical="center"/>
    </xf>
    <xf numFmtId="4" fontId="5" fillId="2" borderId="1" xfId="0" applyNumberFormat="1" applyFont="1" applyFill="1" applyBorder="1" applyAlignment="1">
      <alignment horizontal="right" vertical="center"/>
    </xf>
    <xf numFmtId="0" fontId="5" fillId="2" borderId="1" xfId="0"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2" fontId="3" fillId="2" borderId="13" xfId="0" applyNumberFormat="1" applyFont="1" applyFill="1" applyBorder="1" applyAlignment="1">
      <alignment vertical="center"/>
    </xf>
    <xf numFmtId="3" fontId="3" fillId="2" borderId="12" xfId="0" applyNumberFormat="1" applyFont="1" applyFill="1" applyBorder="1" applyAlignment="1">
      <alignment horizontal="right" vertical="center"/>
    </xf>
    <xf numFmtId="0" fontId="3" fillId="0" borderId="0" xfId="0" applyFont="1"/>
    <xf numFmtId="3" fontId="3" fillId="2" borderId="0" xfId="0" applyNumberFormat="1" applyFont="1" applyFill="1" applyAlignment="1">
      <alignment horizontal="center" vertical="center"/>
    </xf>
    <xf numFmtId="3" fontId="3" fillId="2" borderId="3" xfId="0" applyNumberFormat="1" applyFont="1" applyFill="1" applyBorder="1" applyAlignment="1">
      <alignment horizontal="center" vertical="center"/>
    </xf>
    <xf numFmtId="0" fontId="3" fillId="2" borderId="5" xfId="0" applyFont="1" applyFill="1" applyBorder="1" applyAlignment="1">
      <alignment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0" fillId="0" borderId="0" xfId="0" applyAlignment="1">
      <alignment horizontal="center" vertical="center"/>
    </xf>
    <xf numFmtId="0" fontId="3" fillId="2" borderId="0" xfId="0" applyFont="1" applyFill="1" applyAlignment="1">
      <alignment horizontal="center"/>
    </xf>
    <xf numFmtId="0" fontId="3" fillId="2" borderId="15" xfId="0" applyFont="1" applyFill="1" applyBorder="1" applyAlignment="1">
      <alignment vertical="center"/>
    </xf>
    <xf numFmtId="0" fontId="3" fillId="2" borderId="17" xfId="0" applyFont="1" applyFill="1" applyBorder="1" applyAlignment="1">
      <alignment vertical="center"/>
    </xf>
    <xf numFmtId="0" fontId="3" fillId="2" borderId="18" xfId="0" applyFont="1" applyFill="1" applyBorder="1" applyAlignment="1">
      <alignment vertical="center"/>
    </xf>
    <xf numFmtId="0" fontId="3" fillId="2" borderId="19" xfId="0" applyFont="1" applyFill="1" applyBorder="1" applyAlignment="1">
      <alignment vertical="center"/>
    </xf>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21" xfId="0" applyFont="1" applyFill="1" applyBorder="1"/>
    <xf numFmtId="0" fontId="3" fillId="2" borderId="22" xfId="0" applyFont="1" applyFill="1" applyBorder="1"/>
    <xf numFmtId="0" fontId="3" fillId="2" borderId="16" xfId="0" applyFont="1" applyFill="1" applyBorder="1" applyAlignment="1">
      <alignment horizontal="center" vertical="center"/>
    </xf>
    <xf numFmtId="9" fontId="3" fillId="2" borderId="1" xfId="2" applyFont="1" applyFill="1" applyBorder="1" applyAlignment="1">
      <alignment horizontal="right" vertical="center"/>
    </xf>
    <xf numFmtId="0" fontId="8" fillId="0" borderId="0" xfId="3" applyFont="1"/>
    <xf numFmtId="0" fontId="1" fillId="0" borderId="0" xfId="0" applyFont="1"/>
    <xf numFmtId="0" fontId="4" fillId="2" borderId="9" xfId="0" applyFont="1" applyFill="1" applyBorder="1" applyAlignment="1">
      <alignment horizontal="center"/>
    </xf>
    <xf numFmtId="0" fontId="4" fillId="2" borderId="9" xfId="0" applyFont="1" applyFill="1" applyBorder="1"/>
    <xf numFmtId="164" fontId="3" fillId="2" borderId="1" xfId="0" applyNumberFormat="1" applyFont="1" applyFill="1" applyBorder="1" applyAlignment="1">
      <alignment horizontal="right" vertical="center"/>
    </xf>
    <xf numFmtId="0" fontId="3" fillId="2" borderId="23" xfId="0" applyFont="1" applyFill="1" applyBorder="1" applyAlignment="1">
      <alignment vertical="center"/>
    </xf>
    <xf numFmtId="0" fontId="3" fillId="2" borderId="24" xfId="0" applyFont="1" applyFill="1" applyBorder="1" applyAlignment="1">
      <alignment vertical="center"/>
    </xf>
    <xf numFmtId="0" fontId="3" fillId="2" borderId="14" xfId="0" applyFont="1" applyFill="1" applyBorder="1" applyAlignment="1">
      <alignment vertical="center"/>
    </xf>
    <xf numFmtId="0" fontId="3" fillId="2" borderId="23" xfId="0" applyFont="1" applyFill="1" applyBorder="1"/>
    <xf numFmtId="0" fontId="3" fillId="2" borderId="24" xfId="0" applyFont="1" applyFill="1" applyBorder="1"/>
    <xf numFmtId="0" fontId="3" fillId="2" borderId="14"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6" xfId="0" applyFont="1" applyFill="1" applyBorder="1"/>
    <xf numFmtId="0" fontId="4" fillId="2" borderId="16" xfId="0" applyFont="1" applyFill="1" applyBorder="1" applyAlignment="1">
      <alignment horizontal="center"/>
    </xf>
    <xf numFmtId="0" fontId="3" fillId="2" borderId="17" xfId="0" applyFont="1" applyFill="1" applyBorder="1"/>
    <xf numFmtId="0" fontId="6" fillId="2" borderId="21" xfId="0" applyFont="1" applyFill="1" applyBorder="1" applyAlignment="1">
      <alignment horizontal="center" vertical="center"/>
    </xf>
    <xf numFmtId="0" fontId="4" fillId="2" borderId="21" xfId="0" applyFont="1" applyFill="1" applyBorder="1" applyAlignment="1">
      <alignment horizontal="center"/>
    </xf>
    <xf numFmtId="0" fontId="3" fillId="2" borderId="25" xfId="0" applyFont="1" applyFill="1" applyBorder="1"/>
    <xf numFmtId="0" fontId="3" fillId="2" borderId="16" xfId="0" applyFont="1" applyFill="1" applyBorder="1" applyAlignment="1">
      <alignment horizontal="left"/>
    </xf>
    <xf numFmtId="165" fontId="3" fillId="2" borderId="0" xfId="1" applyNumberFormat="1" applyFont="1" applyFill="1" applyBorder="1"/>
    <xf numFmtId="0" fontId="4" fillId="2" borderId="19"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6" xfId="0" applyFont="1" applyFill="1" applyBorder="1" applyAlignment="1">
      <alignment horizontal="left" vertical="center"/>
    </xf>
    <xf numFmtId="0" fontId="13" fillId="2" borderId="25"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8" xfId="0" applyFont="1" applyFill="1" applyBorder="1"/>
    <xf numFmtId="0" fontId="3" fillId="2" borderId="11" xfId="0" applyFont="1" applyFill="1" applyBorder="1"/>
    <xf numFmtId="10" fontId="3" fillId="2" borderId="0" xfId="2" applyNumberFormat="1" applyFont="1" applyFill="1" applyBorder="1"/>
    <xf numFmtId="2" fontId="7" fillId="2" borderId="0" xfId="0" applyNumberFormat="1" applyFont="1" applyFill="1" applyAlignment="1">
      <alignment horizontal="left" vertical="top"/>
    </xf>
    <xf numFmtId="0" fontId="3" fillId="2" borderId="0" xfId="0" applyFont="1" applyFill="1" applyAlignment="1">
      <alignment horizontal="left"/>
    </xf>
    <xf numFmtId="166" fontId="7" fillId="2" borderId="0" xfId="0" applyNumberFormat="1" applyFont="1" applyFill="1" applyAlignment="1">
      <alignment horizontal="left" vertical="top"/>
    </xf>
    <xf numFmtId="9" fontId="7" fillId="2" borderId="0" xfId="2" applyFont="1" applyFill="1" applyBorder="1" applyAlignment="1">
      <alignment horizontal="left" vertical="top"/>
    </xf>
    <xf numFmtId="0" fontId="4" fillId="2" borderId="0" xfId="0" applyFont="1" applyFill="1"/>
    <xf numFmtId="0" fontId="14" fillId="0" borderId="0" xfId="0" applyFont="1"/>
    <xf numFmtId="0" fontId="5" fillId="2" borderId="0" xfId="0" applyFont="1" applyFill="1"/>
    <xf numFmtId="3" fontId="3" fillId="2" borderId="0" xfId="0" applyNumberFormat="1" applyFont="1" applyFill="1"/>
    <xf numFmtId="3" fontId="5" fillId="2" borderId="0" xfId="0" applyNumberFormat="1" applyFont="1" applyFill="1"/>
    <xf numFmtId="0" fontId="9"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9" xfId="0" applyFont="1" applyFill="1" applyBorder="1"/>
    <xf numFmtId="0" fontId="3" fillId="2" borderId="15" xfId="0" applyFont="1" applyFill="1" applyBorder="1"/>
    <xf numFmtId="0" fontId="3" fillId="2" borderId="27" xfId="0" applyFont="1" applyFill="1" applyBorder="1"/>
    <xf numFmtId="0" fontId="16"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30" xfId="0" applyFont="1" applyFill="1" applyBorder="1" applyAlignment="1">
      <alignment horizontal="center"/>
    </xf>
    <xf numFmtId="9" fontId="3" fillId="2" borderId="24" xfId="2" applyFont="1" applyFill="1" applyBorder="1" applyAlignment="1">
      <alignment horizontal="center"/>
    </xf>
    <xf numFmtId="9" fontId="3" fillId="2" borderId="24" xfId="0" applyNumberFormat="1" applyFont="1" applyFill="1" applyBorder="1" applyAlignment="1">
      <alignment horizontal="center"/>
    </xf>
    <xf numFmtId="9" fontId="3" fillId="2" borderId="0" xfId="2" applyFont="1" applyFill="1" applyBorder="1" applyAlignment="1">
      <alignment horizontal="left" vertical="top"/>
    </xf>
    <xf numFmtId="167" fontId="3" fillId="2" borderId="24" xfId="0" applyNumberFormat="1" applyFont="1" applyFill="1" applyBorder="1" applyAlignment="1">
      <alignment vertical="center"/>
    </xf>
    <xf numFmtId="165" fontId="13" fillId="2" borderId="0" xfId="0" applyNumberFormat="1" applyFont="1" applyFill="1" applyAlignment="1">
      <alignment horizontal="left" vertical="center"/>
    </xf>
    <xf numFmtId="0" fontId="0" fillId="2" borderId="0" xfId="0" applyFill="1"/>
    <xf numFmtId="0" fontId="0" fillId="2" borderId="31" xfId="0" applyFill="1" applyBorder="1"/>
    <xf numFmtId="0" fontId="0" fillId="2" borderId="32" xfId="0"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38" xfId="0" applyFill="1" applyBorder="1"/>
    <xf numFmtId="3" fontId="6" fillId="2" borderId="0" xfId="0" applyNumberFormat="1" applyFont="1" applyFill="1" applyAlignment="1">
      <alignment horizontal="center" vertical="center"/>
    </xf>
    <xf numFmtId="0" fontId="29" fillId="0" borderId="0" xfId="0" applyFont="1"/>
    <xf numFmtId="0" fontId="18" fillId="5" borderId="14" xfId="0" applyFont="1" applyFill="1" applyBorder="1" applyAlignment="1">
      <alignment wrapText="1"/>
    </xf>
    <xf numFmtId="0" fontId="18" fillId="5" borderId="25" xfId="0" applyFont="1" applyFill="1" applyBorder="1" applyAlignment="1">
      <alignment wrapText="1"/>
    </xf>
    <xf numFmtId="165" fontId="18" fillId="4" borderId="41" xfId="0" applyNumberFormat="1" applyFont="1" applyFill="1" applyBorder="1" applyAlignment="1">
      <alignment horizontal="right" wrapText="1"/>
    </xf>
    <xf numFmtId="168" fontId="18" fillId="4" borderId="41" xfId="0" applyNumberFormat="1" applyFont="1" applyFill="1" applyBorder="1" applyAlignment="1">
      <alignment horizontal="right" wrapText="1"/>
    </xf>
    <xf numFmtId="4" fontId="18" fillId="4" borderId="41" xfId="0" applyNumberFormat="1" applyFont="1" applyFill="1" applyBorder="1" applyAlignment="1">
      <alignment horizontal="right" wrapText="1"/>
    </xf>
    <xf numFmtId="169" fontId="18" fillId="4" borderId="41" xfId="0" applyNumberFormat="1" applyFont="1" applyFill="1" applyBorder="1" applyAlignment="1">
      <alignment horizontal="right" wrapText="1"/>
    </xf>
    <xf numFmtId="0" fontId="19" fillId="9" borderId="39" xfId="0" applyFont="1" applyFill="1" applyBorder="1" applyAlignment="1">
      <alignment horizontal="right" vertical="center" wrapText="1"/>
    </xf>
    <xf numFmtId="0" fontId="20" fillId="9" borderId="39" xfId="0" applyFont="1" applyFill="1" applyBorder="1" applyAlignment="1">
      <alignment horizontal="right" vertical="center" wrapText="1"/>
    </xf>
    <xf numFmtId="0" fontId="21" fillId="9" borderId="39" xfId="0" applyFont="1" applyFill="1" applyBorder="1" applyAlignment="1">
      <alignment horizontal="right" vertical="center" wrapText="1"/>
    </xf>
    <xf numFmtId="0" fontId="24" fillId="9" borderId="39" xfId="0" applyFont="1" applyFill="1" applyBorder="1" applyAlignment="1">
      <alignment horizontal="right" vertical="center" wrapText="1"/>
    </xf>
    <xf numFmtId="10" fontId="19" fillId="9" borderId="39" xfId="0" applyNumberFormat="1" applyFont="1" applyFill="1" applyBorder="1" applyAlignment="1">
      <alignment horizontal="right" vertical="center" wrapText="1"/>
    </xf>
    <xf numFmtId="0" fontId="22" fillId="9" borderId="39" xfId="0" applyFont="1" applyFill="1" applyBorder="1" applyAlignment="1">
      <alignment horizontal="right" vertical="center" wrapText="1"/>
    </xf>
    <xf numFmtId="10" fontId="23" fillId="9" borderId="39" xfId="0" applyNumberFormat="1" applyFont="1" applyFill="1" applyBorder="1" applyAlignment="1">
      <alignment horizontal="right" vertical="center" wrapText="1"/>
    </xf>
    <xf numFmtId="10" fontId="21" fillId="9" borderId="39" xfId="0" applyNumberFormat="1" applyFont="1" applyFill="1" applyBorder="1" applyAlignment="1">
      <alignment horizontal="right" vertical="center" wrapText="1"/>
    </xf>
    <xf numFmtId="0" fontId="23" fillId="9" borderId="39" xfId="0" applyFont="1" applyFill="1" applyBorder="1" applyAlignment="1">
      <alignment horizontal="right" vertical="center" wrapText="1"/>
    </xf>
    <xf numFmtId="10" fontId="25" fillId="9" borderId="39" xfId="0" applyNumberFormat="1" applyFont="1" applyFill="1" applyBorder="1" applyAlignment="1">
      <alignment horizontal="right" vertical="center" wrapText="1"/>
    </xf>
    <xf numFmtId="10" fontId="22" fillId="9" borderId="39" xfId="0" applyNumberFormat="1" applyFont="1" applyFill="1" applyBorder="1" applyAlignment="1">
      <alignment horizontal="right" vertical="center" wrapText="1"/>
    </xf>
    <xf numFmtId="10" fontId="21" fillId="9" borderId="40" xfId="0" applyNumberFormat="1" applyFont="1" applyFill="1" applyBorder="1" applyAlignment="1">
      <alignment horizontal="right" vertical="center" wrapText="1"/>
    </xf>
    <xf numFmtId="0" fontId="7" fillId="2" borderId="0" xfId="0" applyFont="1" applyFill="1" applyAlignment="1">
      <alignment horizontal="left" vertical="top"/>
    </xf>
    <xf numFmtId="170" fontId="9" fillId="2" borderId="27" xfId="0" applyNumberFormat="1" applyFont="1" applyFill="1" applyBorder="1" applyAlignment="1">
      <alignment vertical="center"/>
    </xf>
    <xf numFmtId="9" fontId="22" fillId="9" borderId="39" xfId="2" applyFont="1" applyFill="1" applyBorder="1" applyAlignment="1">
      <alignment horizontal="right" vertical="center" wrapText="1"/>
    </xf>
    <xf numFmtId="9" fontId="21" fillId="9" borderId="39" xfId="2" applyFont="1" applyFill="1" applyBorder="1" applyAlignment="1">
      <alignment horizontal="right" vertical="center" wrapText="1"/>
    </xf>
    <xf numFmtId="0" fontId="18" fillId="4" borderId="43" xfId="0" applyFont="1" applyFill="1" applyBorder="1" applyAlignment="1">
      <alignment horizontal="right" wrapText="1"/>
    </xf>
    <xf numFmtId="10" fontId="21" fillId="9" borderId="42" xfId="0" applyNumberFormat="1" applyFont="1" applyFill="1" applyBorder="1" applyAlignment="1">
      <alignment horizontal="right" vertical="center" wrapText="1"/>
    </xf>
    <xf numFmtId="9" fontId="19" fillId="9" borderId="39" xfId="2" applyFont="1" applyFill="1" applyBorder="1" applyAlignment="1">
      <alignment horizontal="right" vertical="center" wrapText="1"/>
    </xf>
    <xf numFmtId="9" fontId="24" fillId="9" borderId="39" xfId="2" applyFont="1" applyFill="1" applyBorder="1" applyAlignment="1">
      <alignment horizontal="right" vertical="center" wrapText="1"/>
    </xf>
    <xf numFmtId="10" fontId="31" fillId="9" borderId="39" xfId="0" applyNumberFormat="1" applyFont="1" applyFill="1" applyBorder="1" applyAlignment="1">
      <alignment horizontal="right" vertical="center" wrapText="1"/>
    </xf>
    <xf numFmtId="0" fontId="27" fillId="8" borderId="45" xfId="0" applyFont="1" applyFill="1" applyBorder="1" applyAlignment="1">
      <alignment horizontal="center" wrapText="1"/>
    </xf>
    <xf numFmtId="0" fontId="28" fillId="8" borderId="0" xfId="0" applyFont="1" applyFill="1" applyAlignment="1">
      <alignment horizontal="center" wrapText="1"/>
    </xf>
    <xf numFmtId="0" fontId="27" fillId="8" borderId="0" xfId="0" applyFont="1" applyFill="1" applyAlignment="1">
      <alignment horizontal="center" wrapText="1"/>
    </xf>
    <xf numFmtId="0" fontId="27" fillId="8" borderId="40" xfId="0" applyFont="1" applyFill="1" applyBorder="1" applyAlignment="1">
      <alignment horizontal="center" wrapText="1"/>
    </xf>
    <xf numFmtId="14" fontId="30" fillId="7" borderId="46" xfId="0" applyNumberFormat="1" applyFont="1" applyFill="1" applyBorder="1" applyAlignment="1">
      <alignment horizontal="center" wrapText="1"/>
    </xf>
    <xf numFmtId="14" fontId="30" fillId="7" borderId="47" xfId="0" applyNumberFormat="1" applyFont="1" applyFill="1" applyBorder="1" applyAlignment="1">
      <alignment horizontal="center" wrapText="1"/>
    </xf>
    <xf numFmtId="14" fontId="30" fillId="7" borderId="48" xfId="0" applyNumberFormat="1" applyFont="1" applyFill="1" applyBorder="1" applyAlignment="1">
      <alignment horizontal="center" wrapText="1"/>
    </xf>
    <xf numFmtId="14" fontId="30" fillId="7" borderId="49" xfId="0" applyNumberFormat="1" applyFont="1" applyFill="1" applyBorder="1" applyAlignment="1">
      <alignment horizontal="center" wrapText="1"/>
    </xf>
    <xf numFmtId="14" fontId="30" fillId="7" borderId="0" xfId="0" applyNumberFormat="1" applyFont="1" applyFill="1" applyAlignment="1">
      <alignment horizontal="center" wrapText="1"/>
    </xf>
    <xf numFmtId="0" fontId="18" fillId="4" borderId="55" xfId="0" applyFont="1" applyFill="1" applyBorder="1" applyAlignment="1">
      <alignment horizontal="center" wrapText="1"/>
    </xf>
    <xf numFmtId="0" fontId="18" fillId="5" borderId="24" xfId="0" applyFont="1" applyFill="1" applyBorder="1" applyAlignment="1">
      <alignment wrapText="1"/>
    </xf>
    <xf numFmtId="0" fontId="18" fillId="4" borderId="56" xfId="0" applyFont="1" applyFill="1" applyBorder="1" applyAlignment="1">
      <alignment horizontal="right" wrapText="1"/>
    </xf>
    <xf numFmtId="0" fontId="18" fillId="4" borderId="57" xfId="0" applyFont="1" applyFill="1" applyBorder="1" applyAlignment="1">
      <alignment horizontal="right" wrapText="1"/>
    </xf>
    <xf numFmtId="171" fontId="18" fillId="6" borderId="45" xfId="0" applyNumberFormat="1" applyFont="1" applyFill="1" applyBorder="1" applyAlignment="1">
      <alignment horizontal="center" wrapText="1"/>
    </xf>
    <xf numFmtId="0" fontId="18" fillId="5" borderId="51" xfId="0" applyFont="1" applyFill="1" applyBorder="1" applyAlignment="1">
      <alignment wrapText="1"/>
    </xf>
    <xf numFmtId="165" fontId="18" fillId="4" borderId="52" xfId="0" applyNumberFormat="1" applyFont="1" applyFill="1" applyBorder="1" applyAlignment="1">
      <alignment horizontal="right" wrapText="1"/>
    </xf>
    <xf numFmtId="0" fontId="18" fillId="4" borderId="53" xfId="0" applyFont="1" applyFill="1" applyBorder="1" applyAlignment="1">
      <alignment horizontal="right" wrapText="1"/>
    </xf>
    <xf numFmtId="0" fontId="26" fillId="9" borderId="39" xfId="0" applyFont="1" applyFill="1" applyBorder="1" applyAlignment="1">
      <alignment horizontal="right" vertical="center" wrapText="1"/>
    </xf>
    <xf numFmtId="0" fontId="26" fillId="9" borderId="40" xfId="0" applyFont="1" applyFill="1" applyBorder="1" applyAlignment="1">
      <alignment horizontal="right" vertical="center" wrapText="1"/>
    </xf>
    <xf numFmtId="0" fontId="26" fillId="9" borderId="54" xfId="0" applyFont="1" applyFill="1" applyBorder="1" applyAlignment="1">
      <alignment horizontal="right" vertical="center" wrapText="1"/>
    </xf>
    <xf numFmtId="9" fontId="32" fillId="9" borderId="45" xfId="0" applyNumberFormat="1" applyFont="1" applyFill="1" applyBorder="1" applyAlignment="1">
      <alignment horizontal="right" vertical="center" wrapText="1"/>
    </xf>
    <xf numFmtId="0" fontId="32" fillId="9" borderId="0" xfId="0" applyFont="1" applyFill="1" applyAlignment="1">
      <alignment horizontal="right" vertical="center" wrapText="1"/>
    </xf>
    <xf numFmtId="10" fontId="32" fillId="9" borderId="0" xfId="0" applyNumberFormat="1" applyFont="1" applyFill="1" applyAlignment="1">
      <alignment horizontal="right" vertical="center" wrapText="1"/>
    </xf>
    <xf numFmtId="0" fontId="33" fillId="9" borderId="0" xfId="0" applyFont="1" applyFill="1" applyAlignment="1">
      <alignment horizontal="right" vertical="center" wrapText="1"/>
    </xf>
    <xf numFmtId="10" fontId="33" fillId="9" borderId="0" xfId="0" applyNumberFormat="1" applyFont="1" applyFill="1" applyAlignment="1">
      <alignment horizontal="right" vertical="center" wrapText="1"/>
    </xf>
    <xf numFmtId="0" fontId="33" fillId="9" borderId="50" xfId="0" applyFont="1" applyFill="1" applyBorder="1" applyAlignment="1">
      <alignment horizontal="right" vertical="center" wrapText="1"/>
    </xf>
    <xf numFmtId="9" fontId="21" fillId="9" borderId="39" xfId="0" applyNumberFormat="1" applyFont="1" applyFill="1" applyBorder="1" applyAlignment="1">
      <alignment horizontal="right" vertical="center" wrapText="1"/>
    </xf>
    <xf numFmtId="9" fontId="21" fillId="9" borderId="44" xfId="2" applyFont="1" applyFill="1" applyBorder="1" applyAlignment="1">
      <alignment horizontal="right" vertical="center" wrapText="1"/>
    </xf>
    <xf numFmtId="9" fontId="32" fillId="9" borderId="0" xfId="0" applyNumberFormat="1" applyFont="1" applyFill="1" applyAlignment="1">
      <alignment horizontal="right" vertical="center" wrapText="1"/>
    </xf>
    <xf numFmtId="9" fontId="21" fillId="9" borderId="40" xfId="2" applyFont="1" applyFill="1" applyBorder="1" applyAlignment="1">
      <alignment horizontal="right" vertical="center" wrapText="1"/>
    </xf>
    <xf numFmtId="10" fontId="22" fillId="9" borderId="42" xfId="0" applyNumberFormat="1" applyFont="1" applyFill="1" applyBorder="1" applyAlignment="1">
      <alignment horizontal="right" vertical="center" wrapText="1"/>
    </xf>
    <xf numFmtId="10" fontId="19" fillId="9" borderId="40" xfId="0" applyNumberFormat="1" applyFont="1" applyFill="1" applyBorder="1" applyAlignment="1">
      <alignment horizontal="right" vertical="center" wrapText="1"/>
    </xf>
    <xf numFmtId="0" fontId="21" fillId="9" borderId="40" xfId="0" applyFont="1" applyFill="1" applyBorder="1" applyAlignment="1">
      <alignment horizontal="right" vertical="center" wrapText="1"/>
    </xf>
    <xf numFmtId="10" fontId="19" fillId="9" borderId="42" xfId="0" applyNumberFormat="1" applyFont="1" applyFill="1" applyBorder="1" applyAlignment="1">
      <alignment horizontal="right" vertical="center" wrapText="1"/>
    </xf>
    <xf numFmtId="0" fontId="3" fillId="2" borderId="0" xfId="0" applyFont="1" applyFill="1" applyAlignment="1">
      <alignment horizontal="right"/>
    </xf>
    <xf numFmtId="0" fontId="10" fillId="2" borderId="27" xfId="0" applyFont="1" applyFill="1" applyBorder="1" applyAlignment="1">
      <alignment horizontal="center" vertical="center"/>
    </xf>
    <xf numFmtId="0" fontId="10" fillId="2" borderId="26"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9" fillId="2" borderId="0" xfId="0" applyNumberFormat="1" applyFont="1" applyFill="1" applyAlignment="1">
      <alignment horizontal="center"/>
    </xf>
    <xf numFmtId="166" fontId="7" fillId="2" borderId="0" xfId="0" applyNumberFormat="1" applyFont="1" applyFill="1" applyAlignment="1">
      <alignment horizontal="left" vertical="top"/>
    </xf>
    <xf numFmtId="165" fontId="11" fillId="3" borderId="0" xfId="0" applyNumberFormat="1" applyFont="1" applyFill="1" applyAlignment="1">
      <alignment horizontal="center" vertical="center"/>
    </xf>
    <xf numFmtId="0" fontId="3" fillId="2" borderId="16" xfId="0" applyFont="1" applyFill="1" applyBorder="1" applyAlignment="1">
      <alignment horizontal="left"/>
    </xf>
    <xf numFmtId="44" fontId="3" fillId="2" borderId="0" xfId="0" applyNumberFormat="1" applyFont="1" applyFill="1" applyAlignment="1">
      <alignment horizontal="right" vertical="center"/>
    </xf>
    <xf numFmtId="10" fontId="12" fillId="0" borderId="0" xfId="0" applyNumberFormat="1" applyFont="1" applyAlignment="1">
      <alignment horizontal="center"/>
    </xf>
    <xf numFmtId="0" fontId="12" fillId="0" borderId="0" xfId="0" applyFont="1" applyAlignment="1">
      <alignment horizontal="center"/>
    </xf>
    <xf numFmtId="0" fontId="3" fillId="2" borderId="0" xfId="0" applyFont="1" applyFill="1" applyAlignment="1">
      <alignment horizontal="center"/>
    </xf>
    <xf numFmtId="9" fontId="7" fillId="2" borderId="0" xfId="2" applyFont="1" applyFill="1" applyBorder="1" applyAlignment="1">
      <alignment horizontal="left" vertical="top"/>
    </xf>
    <xf numFmtId="2" fontId="15" fillId="2" borderId="0" xfId="0" applyNumberFormat="1" applyFont="1" applyFill="1" applyAlignment="1">
      <alignment horizontal="center" vertical="center"/>
    </xf>
    <xf numFmtId="0" fontId="3" fillId="2" borderId="27" xfId="0" applyFont="1" applyFill="1" applyBorder="1" applyAlignment="1">
      <alignment horizontal="center" vertical="center"/>
    </xf>
    <xf numFmtId="0" fontId="3" fillId="2" borderId="26" xfId="0" applyFont="1" applyFill="1" applyBorder="1" applyAlignment="1">
      <alignment horizontal="center" vertical="center"/>
    </xf>
    <xf numFmtId="10" fontId="12" fillId="2" borderId="0" xfId="0" applyNumberFormat="1" applyFont="1" applyFill="1" applyAlignment="1">
      <alignment horizontal="center"/>
    </xf>
    <xf numFmtId="9" fontId="18" fillId="5" borderId="25" xfId="2" applyFont="1" applyFill="1" applyBorder="1" applyAlignment="1">
      <alignment wrapText="1"/>
    </xf>
    <xf numFmtId="9" fontId="19" fillId="9" borderId="40" xfId="2" applyFont="1" applyFill="1" applyBorder="1" applyAlignment="1">
      <alignment horizontal="right" vertical="center" wrapText="1"/>
    </xf>
    <xf numFmtId="0" fontId="21" fillId="9" borderId="54" xfId="0" applyFont="1" applyFill="1" applyBorder="1" applyAlignment="1">
      <alignment horizontal="right" vertical="center" wrapText="1"/>
    </xf>
    <xf numFmtId="171" fontId="18" fillId="2" borderId="54" xfId="0" applyNumberFormat="1" applyFont="1" applyFill="1" applyBorder="1" applyAlignment="1">
      <alignment horizontal="center" wrapText="1"/>
    </xf>
    <xf numFmtId="171" fontId="18" fillId="6" borderId="54" xfId="0" applyNumberFormat="1" applyFont="1" applyFill="1" applyBorder="1" applyAlignment="1">
      <alignment horizontal="center" wrapText="1"/>
    </xf>
    <xf numFmtId="171" fontId="18" fillId="2" borderId="39" xfId="0" applyNumberFormat="1" applyFont="1" applyFill="1" applyBorder="1" applyAlignment="1">
      <alignment horizontal="center" wrapText="1"/>
    </xf>
    <xf numFmtId="9" fontId="18" fillId="10" borderId="58" xfId="2" applyFont="1" applyFill="1" applyBorder="1" applyAlignment="1">
      <alignment horizontal="right" wrapText="1"/>
    </xf>
    <xf numFmtId="9" fontId="18" fillId="10" borderId="59" xfId="2" applyFont="1" applyFill="1" applyBorder="1" applyAlignment="1">
      <alignment horizontal="right" wrapText="1"/>
    </xf>
    <xf numFmtId="9" fontId="18" fillId="10" borderId="60" xfId="2" applyFont="1" applyFill="1" applyBorder="1" applyAlignment="1">
      <alignment horizontal="right" wrapText="1"/>
    </xf>
    <xf numFmtId="9" fontId="18" fillId="10" borderId="61" xfId="2" applyFont="1" applyFill="1" applyBorder="1" applyAlignment="1">
      <alignment horizontal="right" wrapText="1"/>
    </xf>
    <xf numFmtId="0" fontId="18" fillId="4" borderId="62" xfId="0" applyFont="1" applyFill="1" applyBorder="1" applyAlignment="1">
      <alignment horizontal="center" wrapText="1"/>
    </xf>
    <xf numFmtId="0" fontId="18" fillId="5" borderId="63" xfId="0" applyFont="1" applyFill="1" applyBorder="1" applyAlignment="1">
      <alignment wrapText="1"/>
    </xf>
    <xf numFmtId="0" fontId="18" fillId="5" borderId="64" xfId="0" applyFont="1" applyFill="1" applyBorder="1" applyAlignment="1">
      <alignment wrapText="1"/>
    </xf>
    <xf numFmtId="9" fontId="18" fillId="5" borderId="64" xfId="2" applyFont="1" applyFill="1" applyBorder="1" applyAlignment="1">
      <alignment wrapText="1"/>
    </xf>
    <xf numFmtId="165" fontId="18" fillId="4" borderId="65" xfId="0" applyNumberFormat="1" applyFont="1" applyFill="1" applyBorder="1" applyAlignment="1">
      <alignment horizontal="right" wrapText="1"/>
    </xf>
    <xf numFmtId="3" fontId="18" fillId="4" borderId="66" xfId="0" applyNumberFormat="1" applyFont="1" applyFill="1" applyBorder="1" applyAlignment="1">
      <alignment horizontal="right" wrapText="1"/>
    </xf>
    <xf numFmtId="0" fontId="18" fillId="4" borderId="67" xfId="0" applyFont="1" applyFill="1" applyBorder="1" applyAlignment="1">
      <alignment horizontal="center" wrapText="1"/>
    </xf>
    <xf numFmtId="3" fontId="18" fillId="4" borderId="43" xfId="0" applyNumberFormat="1" applyFont="1" applyFill="1" applyBorder="1" applyAlignment="1">
      <alignment horizontal="right" wrapText="1"/>
    </xf>
    <xf numFmtId="0" fontId="18" fillId="4" borderId="68" xfId="0" applyFont="1" applyFill="1" applyBorder="1" applyAlignment="1">
      <alignment horizontal="center" wrapText="1"/>
    </xf>
    <xf numFmtId="9" fontId="18" fillId="5" borderId="69" xfId="2" applyFont="1" applyFill="1" applyBorder="1" applyAlignment="1">
      <alignment wrapText="1"/>
    </xf>
  </cellXfs>
  <cellStyles count="4">
    <cellStyle name="Hipervínculo" xfId="3" builtinId="8"/>
    <cellStyle name="Moneda" xfId="1" builtinId="4"/>
    <cellStyle name="Normal" xfId="0" builtinId="0"/>
    <cellStyle name="Porcentaje" xfId="2" builtinId="5"/>
  </cellStyles>
  <dxfs count="42">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theme="0" tint="-4.9989318521683403E-2"/>
        </patternFill>
      </fill>
      <alignment horizontal="right" vertical="bottom" textRotation="0" wrapText="1" indent="0" justifyLastLine="0" shrinkToFit="0" readingOrder="0"/>
      <border diagonalUp="0" diagonalDown="0">
        <left style="thin">
          <color indexed="64"/>
        </left>
        <right style="thin">
          <color indexed="64"/>
        </right>
        <top/>
        <bottom/>
        <vertical/>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B48D51"/>
      <color rgb="FF966F33"/>
      <color rgb="FFD1A375"/>
      <color rgb="FF996633"/>
      <color rgb="FFFF5050"/>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06/relationships/rdRichValue" Target="richData/rdrichvalue.xml"/><Relationship Id="rId5" Type="http://schemas.openxmlformats.org/officeDocument/2006/relationships/worksheet" Target="worksheets/sheet5.xml"/><Relationship Id="rId15" Type="http://schemas.microsoft.com/office/2017/06/relationships/rdSupportingPropertyBag" Target="richData/rdsupportingpropertybag.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Financials!$D$78</c:f>
              <c:strCache>
                <c:ptCount val="1"/>
                <c:pt idx="0">
                  <c:v>Cash and Short-Term Investments</c:v>
                </c:pt>
              </c:strCache>
            </c:strRef>
          </c:tx>
          <c:spPr>
            <a:solidFill>
              <a:schemeClr val="accent6">
                <a:lumMod val="60000"/>
                <a:lumOff val="40000"/>
              </a:schemeClr>
            </a:solidFill>
            <a:ln>
              <a:noFill/>
            </a:ln>
            <a:effectLst/>
          </c:spPr>
          <c:invertIfNegative val="0"/>
          <c:cat>
            <c:numRef>
              <c:f>Financials!$E$77:$N$77</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Financials!$E$78:$N$78</c:f>
              <c:numCache>
                <c:formatCode>#,##0.0</c:formatCode>
                <c:ptCount val="10"/>
                <c:pt idx="0">
                  <c:v>5.6021739999999998</c:v>
                </c:pt>
                <c:pt idx="1">
                  <c:v>8.2950429999999997</c:v>
                </c:pt>
                <c:pt idx="2">
                  <c:v>19.93</c:v>
                </c:pt>
                <c:pt idx="3">
                  <c:v>26.187999999999999</c:v>
                </c:pt>
                <c:pt idx="4">
                  <c:v>49.271999999999998</c:v>
                </c:pt>
                <c:pt idx="5">
                  <c:v>84.950999999999993</c:v>
                </c:pt>
                <c:pt idx="6">
                  <c:v>182.52</c:v>
                </c:pt>
                <c:pt idx="7">
                  <c:v>221.67500000000001</c:v>
                </c:pt>
                <c:pt idx="8">
                  <c:v>421.43200000000002</c:v>
                </c:pt>
              </c:numCache>
            </c:numRef>
          </c:val>
          <c:extLst>
            <c:ext xmlns:c16="http://schemas.microsoft.com/office/drawing/2014/chart" uri="{C3380CC4-5D6E-409C-BE32-E72D297353CC}">
              <c16:uniqueId val="{00000000-A72C-4B47-B086-214D27DB9E2F}"/>
            </c:ext>
          </c:extLst>
        </c:ser>
        <c:ser>
          <c:idx val="1"/>
          <c:order val="1"/>
          <c:tx>
            <c:strRef>
              <c:f>Financials!$D$79</c:f>
              <c:strCache>
                <c:ptCount val="1"/>
                <c:pt idx="0">
                  <c:v>Total Debt</c:v>
                </c:pt>
              </c:strCache>
            </c:strRef>
          </c:tx>
          <c:spPr>
            <a:solidFill>
              <a:srgbClr val="FF5050"/>
            </a:solidFill>
            <a:ln>
              <a:noFill/>
            </a:ln>
            <a:effectLst/>
          </c:spPr>
          <c:invertIfNegative val="0"/>
          <c:cat>
            <c:numRef>
              <c:f>Financials!$E$77:$N$77</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Financials!$E$79:$N$79</c:f>
              <c:numCache>
                <c:formatCode>#,##0.0</c:formatCode>
                <c:ptCount val="10"/>
                <c:pt idx="0">
                  <c:v>2.629451</c:v>
                </c:pt>
                <c:pt idx="1">
                  <c:v>4.5451079999999999</c:v>
                </c:pt>
                <c:pt idx="2">
                  <c:v>7.2270000000000003</c:v>
                </c:pt>
                <c:pt idx="3">
                  <c:v>8.5709999999999997</c:v>
                </c:pt>
                <c:pt idx="4">
                  <c:v>7.6429999999999998</c:v>
                </c:pt>
                <c:pt idx="5">
                  <c:v>6.569</c:v>
                </c:pt>
                <c:pt idx="6">
                  <c:v>25.038</c:v>
                </c:pt>
                <c:pt idx="7">
                  <c:v>49.969000000000001</c:v>
                </c:pt>
                <c:pt idx="8">
                  <c:v>67.81</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Financials!$D$33</c:f>
              <c:strCache>
                <c:ptCount val="1"/>
                <c:pt idx="0">
                  <c:v>Shares Diluted</c:v>
                </c:pt>
              </c:strCache>
            </c:strRef>
          </c:tx>
          <c:spPr>
            <a:solidFill>
              <a:schemeClr val="accent1">
                <a:alpha val="70000"/>
              </a:schemeClr>
            </a:solidFill>
            <a:ln>
              <a:noFill/>
            </a:ln>
            <a:effectLst/>
          </c:spPr>
          <c:invertIfNegative val="0"/>
          <c:cat>
            <c:numRef>
              <c:f>Financials!$E$20:$N$20</c:f>
              <c:numCache>
                <c:formatCode>General</c:formatCode>
                <c:ptCount val="10"/>
                <c:pt idx="0">
                  <c:v>2013</c:v>
                </c:pt>
                <c:pt idx="1">
                  <c:v>2014</c:v>
                </c:pt>
                <c:pt idx="2">
                  <c:v>2015</c:v>
                </c:pt>
                <c:pt idx="3">
                  <c:v>2016</c:v>
                </c:pt>
                <c:pt idx="4">
                  <c:v>2017</c:v>
                </c:pt>
                <c:pt idx="5">
                  <c:v>2018</c:v>
                </c:pt>
                <c:pt idx="6">
                  <c:v>2019</c:v>
                </c:pt>
                <c:pt idx="7">
                  <c:v>2020</c:v>
                </c:pt>
                <c:pt idx="8">
                  <c:v>2021</c:v>
                </c:pt>
              </c:numCache>
            </c:numRef>
          </c:cat>
          <c:val>
            <c:numRef>
              <c:f>Financials!$E$33:$N$33</c:f>
              <c:numCache>
                <c:formatCode>#,##0.00</c:formatCode>
                <c:ptCount val="10"/>
                <c:pt idx="0">
                  <c:v>179.85188500000001</c:v>
                </c:pt>
                <c:pt idx="1">
                  <c:v>179.85188500000001</c:v>
                </c:pt>
                <c:pt idx="2">
                  <c:v>179.52306999999999</c:v>
                </c:pt>
                <c:pt idx="3">
                  <c:v>180.76459500000001</c:v>
                </c:pt>
                <c:pt idx="4">
                  <c:v>181.68522999999999</c:v>
                </c:pt>
                <c:pt idx="5">
                  <c:v>182.62524500000001</c:v>
                </c:pt>
                <c:pt idx="6">
                  <c:v>183.38734099999999</c:v>
                </c:pt>
                <c:pt idx="7">
                  <c:v>189.02134599999999</c:v>
                </c:pt>
                <c:pt idx="8">
                  <c:v>221.818828</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58</xdr:row>
      <xdr:rowOff>114300</xdr:rowOff>
    </xdr:from>
    <xdr:to>
      <xdr:col>21</xdr:col>
      <xdr:colOff>123825</xdr:colOff>
      <xdr:row>68</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69</xdr:row>
      <xdr:rowOff>66674</xdr:rowOff>
    </xdr:from>
    <xdr:to>
      <xdr:col>21</xdr:col>
      <xdr:colOff>119062</xdr:colOff>
      <xdr:row>81</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381000</xdr:colOff>
          <xdr:row>1</xdr:row>
          <xdr:rowOff>0</xdr:rowOff>
        </xdr:from>
        <xdr:to>
          <xdr:col>15</xdr:col>
          <xdr:colOff>85725</xdr:colOff>
          <xdr:row>3</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Limpiar Dump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514350</xdr:colOff>
          <xdr:row>0</xdr:row>
          <xdr:rowOff>104775</xdr:rowOff>
        </xdr:from>
        <xdr:to>
          <xdr:col>19</xdr:col>
          <xdr:colOff>457200</xdr:colOff>
          <xdr:row>4</xdr:row>
          <xdr:rowOff>66675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2">
  <rv s="0">
    <v>12</v>
    <v>Market cap</v>
    <v>0</v>
  </rv>
  <rv s="0">
    <v>12</v>
    <v>Industry</v>
    <v>0</v>
  </rv>
  <rv s="0">
    <v>12</v>
    <v>Description</v>
    <v>0</v>
  </rv>
  <rv s="0">
    <v>12</v>
    <v>Price</v>
    <v>0</v>
  </rv>
  <rv s="1">
    <v>12</v>
    <v>1</v>
  </rv>
  <rv s="0">
    <v>12</v>
    <v>change</v>
    <v>0</v>
  </rv>
  <rv s="0">
    <v>12</v>
    <v>Change (%)</v>
    <v>0</v>
  </rv>
  <rv s="0">
    <v>12</v>
    <v>52 week high</v>
    <v>0</v>
  </rv>
  <rv s="0">
    <v>12</v>
    <v>52 week low</v>
    <v>0</v>
  </rv>
  <rv s="2">
    <v>https://www.bing.com/financeapi/forcetrigger?t=a1u3rw&amp;q=XNAS%3aGOOGL&amp;form=skydnc</v>
    <v>Learn more on Bing</v>
  </rv>
  <rv s="3">
    <v>en-US</v>
    <v>a1u3rw</v>
    <v>268435456</v>
    <v>1</v>
    <v>Powered by Refinitiv</v>
    <v>0</v>
    <v>ALPHABET INC. (XNAS:GOOGL)</v>
    <v>2</v>
    <v>3</v>
    <v>Finance</v>
    <v>4</v>
    <v>151.54660000000001</v>
    <v>83.34</v>
    <v>1.0696000000000001</v>
    <v>0.99</v>
    <v>-1.4109999999999999E-3</v>
    <v>1.0864E-2</v>
    <v>-0.13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92.19</v>
    <v>Software &amp; IT Services</v>
    <v>Stock</v>
    <v>44940.040926492969</v>
    <v>9</v>
    <v>90.129900000000006</v>
    <v>1184243000000</v>
    <v>ALPHABET INC.</v>
    <v>ALPHABET INC.</v>
    <v>90.85</v>
    <v>18.099399999999999</v>
    <v>91.13</v>
    <v>92.12</v>
    <v>91.99</v>
    <v>12943000000</v>
    <v>GOOGL</v>
    <v>ALPHABET INC. (XNAS:GOOGL)</v>
    <v>26329212</v>
    <v>30055486</v>
    <v>2015</v>
  </rv>
  <rv s="4">
    <v>10</v>
  </rv>
  <rv s="2">
    <v>https://www.bing.com/financeapi/forcetrigger?t=a1y1qh&amp;q=XNAS%3aMSTR&amp;form=skydnc</v>
    <v>Learn more on Bing</v>
  </rv>
  <rv s="3">
    <v>en-US</v>
    <v>a1y1qh</v>
    <v>268435456</v>
    <v>1</v>
    <v>Powered by Refinitiv</v>
    <v>0</v>
    <v>MICROSTRATEGY INCORPORATED (XNAS:MSTR)</v>
    <v>2</v>
    <v>3</v>
    <v>Finance</v>
    <v>5</v>
    <v>527.68989999999997</v>
    <v>132.56</v>
    <v>2.2991000000000001</v>
    <v>6.8</v>
    <v>3.9314000000000002E-2</v>
    <v>3.2355000000000002E-2</v>
    <v>8.5299999999999994</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222.17</v>
    <v>Software &amp; IT Services</v>
    <v>Stock</v>
    <v>44940.041596885938</v>
    <v>12</v>
    <v>202.69499999999999</v>
    <v>2029471000</v>
    <v>MICROSTRATEGY INCORPORATED</v>
    <v>MICROSTRATEGY INCORPORATED</v>
    <v>206</v>
    <v>4500.8329999999996</v>
    <v>210.17</v>
    <v>216.97</v>
    <v>225.5</v>
    <v>9353690</v>
    <v>MSTR</v>
    <v>MICROSTRATEGY INCORPORATED (XNAS:MSTR)</v>
    <v>845659</v>
    <v>542582</v>
    <v>1989</v>
  </rv>
  <rv s="4">
    <v>13</v>
  </rv>
  <rv s="2">
    <v>https://www.bing.com/financeapi/forcetrigger?t=bxds4c&amp;q=XNAS%3aTUEM&amp;form=skydnc</v>
    <v>Learn more on Bing</v>
  </rv>
  <rv s="5">
    <v>en-US</v>
    <v>bxds4c</v>
    <v>268435456</v>
    <v>1</v>
    <v>Powered by Refinitiv</v>
    <v>6</v>
    <v>TUESDAY MORNING CORPORATION (OTCM:TUEM)</v>
    <v>2</v>
    <v>7</v>
    <v>Finance</v>
    <v>8</v>
    <v>0.84</v>
    <v>0.35499999999999998</v>
    <v>1.9410000000000001</v>
    <v>-4.9799999999999997E-2</v>
    <v>-9.7684999999999994E-2</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0.505</v>
    <v>Diversified Retail</v>
    <v>Stock</v>
    <v>44939.86978482578</v>
    <v>15</v>
    <v>0.45</v>
    <v>2734770</v>
    <v>TUESDAY MORNING CORPORATION</v>
    <v>TUESDAY MORNING CORPORATION</v>
    <v>0.505</v>
    <v>15.384600000000001</v>
    <v>0.50980000000000003</v>
    <v>0.46</v>
    <v>5945150</v>
    <v>TUEM</v>
    <v>TUESDAY MORNING CORPORATION (OTCM:TUEM)</v>
    <v>47106</v>
    <v>1051100</v>
    <v>1991</v>
  </rv>
  <rv s="4">
    <v>16</v>
  </rv>
  <rv s="2">
    <v>https://www.bing.com/financeapi/forcetrigger?t=a2qfa2&amp;q=OTCM%3aNTDOY&amp;form=skydnc</v>
    <v>Learn more on Bing</v>
  </rv>
  <rv s="3">
    <v>en-US</v>
    <v>a2qfa2</v>
    <v>268435456</v>
    <v>1</v>
    <v>Powered by Refinitiv</v>
    <v>0</v>
    <v>Nintendo Co., Ltd. (OTCM:NTDOY)</v>
    <v>2</v>
    <v>9</v>
    <v>Finance</v>
    <v>10</v>
    <v>13.65</v>
    <v>9.76</v>
    <v>0.70799999999999996</v>
    <v>0.06</v>
    <v>0</v>
    <v>5.7749999999999998E-3</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10.49</v>
    <v>Leisure Products</v>
    <v>Stock</v>
    <v>44939.875501805465</v>
    <v>18</v>
    <v>10.33</v>
    <v>7009030000000</v>
    <v>Nintendo Co., Ltd.</v>
    <v>Nintendo Co., Ltd.</v>
    <v>10.36</v>
    <v>1.4535</v>
    <v>10.39</v>
    <v>10.45</v>
    <v>10.45</v>
    <v>1298690000</v>
    <v>NTDOY</v>
    <v>Nintendo Co., Ltd. (OTCM:NTDOY)</v>
    <v>1097595</v>
    <v>4637300</v>
    <v>1947</v>
  </rv>
  <rv s="4">
    <v>19</v>
  </rv>
  <rv s="2">
    <v>https://www.bing.com/financeapi/forcetrigger?t=bqip3m&amp;q=XMIL%3aGBUS&amp;form=skydnc</v>
    <v>Learn more on Bing</v>
  </rv>
  <rv s="6">
    <v>en-US</v>
    <v>bqip3m</v>
    <v>268435456</v>
    <v>1</v>
    <v>Powered by Refinitiv</v>
    <v>11</v>
    <v>Gibus SpA (XMIL:GBUS)</v>
    <v>2</v>
    <v>12</v>
    <v>Finance</v>
    <v>13</v>
    <v>19.8</v>
    <v>10.6</v>
    <v>1.3204</v>
    <v>-0.3</v>
    <v>-1.7646999999999999E-2</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17.2</v>
    <v>Homebuilding &amp; Construction Supplies</v>
    <v>Stock</v>
    <v>44939.704861111109</v>
    <v>21</v>
    <v>16.7</v>
    <v>83637010</v>
    <v>Gibus SpA</v>
    <v>Gibus SpA</v>
    <v>17.100000000000001</v>
    <v>5.6111000000000004</v>
    <v>17</v>
    <v>16.7</v>
    <v>5008200</v>
    <v>GBUS</v>
    <v>Gibus SpA (XMIL:GBUS)</v>
    <v>703</v>
    <v>2210</v>
  </rv>
  <rv s="4">
    <v>22</v>
  </rv>
  <rv s="2">
    <v>https://www.bing.com/financeapi/forcetrigger?t=ah4ck2&amp;q=XHKG%3a327&amp;form=skydnc</v>
    <v>Learn more on Bing</v>
  </rv>
  <rv s="3">
    <v>en-US</v>
    <v>ah4ck2</v>
    <v>268435456</v>
    <v>1</v>
    <v>Powered by Refinitiv</v>
    <v>0</v>
    <v>PAX Global Technology Limited (XHKG:327)</v>
    <v>2</v>
    <v>14</v>
    <v>Finance</v>
    <v>10</v>
    <v>8.3699999999999992</v>
    <v>4.5999999999999996</v>
    <v>0.49459999999999998</v>
    <v>-7.0000000000000007E-2</v>
    <v>2.1277000000000001E-2</v>
    <v>-9.8309999999999995E-3</v>
    <v>0.15</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7.22</v>
    <v>Office Equipment</v>
    <v>Stock</v>
    <v>44939.339166666665</v>
    <v>24</v>
    <v>7</v>
    <v>7687428000</v>
    <v>PAX Global Technology Limited</v>
    <v>PAX Global Technology Limited</v>
    <v>7.22</v>
    <v>6.05</v>
    <v>7.12</v>
    <v>7.05</v>
    <v>7.2</v>
    <v>1079695000</v>
    <v>327</v>
    <v>PAX Global Technology Limited (XHKG:327)</v>
    <v>1784020</v>
    <v>890130</v>
    <v>2010</v>
  </rv>
  <rv s="4">
    <v>25</v>
  </rv>
  <rv s="2">
    <v>https://www.bing.com/financeapi/forcetrigger?t=a1ukim&amp;q=XNAS%3aHEAR&amp;form=skydnc</v>
    <v>Learn more on Bing</v>
  </rv>
  <rv s="3">
    <v>en-US</v>
    <v>a1ukim</v>
    <v>268435456</v>
    <v>1</v>
    <v>Powered by Refinitiv</v>
    <v>0</v>
    <v>TURTLE BEACH CORPORATION (XNAS:HEAR)</v>
    <v>2</v>
    <v>3</v>
    <v>Finance</v>
    <v>5</v>
    <v>25.33</v>
    <v>6.22</v>
    <v>1.9413</v>
    <v>0.01</v>
    <v>4.9660999999999997E-2</v>
    <v>1.1299999999999999E-3</v>
    <v>0.44</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8.93</v>
    <v>Computers, Phones &amp; Household Electronics</v>
    <v>Stock</v>
    <v>44940.004592395315</v>
    <v>27</v>
    <v>8.7850000000000001</v>
    <v>146694700</v>
    <v>TURTLE BEACH CORPORATION</v>
    <v>TURTLE BEACH CORPORATION</v>
    <v>8.8000000000000007</v>
    <v>111.4096</v>
    <v>8.85</v>
    <v>8.86</v>
    <v>9.3000000000000007</v>
    <v>16556960</v>
    <v>HEAR</v>
    <v>TURTLE BEACH CORPORATION (XNAS:HEAR)</v>
    <v>309175</v>
    <v>278513</v>
    <v>2010</v>
  </rv>
  <rv s="4">
    <v>28</v>
  </rv>
  <rv s="2">
    <v>https://www.bing.com/financeapi/forcetrigger?t=ao6n8m&amp;q=XLON%3aBOTB&amp;form=skydnc</v>
    <v>Learn more on Bing</v>
  </rv>
  <rv s="5">
    <v>en-US</v>
    <v>ao6n8m</v>
    <v>268435456</v>
    <v>1</v>
    <v>Powered by Refinitiv</v>
    <v>6</v>
    <v>BEST OF THE BEST PLC (XLON:BOTB)</v>
    <v>2</v>
    <v>15</v>
    <v>Finance</v>
    <v>16</v>
    <v>628.20000000000005</v>
    <v>350</v>
    <v>0.49480000000000002</v>
    <v>8</v>
    <v>2.1621999999999999E-2</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378</v>
    <v>Hotels &amp; Entertainment Services</v>
    <v>Stock</v>
    <v>44939.714297013285</v>
    <v>30</v>
    <v>360</v>
    <v>31627350</v>
    <v>BEST OF THE BEST PLC</v>
    <v>BEST OF THE BEST PLC</v>
    <v>380</v>
    <v>8.1677999999999997</v>
    <v>370</v>
    <v>378</v>
    <v>8367020</v>
    <v>BOTB</v>
    <v>BEST OF THE BEST PLC (XLON:BOTB)</v>
    <v>72401</v>
    <v>10780</v>
    <v>1999</v>
  </rv>
  <rv s="4">
    <v>31</v>
  </rv>
  <rv s="2">
    <v>https://www.bing.com/financeapi/forcetrigger?t=a1nnec&amp;q=XNAS%3aAQB&amp;form=skydnc</v>
    <v>Learn more on Bing</v>
  </rv>
  <rv s="7">
    <v>en-US</v>
    <v>a1nnec</v>
    <v>268435456</v>
    <v>1</v>
    <v>Powered by Refinitiv</v>
    <v>17</v>
    <v>AQUABOUNTY TECHNOLOGIES, INC. (XNAS:AQB)</v>
    <v>2</v>
    <v>18</v>
    <v>Finance</v>
    <v>5</v>
    <v>2.37</v>
    <v>0.58199999999999996</v>
    <v>1.1509</v>
    <v>3.27E-2</v>
    <v>2.8655E-2</v>
    <v>3.5542999999999998E-2</v>
    <v>2.7300000000000001E-2</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v>
    <v>Biotechnology &amp; Medical Research</v>
    <v>Stock</v>
    <v>44940.039636330468</v>
    <v>33</v>
    <v>0.91</v>
    <v>67747173</v>
    <v>AQUABOUNTY TECHNOLOGIES, INC.</v>
    <v>AQUABOUNTY TECHNOLOGIES, INC.</v>
    <v>0.93220000000000003</v>
    <v>0.92</v>
    <v>0.95269999999999999</v>
    <v>0.98</v>
    <v>71110710</v>
    <v>AQB</v>
    <v>AQUABOUNTY TECHNOLOGIES, INC. (XNAS:AQB)</v>
    <v>348133</v>
    <v>328131</v>
    <v>1991</v>
  </rv>
  <rv s="4">
    <v>34</v>
  </rv>
  <rv s="2">
    <v>https://www.bing.com/financeapi/forcetrigger?t=a1v3ec&amp;q=XNYS%3aHZO&amp;form=skydnc</v>
    <v>Learn more on Bing</v>
  </rv>
  <rv s="3">
    <v>en-US</v>
    <v>a1v3ec</v>
    <v>268435456</v>
    <v>1</v>
    <v>Powered by Refinitiv</v>
    <v>0</v>
    <v>MARINEMAX, INC. (XNYS:HZO)</v>
    <v>2</v>
    <v>3</v>
    <v>Finance</v>
    <v>5</v>
    <v>54.46</v>
    <v>27.4</v>
    <v>1.5528999999999999</v>
    <v>0.04</v>
    <v>0</v>
    <v>1.1620000000000001E-3</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35.11</v>
    <v>Leisure Products</v>
    <v>Stock</v>
    <v>44940.000000022657</v>
    <v>36</v>
    <v>34</v>
    <v>753046786</v>
    <v>MARINEMAX, INC.</v>
    <v>MARINEMAX, INC.</v>
    <v>34</v>
    <v>3.8896999999999999</v>
    <v>34.43</v>
    <v>34.47</v>
    <v>34.47</v>
    <v>21846440</v>
    <v>HZO</v>
    <v>MARINEMAX, INC. (XNYS:HZO)</v>
    <v>310961</v>
    <v>353545</v>
    <v>1998</v>
  </rv>
  <rv s="4">
    <v>37</v>
  </rv>
  <rv s="2">
    <v>https://www.bing.com/financeapi/forcetrigger?t=a1t3im&amp;q=XNAS%3aFLWS&amp;form=skydnc</v>
    <v>Learn more on Bing</v>
  </rv>
  <rv s="3">
    <v>en-US</v>
    <v>a1t3im</v>
    <v>268435456</v>
    <v>1</v>
    <v>Powered by Refinitiv</v>
    <v>0</v>
    <v>1-800-FLOWERS.COM, INC. (XNAS:FLWS)</v>
    <v>2</v>
    <v>3</v>
    <v>Finance</v>
    <v>5</v>
    <v>26.03</v>
    <v>5.82</v>
    <v>1.6256999999999999</v>
    <v>0.18</v>
    <v>3.8349999999999999E-3</v>
    <v>1.7561E-2</v>
    <v>0.04</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10.45</v>
    <v>Specialty Retailers</v>
    <v>Stock</v>
    <v>44939.991330497658</v>
    <v>39</v>
    <v>10.1</v>
    <v>674096600</v>
    <v>1-800-FLOWERS.COM, INC.</v>
    <v>1-800-FLOWERS.COM, INC.</v>
    <v>10.130000000000001</v>
    <v>87.674300000000002</v>
    <v>10.25</v>
    <v>10.43</v>
    <v>10.47</v>
    <v>64630550</v>
    <v>FLWS</v>
    <v>1-800-FLOWERS.COM, INC. (XNAS:FLWS)</v>
    <v>310608</v>
    <v>483978</v>
    <v>1992</v>
  </rv>
  <rv s="4">
    <v>40</v>
  </rv>
  <rv s="2">
    <v>https://www.bing.com/financeapi/forcetrigger?t=bwo4oc&amp;q=XNAS%3aNGMS&amp;form=skydnc</v>
    <v>Learn more on Bing</v>
  </rv>
  <rv s="8">
    <v>en-US</v>
    <v>bwo4oc</v>
    <v>268435456</v>
    <v>1</v>
    <v>Powered by Refinitiv</v>
    <v>19</v>
    <v>NeoGames SA (XNAS:NGMS)</v>
    <v>2</v>
    <v>20</v>
    <v>Finance</v>
    <v>4</v>
    <v>25.87</v>
    <v>10.69</v>
    <v>-0.03</v>
    <v>0</v>
    <v>-2.441E-3</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12.35</v>
    <v>Software &amp; IT Services</v>
    <v>Stock</v>
    <v>44939.876069235936</v>
    <v>42</v>
    <v>12.08</v>
    <v>317039500</v>
    <v>NeoGames SA</v>
    <v>NeoGames SA</v>
    <v>12.3</v>
    <v>71.247</v>
    <v>12.29</v>
    <v>12.26</v>
    <v>12.26</v>
    <v>25859660</v>
    <v>NGMS</v>
    <v>NeoGames SA (XNAS:NGMS)</v>
    <v>77860</v>
    <v>92027</v>
    <v>2014</v>
  </rv>
  <rv s="4">
    <v>43</v>
  </rv>
  <rv s="2">
    <v>https://www.bing.com/financeapi/forcetrigger?t=a1slm7&amp;q=XNAS%3aMETA&amp;form=skydnc</v>
    <v>Learn more on Bing</v>
  </rv>
  <rv s="3">
    <v>en-US</v>
    <v>a1slm7</v>
    <v>268435456</v>
    <v>1</v>
    <v>Powered by Refinitiv</v>
    <v>0</v>
    <v>Meta Platforms, Inc. (XNAS:META)</v>
    <v>2</v>
    <v>3</v>
    <v>Finance</v>
    <v>5</v>
    <v>335.63</v>
    <v>88.09</v>
    <v>1.1831</v>
    <v>0.27</v>
    <v>-1.7519999999999999E-3</v>
    <v>1.9750000000000002E-3</v>
    <v>-0.24</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137.38999999999999</v>
    <v>Software &amp; IT Services</v>
    <v>Stock</v>
    <v>44940.041475983591</v>
    <v>45</v>
    <v>134.83500000000001</v>
    <v>359188545060</v>
    <v>Meta Platforms, Inc.</v>
    <v>Meta Platforms, Inc.</v>
    <v>134.97</v>
    <v>13.041399999999999</v>
    <v>136.71</v>
    <v>136.97999999999999</v>
    <v>136.74</v>
    <v>2622197000</v>
    <v>META</v>
    <v>Meta Platforms, Inc. (XNAS:META)</v>
    <v>22423839</v>
    <v>29193013</v>
    <v>2004</v>
  </rv>
  <rv s="4">
    <v>46</v>
  </rv>
  <rv s="2">
    <v>https://www.bing.com/financeapi/forcetrigger?t=a2ve5r&amp;q=OTCM%3aSFTBF&amp;form=skydnc</v>
    <v>Learn more on Bing</v>
  </rv>
  <rv s="5">
    <v>en-US</v>
    <v>a2ve5r</v>
    <v>268435456</v>
    <v>1</v>
    <v>Powered by Refinitiv</v>
    <v>6</v>
    <v>SoftBank Group Corp. (OTCM:SFTBF)</v>
    <v>2</v>
    <v>7</v>
    <v>Finance</v>
    <v>8</v>
    <v>50.27</v>
    <v>33.54</v>
    <v>1.2295</v>
    <v>-0.8</v>
    <v>-1.7391E-2</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45.76</v>
    <v>Telecommunications Services</v>
    <v>Stock</v>
    <v>44939.803518390625</v>
    <v>48</v>
    <v>45.2</v>
    <v>78987600000</v>
    <v>SoftBank Group Corp.</v>
    <v>SoftBank Group Corp.</v>
    <v>45.76</v>
    <v>3.2421000000000002</v>
    <v>46</v>
    <v>45.2</v>
    <v>1722954000</v>
    <v>SFTBF</v>
    <v>SoftBank Group Corp. (OTCM:SFTBF)</v>
    <v>12054</v>
    <v>2060</v>
    <v>1981</v>
  </rv>
  <rv s="4">
    <v>49</v>
  </rv>
  <rv s="2">
    <v>https://www.bing.com/financeapi/forcetrigger?t=a1qca2&amp;q=XNAS%3aCRMT&amp;form=skydnc</v>
    <v>Learn more on Bing</v>
  </rv>
  <rv s="3">
    <v>en-US</v>
    <v>a1qca2</v>
    <v>268435456</v>
    <v>1</v>
    <v>Powered by Refinitiv</v>
    <v>0</v>
    <v>AMERICA'S CAR-MART, INC. (XNAS:CRMT)</v>
    <v>2</v>
    <v>3</v>
    <v>Finance</v>
    <v>5</v>
    <v>127.05</v>
    <v>52.24</v>
    <v>1.3725000000000001</v>
    <v>-0.39</v>
    <v>0</v>
    <v>-4.9499999999999995E-3</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79.27</v>
    <v>Specialty Retailers</v>
    <v>Stock</v>
    <v>44939.879911191405</v>
    <v>51</v>
    <v>76.599999999999994</v>
    <v>499317056</v>
    <v>AMERICA'S CAR-MART, INC.</v>
    <v>AMERICA'S CAR-MART, INC.</v>
    <v>77.52</v>
    <v>8.4366000000000003</v>
    <v>78.790000000000006</v>
    <v>78.400000000000006</v>
    <v>78.400000000000006</v>
    <v>6368840</v>
    <v>CRMT</v>
    <v>AMERICA'S CAR-MART, INC. (XNAS:CRMT)</v>
    <v>50267</v>
    <v>92832</v>
    <v>1989</v>
  </rv>
  <rv s="4">
    <v>52</v>
  </rv>
  <rv s="2">
    <v>https://www.bing.com/financeapi/forcetrigger?t=a2g6z2&amp;q=OTCM%3aEVVTY&amp;form=skydnc</v>
    <v>Learn more on Bing</v>
  </rv>
  <rv s="7">
    <v>en-US</v>
    <v>a2g6z2</v>
    <v>268435456</v>
    <v>1</v>
    <v>Powered by Refinitiv</v>
    <v>17</v>
    <v>Evolution AB (publ) (OTCM:EVVTY)</v>
    <v>2</v>
    <v>21</v>
    <v>Finance</v>
    <v>10</v>
    <v>145.78</v>
    <v>69.569999999999993</v>
    <v>1.1655</v>
    <v>1.66</v>
    <v>-6.6340000000000001E-3</v>
    <v>1.5316000000000001E-2</v>
    <v>-0.73</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110.04</v>
    <v>Hotels &amp; Entertainment Services</v>
    <v>Stock</v>
    <v>44939.875013263278</v>
    <v>54</v>
    <v>106.77</v>
    <v>242281400000</v>
    <v>Evolution AB (publ)</v>
    <v>Evolution AB (publ)</v>
    <v>106.89</v>
    <v>108.38</v>
    <v>110.04</v>
    <v>109.31</v>
    <v>215111100</v>
    <v>EVVTY</v>
    <v>Evolution AB (publ) (OTCM:EVVTY)</v>
    <v>71017</v>
    <v>531270</v>
    <v>2014</v>
  </rv>
  <rv s="4">
    <v>55</v>
  </rv>
  <rv s="2">
    <v>https://www.bing.com/financeapi/forcetrigger?t=a1yv52&amp;q=XNAS%3aNVDA&amp;form=skydnc</v>
    <v>Learn more on Bing</v>
  </rv>
  <rv s="3">
    <v>en-US</v>
    <v>a1yv52</v>
    <v>268435456</v>
    <v>1</v>
    <v>Powered by Refinitiv</v>
    <v>0</v>
    <v>NVIDIA CORPORATION (XNAS:NVDA)</v>
    <v>2</v>
    <v>3</v>
    <v>Finance</v>
    <v>4</v>
    <v>289.45999999999998</v>
    <v>108.13</v>
    <v>1.7359</v>
    <v>3.88</v>
    <v>2.9589999999999998E-3</v>
    <v>2.3498999999999999E-2</v>
    <v>0.5</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169.22</v>
    <v>Semiconductors &amp; Semiconductor Equipment</v>
    <v>Stock</v>
    <v>44940.04126672422</v>
    <v>57</v>
    <v>161.65</v>
    <v>415715400000</v>
    <v>NVIDIA CORPORATION</v>
    <v>NVIDIA CORPORATION</v>
    <v>162.78</v>
    <v>70.229100000000003</v>
    <v>165.11</v>
    <v>168.99</v>
    <v>169.49</v>
    <v>2460000000</v>
    <v>NVDA</v>
    <v>NVIDIA CORPORATION (XNAS:NVDA)</v>
    <v>44728706</v>
    <v>43274697</v>
    <v>1998</v>
  </rv>
  <rv s="4">
    <v>58</v>
  </rv>
  <rv s="2">
    <v>https://www.bing.com/financeapi/forcetrigger?t=bvkn2w&amp;q=XNAS%3aCRSR&amp;form=skydnc</v>
    <v>Learn more on Bing</v>
  </rv>
  <rv s="3">
    <v>en-US</v>
    <v>bvkn2w</v>
    <v>268435456</v>
    <v>1</v>
    <v>Powered by Refinitiv</v>
    <v>0</v>
    <v>CORSAIR GAMING, INC. (XNAS:CRSR)</v>
    <v>2</v>
    <v>3</v>
    <v>Finance</v>
    <v>5</v>
    <v>23.98</v>
    <v>10.96</v>
    <v>1.5449999999999999</v>
    <v>0.3</v>
    <v>-2.6192000000000003E-2</v>
    <v>2.0562E-2</v>
    <v>-0.39</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14.95</v>
    <v>Computers, Phones &amp; Household Electronics</v>
    <v>Stock</v>
    <v>44940.033880450785</v>
    <v>60</v>
    <v>14.15</v>
    <v>1476182000</v>
    <v>CORSAIR GAMING, INC.</v>
    <v>CORSAIR GAMING, INC.</v>
    <v>14.38</v>
    <v>31.651299999999999</v>
    <v>14.59</v>
    <v>14.89</v>
    <v>14.5</v>
    <v>101177700</v>
    <v>CRSR</v>
    <v>CORSAIR GAMING, INC. (XNAS:CRSR)</v>
    <v>316052</v>
    <v>491804</v>
    <v>2017</v>
  </rv>
  <rv s="4">
    <v>61</v>
  </rv>
  <rv s="2">
    <v>https://www.bing.com/financeapi/forcetrigger?t=a22gw7&amp;q=XNYS%3aSAND&amp;form=skydnc</v>
    <v>Learn more on Bing</v>
  </rv>
  <rv s="3">
    <v>en-US</v>
    <v>a22gw7</v>
    <v>268435456</v>
    <v>1</v>
    <v>Powered by Refinitiv</v>
    <v>0</v>
    <v>SANDSTORM GOLD LTD. (XNYS:SAND)</v>
    <v>2</v>
    <v>22</v>
    <v>Finance</v>
    <v>4</v>
    <v>9.18</v>
    <v>4.51</v>
    <v>0.92730000000000001</v>
    <v>6.5000000000000002E-2</v>
    <v>-3.4189999999999997E-3</v>
    <v>1.1226E-2</v>
    <v>-0.02</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5.8949999999999996</v>
    <v>Metals &amp; Mining</v>
    <v>Stock</v>
    <v>44940.04150100625</v>
    <v>63</v>
    <v>5.76</v>
    <v>2309468000</v>
    <v>SANDSTORM GOLD LTD.</v>
    <v>SANDSTORM GOLD LTD.</v>
    <v>5.81</v>
    <v>13.8078</v>
    <v>5.79</v>
    <v>5.8550000000000004</v>
    <v>5.83</v>
    <v>298179700</v>
    <v>SAND</v>
    <v>SANDSTORM GOLD LTD. (XNYS:SAND)</v>
    <v>1933190</v>
    <v>2428648</v>
    <v>2015</v>
  </rv>
  <rv s="4">
    <v>64</v>
  </rv>
  <rv s="2">
    <v>https://www.bing.com/financeapi/forcetrigger?t=bjoj8m&amp;q=XNAS%3aOPRA&amp;form=skydnc</v>
    <v>Learn more on Bing</v>
  </rv>
  <rv s="9">
    <v>en-US</v>
    <v>bjoj8m</v>
    <v>268435456</v>
    <v>1</v>
    <v>Powered by Refinitiv</v>
    <v>23</v>
    <v>OPERA LIMITED (XNAS:OPRA)</v>
    <v>2</v>
    <v>24</v>
    <v>Finance</v>
    <v>5</v>
    <v>7.57</v>
    <v>3.92</v>
    <v>1.0346</v>
    <v>-0.16</v>
    <v>2.3222E-2</v>
    <v>-2.2695E-2</v>
    <v>0.16</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7.06</v>
    <v>Software &amp; IT Services</v>
    <v>Stock</v>
    <v>44940.03749410859</v>
    <v>66</v>
    <v>6.66</v>
    <v>780074087</v>
    <v>OPERA LIMITED</v>
    <v>OPERA LIMITED</v>
    <v>6.98</v>
    <v>7.6675000000000004</v>
    <v>7.05</v>
    <v>6.89</v>
    <v>7.05</v>
    <v>113218300</v>
    <v>OPRA</v>
    <v>OPERA LIMITED (XNAS:OPRA)</v>
    <v>109315</v>
    <v>59519</v>
  </rv>
  <rv s="4">
    <v>67</v>
  </rv>
  <rv s="2">
    <v>https://www.bing.com/financeapi/forcetrigger?t=a1qclh&amp;q=XNAS%3aCROX&amp;form=skydnc</v>
    <v>Learn more on Bing</v>
  </rv>
  <rv s="3">
    <v>en-US</v>
    <v>a1qclh</v>
    <v>268435456</v>
    <v>1</v>
    <v>Powered by Refinitiv</v>
    <v>0</v>
    <v>CROCS, INC. (XNAS:CROX)</v>
    <v>2</v>
    <v>3</v>
    <v>Finance</v>
    <v>4</v>
    <v>136.44999999999999</v>
    <v>46.08</v>
    <v>1.9274</v>
    <v>-1.29</v>
    <v>-4.5300000000000002E-3</v>
    <v>-1.0148999999999998E-2</v>
    <v>-0.56999999999999995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127.6581</v>
    <v>Textiles &amp; Apparel</v>
    <v>Stock</v>
    <v>44939.878620312498</v>
    <v>69</v>
    <v>122.715</v>
    <v>7768748000</v>
    <v>CROCS, INC.</v>
    <v>CROCS, INC.</v>
    <v>125</v>
    <v>14.023099999999999</v>
    <v>127.11</v>
    <v>125.82</v>
    <v>125.25</v>
    <v>61744930</v>
    <v>CROX</v>
    <v>CROCS, INC. (XNAS:CROX)</v>
    <v>1459323</v>
    <v>1331907</v>
    <v>2005</v>
  </rv>
  <rv s="4">
    <v>70</v>
  </rv>
  <rv s="2">
    <v>https://www.bing.com/financeapi/forcetrigger?t=a1nvk2&amp;q=XNYS%3aATHM&amp;form=skydnc</v>
    <v>Learn more on Bing</v>
  </rv>
  <rv s="3">
    <v>en-US</v>
    <v>a1nvk2</v>
    <v>268435456</v>
    <v>1</v>
    <v>Powered by Refinitiv</v>
    <v>0</v>
    <v>AUTOHOME INC. (XNYS:ATHM)</v>
    <v>2</v>
    <v>3</v>
    <v>Finance</v>
    <v>5</v>
    <v>40.89</v>
    <v>20.49</v>
    <v>0.121</v>
    <v>-0.13</v>
    <v>-8.6420000000000004E-3</v>
    <v>-3.6109999999999996E-3</v>
    <v>-0.31</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36.270000000000003</v>
    <v>Media &amp; Publishing</v>
    <v>Stock</v>
    <v>44939.888580740626</v>
    <v>72</v>
    <v>35.36</v>
    <v>4596361000</v>
    <v>AUTOHOME INC.</v>
    <v>AUTOHOME INC.</v>
    <v>36.14</v>
    <v>21.628900000000002</v>
    <v>36</v>
    <v>35.869999999999997</v>
    <v>35.56</v>
    <v>127346900</v>
    <v>ATHM</v>
    <v>AUTOHOME INC. (XNYS:ATHM)</v>
    <v>477500</v>
    <v>712948</v>
    <v>2008</v>
  </rv>
  <rv s="4">
    <v>73</v>
  </rv>
  <rv s="2">
    <v>https://www.bing.com/financeapi/forcetrigger?t=aqbzjc&amp;q=XWAR%3aDNP&amp;form=skydnc</v>
    <v>Learn more on Bing</v>
  </rv>
  <rv s="5">
    <v>en-US</v>
    <v>aqbzjc</v>
    <v>268435456</v>
    <v>1</v>
    <v>Powered by Refinitiv</v>
    <v>6</v>
    <v>DINO POLSKA S.A. (XWAR:DNP)</v>
    <v>2</v>
    <v>25</v>
    <v>Finance</v>
    <v>26</v>
    <v>390.3</v>
    <v>240</v>
    <v>0.65339999999999998</v>
    <v>0</v>
    <v>0</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371</v>
    <v>Food &amp; Drug Retailing</v>
    <v>Stock</v>
    <v>44939.669444444444</v>
    <v>75</v>
    <v>363</v>
    <v>35637540000</v>
    <v>DINO POLSKA S.A.</v>
    <v>DINO POLSKA S.A.</v>
    <v>366.7</v>
    <v>34.446300000000001</v>
    <v>363.5</v>
    <v>363.5</v>
    <v>98040000</v>
    <v>DNP</v>
    <v>DINO POLSKA S.A. (XWAR:DNP)</v>
    <v>106776</v>
    <v>175210</v>
    <v>2012</v>
  </rv>
  <rv s="4">
    <v>76</v>
  </rv>
  <rv s="2">
    <v>https://www.bing.com/financeapi/forcetrigger?t=a32har&amp;q=XNAS%3aXPEL&amp;form=skydnc</v>
    <v>Learn more on Bing</v>
  </rv>
  <rv s="3">
    <v>en-US</v>
    <v>a32har</v>
    <v>268435456</v>
    <v>1</v>
    <v>Powered by Refinitiv</v>
    <v>0</v>
    <v>XPEL, INC. (XNAS:XPEL)</v>
    <v>2</v>
    <v>3</v>
    <v>Finance</v>
    <v>5</v>
    <v>87.01</v>
    <v>39.799999999999997</v>
    <v>1.5773999999999999</v>
    <v>1.98</v>
    <v>-3.0120000000000001E-2</v>
    <v>2.7864E-2</v>
    <v>-2.2000000000000002</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73.28</v>
    <v>Automobiles &amp; Auto Parts</v>
    <v>Stock</v>
    <v>44939.880846816406</v>
    <v>78</v>
    <v>69.727999999999994</v>
    <v>2017077000</v>
    <v>XPEL, INC.</v>
    <v>XPEL, INC.</v>
    <v>70.11</v>
    <v>50.0246</v>
    <v>71.06</v>
    <v>73.040000000000006</v>
    <v>70.84</v>
    <v>27616060</v>
    <v>XPEL</v>
    <v>XPEL, INC. (XNAS:XPEL)</v>
    <v>174925</v>
    <v>113774</v>
    <v>2003</v>
  </rv>
  <rv s="4">
    <v>79</v>
  </rv>
  <rv s="2">
    <v>https://www.bing.com/financeapi/forcetrigger?t=ah387w&amp;q=XHKG%3a1830&amp;form=skydnc</v>
    <v>Learn more on Bing</v>
  </rv>
  <rv s="3">
    <v>en-US</v>
    <v>ah387w</v>
    <v>268435456</v>
    <v>1</v>
    <v>Powered by Refinitiv</v>
    <v>0</v>
    <v>PERFECT MEDICAL HEALTH MANAGEMENT LIMITED (XHKG:1830)</v>
    <v>2</v>
    <v>14</v>
    <v>Finance</v>
    <v>10</v>
    <v>5.5</v>
    <v>2.7</v>
    <v>1.2559</v>
    <v>0.11</v>
    <v>0</v>
    <v>2.5172E-2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v>
    <v>Personal &amp; Household Products &amp; Services</v>
    <v>Stock</v>
    <v>44939.339166666665</v>
    <v>81</v>
    <v>4.28</v>
    <v>5636005000</v>
    <v>PERFECT MEDICAL HEALTH MANAGEMENT LIMITED</v>
    <v>PERFECT MEDICAL HEALTH MANAGEMENT LIMITED</v>
    <v>4.42</v>
    <v>23.19</v>
    <v>4.37</v>
    <v>4.4800000000000004</v>
    <v>4.4800000000000004</v>
    <v>1258037000</v>
    <v>1830</v>
    <v>PERFECT MEDICAL HEALTH MANAGEMENT LIMITED (XHKG:1830)</v>
    <v>714000</v>
    <v>1138640</v>
    <v>2011</v>
  </rv>
  <rv s="4">
    <v>82</v>
  </rv>
  <rv s="2">
    <v>https://www.bing.com/financeapi/forcetrigger?t=a23d9c&amp;q=XNYS%3aSPGI&amp;form=skydnc</v>
    <v>Learn more on Bing</v>
  </rv>
  <rv s="3">
    <v>en-US</v>
    <v>a23d9c</v>
    <v>268435456</v>
    <v>1</v>
    <v>Powered by Refinitiv</v>
    <v>0</v>
    <v>S&amp;P Global Inc. (XNYS:SPGI)</v>
    <v>2</v>
    <v>3</v>
    <v>Finance</v>
    <v>4</v>
    <v>450.07</v>
    <v>279.32</v>
    <v>1.07</v>
    <v>-1.64</v>
    <v>7.3690000000000008E-4</v>
    <v>-4.4590000000000003E-3</v>
    <v>0.27</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366.72</v>
    <v>Professional &amp; Commercial Services</v>
    <v>Stock</v>
    <v>44940.035202500003</v>
    <v>84</v>
    <v>362.93</v>
    <v>119285154000</v>
    <v>S&amp;P Global Inc.</v>
    <v>S&amp;P Global Inc.</v>
    <v>363.95</v>
    <v>30.75</v>
    <v>367.77</v>
    <v>366.13</v>
    <v>366.65</v>
    <v>325800000</v>
    <v>SPGI</v>
    <v>S&amp;P Global Inc. (XNYS:SPGI)</v>
    <v>1447094</v>
    <v>1489966</v>
    <v>1925</v>
  </rv>
  <rv s="4">
    <v>85</v>
  </rv>
  <rv s="2">
    <v>https://www.bing.com/financeapi/forcetrigger?t=a1sz9c&amp;q=XNAS%3aFLEX&amp;form=skydnc</v>
    <v>Learn more on Bing</v>
  </rv>
  <rv s="9">
    <v>en-US</v>
    <v>a1sz9c</v>
    <v>268435456</v>
    <v>1</v>
    <v>Powered by Refinitiv</v>
    <v>23</v>
    <v>FLEX LTD. (XNAS:FLEX)</v>
    <v>2</v>
    <v>24</v>
    <v>Finance</v>
    <v>5</v>
    <v>24.074999999999999</v>
    <v>13.63</v>
    <v>1.4853000000000001</v>
    <v>0.57999999999999996</v>
    <v>4.0781999999999999E-2</v>
    <v>2.4733000000000002E-2</v>
    <v>0.98</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24.074999999999999</v>
    <v>Electronic Equipment &amp; Parts</v>
    <v>Stock</v>
    <v>44940.021712661721</v>
    <v>87</v>
    <v>23.14</v>
    <v>10617780000</v>
    <v>FLEX LTD.</v>
    <v>FLEX LTD.</v>
    <v>23.23</v>
    <v>13.4642</v>
    <v>23.45</v>
    <v>24.03</v>
    <v>25.01</v>
    <v>452784000</v>
    <v>FLEX</v>
    <v>FLEX LTD. (XNAS:FLEX)</v>
    <v>6223675</v>
    <v>4111046</v>
  </rv>
  <rv s="4">
    <v>88</v>
  </rv>
  <rv s="2">
    <v>https://www.bing.com/financeapi/forcetrigger?t=a1y2bh&amp;q=XNAS%3aMTCH&amp;form=skydnc</v>
    <v>Learn more on Bing</v>
  </rv>
  <rv s="3">
    <v>en-US</v>
    <v>a1y2bh</v>
    <v>268435456</v>
    <v>1</v>
    <v>Powered by Refinitiv</v>
    <v>0</v>
    <v>MATCH GROUP, INC. (XNAS:MTCH)</v>
    <v>2</v>
    <v>3</v>
    <v>Finance</v>
    <v>5</v>
    <v>128.87</v>
    <v>38.64</v>
    <v>0.89559999999999995</v>
    <v>7.0000000000000007E-2</v>
    <v>3.0349999999999999E-3</v>
    <v>1.5199999999999999E-3</v>
    <v>0.14000000000000001</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46.354999999999997</v>
    <v>Software &amp; IT Services</v>
    <v>Stock</v>
    <v>44940.039020740624</v>
    <v>90</v>
    <v>45.3</v>
    <v>12884390393</v>
    <v>MATCH GROUP, INC.</v>
    <v>MATCH GROUP, INC.</v>
    <v>45.47</v>
    <v>121.81</v>
    <v>46.06</v>
    <v>46.13</v>
    <v>46.27</v>
    <v>279306100</v>
    <v>MTCH</v>
    <v>MATCH GROUP, INC. (XNAS:MTCH)</v>
    <v>2971031</v>
    <v>4849098</v>
    <v>1986</v>
  </rv>
  <rv s="4">
    <v>91</v>
  </rv>
  <rv s="2">
    <v>https://www.bing.com/financeapi/forcetrigger?t=a2iear&amp;q=OTCM%3aGMWKF&amp;form=skydnc</v>
    <v>Learn more on Bing</v>
  </rv>
  <rv s="5">
    <v>en-US</v>
    <v>a2iear</v>
    <v>268435456</v>
    <v>1</v>
    <v>Powered by Refinitiv</v>
    <v>6</v>
    <v>GAMES WORKSHOP GROUP PLC (OTCM:GMWKF)</v>
    <v>2</v>
    <v>27</v>
    <v>Finance</v>
    <v>8</v>
    <v>123.75</v>
    <v>63.71</v>
    <v>1.4554</v>
    <v>6.75</v>
    <v>6.2645000000000006E-2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114.5</v>
    <v>Leisure Products</v>
    <v>Stock</v>
    <v>44939.807327187496</v>
    <v>93</v>
    <v>113</v>
    <v>3101709000</v>
    <v>GAMES WORKSHOP GROUP PLC</v>
    <v>GAMES WORKSHOP GROUP PLC</v>
    <v>111.54</v>
    <v>23.660699999999999</v>
    <v>107.75</v>
    <v>114.5</v>
    <v>32909380</v>
    <v>GMWKF</v>
    <v>GAMES WORKSHOP GROUP PLC (OTCM:GMWKF)</v>
    <v>1353</v>
    <v>59310</v>
    <v>1991</v>
  </rv>
  <rv s="4">
    <v>94</v>
  </rv>
  <rv s="2">
    <v>https://www.bing.com/financeapi/forcetrigger?t=brxwh7&amp;q=XASX%3aMAD&amp;form=skydnc</v>
    <v>Learn more on Bing</v>
  </rv>
  <rv s="5">
    <v>en-US</v>
    <v>brxwh7</v>
    <v>268435456</v>
    <v>1</v>
    <v>Powered by Refinitiv</v>
    <v>6</v>
    <v>MADER GROUP LIMITED (XASX:MAD)</v>
    <v>2</v>
    <v>28</v>
    <v>Finance</v>
    <v>29</v>
    <v>3.97</v>
    <v>1.71</v>
    <v>1.018</v>
    <v>0.03</v>
    <v>8.1969999999999994E-3</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3.73</v>
    <v>Professional &amp; Commercial Services</v>
    <v>Stock</v>
    <v>44939.333333333336</v>
    <v>96</v>
    <v>3.6549999999999998</v>
    <v>732000000</v>
    <v>MADER GROUP LIMITED</v>
    <v>MADER GROUP LIMITED</v>
    <v>3.68</v>
    <v>26.41</v>
    <v>3.66</v>
    <v>3.69</v>
    <v>200000000</v>
    <v>MAD</v>
    <v>MADER GROUP LIMITED (XASX:MAD)</v>
    <v>28879</v>
    <v>40010</v>
    <v>2012</v>
  </rv>
  <rv s="4">
    <v>97</v>
  </rv>
  <rv s="2">
    <v>https://www.bing.com/financeapi/forcetrigger?t=bxkq27&amp;q=XLON%3aDOCS&amp;form=skydnc</v>
    <v>Learn more on Bing</v>
  </rv>
  <rv s="5">
    <v>en-US</v>
    <v>bxkq27</v>
    <v>268435456</v>
    <v>1</v>
    <v>Powered by Refinitiv</v>
    <v>6</v>
    <v>DR. MARTENS PLC (XLON:DOCS)</v>
    <v>2</v>
    <v>15</v>
    <v>Finance</v>
    <v>16</v>
    <v>372.8</v>
    <v>173</v>
    <v>0.91300000000000003</v>
    <v>-2.8</v>
    <v>-1.3158000000000001E-2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214.8</v>
    <v>Textiles &amp; Apparel</v>
    <v>Stock</v>
    <v>44939.691026955472</v>
    <v>99</v>
    <v>202.4</v>
    <v>2101535000</v>
    <v>DR. MARTENS PLC</v>
    <v>DR. MARTENS PLC</v>
    <v>202.4</v>
    <v>11.981999999999999</v>
    <v>212.8</v>
    <v>210</v>
    <v>1000731000</v>
    <v>DOCS</v>
    <v>DR. MARTENS PLC (XLON:DOCS)</v>
    <v>919028</v>
    <v>3163120</v>
    <v>2020</v>
  </rv>
  <rv s="4">
    <v>100</v>
  </rv>
</rvData>
</file>

<file path=xl/richData/rdrichvaluestructure.xml><?xml version="1.0" encoding="utf-8"?>
<rvStructures xmlns="http://schemas.microsoft.com/office/spreadsheetml/2017/richdata" count="10">
  <s t="_error">
    <k n="errorType" t="i"/>
    <k n="field" t="s"/>
    <k n="subType" t="i"/>
  </s>
  <s t="_error">
    <k n="errorType" t="i"/>
    <k n="propagated" t="b"/>
  </s>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6">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v>
      <v>2</v>
      <v>2</v>
      <v>1</v>
      <v>3</v>
      <v>1</v>
      <v>1</v>
      <v>1</v>
      <v>4</v>
      <v>4</v>
      <v>5</v>
      <v>6</v>
      <v>1</v>
      <v>1</v>
      <v>1</v>
      <v>4</v>
      <v>7</v>
      <v>8</v>
      <v>9</v>
      <v>4</v>
    </spb>
    <spb s="6">
      <v>Delayed 15 minutes</v>
      <v>from previous close</v>
      <v>from previous close</v>
      <v>GMT</v>
    </spb>
    <spb s="3">
      <v>1</v>
      <v>2</v>
      <v>2</v>
      <v>1</v>
      <v>3</v>
      <v>1</v>
      <v>1</v>
      <v>1</v>
      <v>4</v>
      <v>4</v>
      <v>5</v>
      <v>10</v>
      <v>1</v>
      <v>1</v>
      <v>1</v>
      <v>4</v>
      <v>7</v>
      <v>8</v>
      <v>9</v>
      <v>4</v>
      <v>1</v>
      <v>1</v>
      <v>5</v>
    </spb>
    <spb s="7">
      <v>at close</v>
      <v>from previous close</v>
      <v>from previous close</v>
      <v>GMT</v>
      <v>Delayed 15 minutes</v>
      <v>from close</v>
      <v>from close</v>
    </spb>
    <spb s="0">
      <v>2</v>
      <v>Name</v>
      <v>LearnMoreOnLink</v>
    </spb>
    <spb s="8">
      <v>11</v>
      <v>2</v>
      <v>2</v>
      <v>11</v>
      <v>3</v>
      <v>11</v>
      <v>11</v>
      <v>11</v>
      <v>4</v>
      <v>4</v>
      <v>5</v>
      <v>12</v>
      <v>11</v>
      <v>11</v>
      <v>11</v>
      <v>4</v>
      <v>7</v>
      <v>9</v>
      <v>4</v>
    </spb>
    <spb s="9">
      <v>Delayed 15 minutes</v>
      <v>from previous close</v>
      <v>from previous close</v>
      <v>Borsa Italia</v>
      <v>GMT</v>
    </spb>
    <spb s="3">
      <v>13</v>
      <v>2</v>
      <v>2</v>
      <v>13</v>
      <v>3</v>
      <v>13</v>
      <v>13</v>
      <v>13</v>
      <v>4</v>
      <v>4</v>
      <v>5</v>
      <v>14</v>
      <v>13</v>
      <v>13</v>
      <v>13</v>
      <v>4</v>
      <v>7</v>
      <v>8</v>
      <v>9</v>
      <v>4</v>
      <v>13</v>
      <v>13</v>
      <v>5</v>
    </spb>
    <spb s="5">
      <v>15</v>
      <v>2</v>
      <v>2</v>
      <v>15</v>
      <v>3</v>
      <v>15</v>
      <v>15</v>
      <v>15</v>
      <v>4</v>
      <v>4</v>
      <v>5</v>
      <v>16</v>
      <v>15</v>
      <v>15</v>
      <v>15</v>
      <v>4</v>
      <v>7</v>
      <v>8</v>
      <v>9</v>
      <v>4</v>
    </spb>
    <spb s="9">
      <v>Delayed 15 minutes</v>
      <v>from previous close</v>
      <v>from previous close</v>
      <v>LSE</v>
      <v>GMT</v>
    </spb>
    <spb s="0">
      <v>3</v>
      <v>Name</v>
      <v>LearnMoreOnLink</v>
    </spb>
    <spb s="10">
      <v>1</v>
      <v>2</v>
      <v>1</v>
      <v>3</v>
      <v>1</v>
      <v>1</v>
      <v>1</v>
      <v>4</v>
      <v>4</v>
      <v>5</v>
      <v>6</v>
      <v>1</v>
      <v>1</v>
      <v>1</v>
      <v>4</v>
      <v>7</v>
      <v>8</v>
      <v>9</v>
      <v>4</v>
      <v>1</v>
      <v>1</v>
      <v>5</v>
    </spb>
    <spb s="0">
      <v>4</v>
      <v>Name</v>
      <v>LearnMoreOnLink</v>
    </spb>
    <spb s="11">
      <v>1</v>
      <v>2</v>
      <v>1</v>
      <v>3</v>
      <v>1</v>
      <v>1</v>
      <v>1</v>
      <v>4</v>
      <v>4</v>
      <v>5</v>
      <v>6</v>
      <v>1</v>
      <v>1</v>
      <v>1</v>
      <v>4</v>
      <v>7</v>
      <v>8</v>
      <v>9</v>
      <v>4</v>
      <v>1</v>
      <v>1</v>
      <v>5</v>
    </spb>
    <spb s="10">
      <v>1</v>
      <v>2</v>
      <v>1</v>
      <v>3</v>
      <v>1</v>
      <v>1</v>
      <v>1</v>
      <v>4</v>
      <v>4</v>
      <v>5</v>
      <v>17</v>
      <v>1</v>
      <v>1</v>
      <v>1</v>
      <v>4</v>
      <v>7</v>
      <v>8</v>
      <v>9</v>
      <v>4</v>
      <v>1</v>
      <v>1</v>
      <v>5</v>
    </spb>
    <spb s="3">
      <v>1</v>
      <v>2</v>
      <v>2</v>
      <v>1</v>
      <v>3</v>
      <v>1</v>
      <v>1</v>
      <v>1</v>
      <v>4</v>
      <v>4</v>
      <v>5</v>
      <v>18</v>
      <v>1</v>
      <v>1</v>
      <v>1</v>
      <v>4</v>
      <v>7</v>
      <v>8</v>
      <v>9</v>
      <v>4</v>
      <v>1</v>
      <v>1</v>
      <v>5</v>
    </spb>
    <spb s="0">
      <v>5</v>
      <v>Name</v>
      <v>LearnMoreOnLink</v>
    </spb>
    <spb s="12">
      <v>1</v>
      <v>2</v>
      <v>2</v>
      <v>1</v>
      <v>3</v>
      <v>1</v>
      <v>1</v>
      <v>1</v>
      <v>4</v>
      <v>4</v>
      <v>5</v>
      <v>6</v>
      <v>1</v>
      <v>1</v>
      <v>1</v>
      <v>4</v>
      <v>7</v>
      <v>9</v>
      <v>4</v>
      <v>1</v>
      <v>1</v>
      <v>5</v>
    </spb>
    <spb s="5">
      <v>19</v>
      <v>2</v>
      <v>2</v>
      <v>19</v>
      <v>3</v>
      <v>19</v>
      <v>19</v>
      <v>19</v>
      <v>4</v>
      <v>4</v>
      <v>5</v>
      <v>20</v>
      <v>19</v>
      <v>19</v>
      <v>19</v>
      <v>4</v>
      <v>7</v>
      <v>8</v>
      <v>9</v>
      <v>4</v>
    </spb>
    <spb s="6">
      <v>End of Day</v>
      <v>from previous close</v>
      <v>from previous close</v>
      <v>GMT</v>
    </spb>
    <spb s="5">
      <v>1</v>
      <v>2</v>
      <v>2</v>
      <v>1</v>
      <v>3</v>
      <v>1</v>
      <v>1</v>
      <v>1</v>
      <v>4</v>
      <v>4</v>
      <v>5</v>
      <v>16</v>
      <v>1</v>
      <v>1</v>
      <v>1</v>
      <v>4</v>
      <v>7</v>
      <v>8</v>
      <v>9</v>
      <v>4</v>
    </spb>
    <spb s="5">
      <v>21</v>
      <v>2</v>
      <v>2</v>
      <v>21</v>
      <v>3</v>
      <v>21</v>
      <v>21</v>
      <v>21</v>
      <v>4</v>
      <v>4</v>
      <v>5</v>
      <v>22</v>
      <v>21</v>
      <v>21</v>
      <v>21</v>
      <v>4</v>
      <v>7</v>
      <v>8</v>
      <v>9</v>
      <v>4</v>
    </spb>
    <spb s="6">
      <v>Delayed 20 minutes</v>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 #,##0 [$kr-smj-SE]_-;-* #,##0 [$kr-smj-SE]_-;_-* "-" [$kr-smj-SE]_-;_-@_-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T34" totalsRowCount="1" headerRowDxfId="41" headerRowBorderDxfId="40" tableBorderDxfId="39">
  <autoFilter ref="A1:T33" xr:uid="{D33CFB4D-F199-4348-B07F-318ED2E8086B}"/>
  <sortState xmlns:xlrd2="http://schemas.microsoft.com/office/spreadsheetml/2017/richdata2" ref="A2:T33">
    <sortCondition descending="1" ref="G1:G33"/>
  </sortState>
  <tableColumns count="20">
    <tableColumn id="1" xr3:uid="{AD982FAD-8CBD-434C-B116-FA54BB443EA7}" name="Ticker" totalsRowLabel="Total" dataDxfId="5" totalsRowDxfId="26"/>
    <tableColumn id="2" xr3:uid="{13108310-4E80-4955-87D5-50ABFE9808A2}" name="Nombre" totalsRowFunction="count" dataDxfId="4" totalsRowDxfId="25"/>
    <tableColumn id="3" xr3:uid="{740DF2CF-2890-4346-8B3A-BFB6CD4B59AA}" name="Sector" dataDxfId="3" totalsRowDxfId="24"/>
    <tableColumn id="4" xr3:uid="{41539FCC-ECED-4C9A-9915-FAFD36FD0CC8}" name="IR" dataDxfId="2" totalsRowDxfId="23" dataCellStyle="Porcentaje"/>
    <tableColumn id="5" xr3:uid="{0F48A4E9-12A0-4849-8E3D-DF2571E9AB8B}" name="Precio" dataDxfId="1" totalsRowDxfId="22"/>
    <tableColumn id="6" xr3:uid="{C9F1DB4D-800F-4CA2-BD21-15BCECD371B6}" name="Objetivo" dataDxfId="0" totalsRowDxfId="21"/>
    <tableColumn id="20" xr3:uid="{41EA20CF-BDD7-4986-AEDF-65BA48C92A44}" name="CAGR" dataDxfId="6" dataCellStyle="Porcentaje">
      <calculatedColumnFormula>(F2/E2)^(1/5) -1</calculatedColumnFormula>
    </tableColumn>
    <tableColumn id="7" xr3:uid="{7EBD78EA-ED5D-4387-847F-8ECA8ECA92C0}" name="Valoración" totalsRowFunction="custom" dataDxfId="7" totalsRowDxfId="20">
      <calculatedColumnFormula>F2/E2</calculatedColumnFormula>
      <totalsRowFormula>MEDIAN(H2:H33)</totalsRowFormula>
    </tableColumn>
    <tableColumn id="19" xr3:uid="{15259FF9-9CB4-4AFE-8457-02B3DBE43287}" name="FCF Yield" totalsRowFunction="average" dataDxfId="38" totalsRowDxfId="19"/>
    <tableColumn id="8" xr3:uid="{0B4D075F-0F3B-4FB1-B921-344185EF4415}" name="Riesgo" dataDxfId="37" totalsRowDxfId="18"/>
    <tableColumn id="9" xr3:uid="{C49F1470-2779-468F-A64F-FC0565E035F5}" name="Moat" dataDxfId="36" totalsRowDxfId="17"/>
    <tableColumn id="17" xr3:uid="{94D5EF6D-7497-4194-A03E-7A862326A9AC}" name="M. Bruto" totalsRowFunction="average" dataDxfId="35" totalsRowDxfId="16"/>
    <tableColumn id="10" xr3:uid="{2A8AD1D3-EF6E-410F-A0CC-6BF0F0018451}" name="M. Neto" totalsRowFunction="average" dataDxfId="34" totalsRowDxfId="15"/>
    <tableColumn id="11" xr3:uid="{F6A86BAA-4D71-46F3-981F-B3F0E2949A83}" name="Δ Rev." totalsRowFunction="average" dataDxfId="33" totalsRowDxfId="14"/>
    <tableColumn id="18" xr3:uid="{85024266-0CA0-4075-B11B-2FFFA258AE95}" name="Δ FCF" totalsRowFunction="average" dataDxfId="32" totalsRowDxfId="13"/>
    <tableColumn id="12" xr3:uid="{9850475F-4858-420C-B9CE-D89A9ECD49FA}" name="Δ EPS" totalsRowFunction="average" dataDxfId="31" totalsRowDxfId="12"/>
    <tableColumn id="13" xr3:uid="{4C856960-446B-4F07-BE1B-9358422D151C}" name="CFROIC" totalsRowFunction="average" dataDxfId="30" totalsRowDxfId="11"/>
    <tableColumn id="14" xr3:uid="{774052FB-EC3A-4DF9-8F69-2FB1654E3240}" name="Deuda" dataDxfId="29" totalsRowDxfId="10"/>
    <tableColumn id="15" xr3:uid="{2B16D724-0F44-403B-A7FA-404D979CF702}" name="Directiva" dataDxfId="28" totalsRowDxfId="9"/>
    <tableColumn id="16" xr3:uid="{39A05311-6049-47AB-96D3-776646CA91DE}" name="Last Modified" totalsRowFunction="min" dataDxfId="27" totalsRow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0"/>
  <sheetViews>
    <sheetView topLeftCell="A35" zoomScaleNormal="100" workbookViewId="0">
      <selection activeCell="D4" sqref="D4:G17"/>
    </sheetView>
  </sheetViews>
  <sheetFormatPr baseColWidth="10" defaultColWidth="9.140625" defaultRowHeight="15" x14ac:dyDescent="0.25"/>
  <cols>
    <col min="1" max="1" width="14" style="8" customWidth="1"/>
    <col min="2" max="2" width="11.28515625" style="19" customWidth="1"/>
    <col min="3" max="3" width="3.28515625" style="19" customWidth="1"/>
    <col min="4" max="4" width="35.7109375" style="19" bestFit="1" customWidth="1"/>
    <col min="5" max="14" width="10.7109375" style="19" customWidth="1"/>
    <col min="15" max="15" width="3.5703125" style="19" customWidth="1"/>
    <col min="16" max="16" width="10.7109375" style="19" customWidth="1"/>
    <col min="17" max="17" width="3.28515625" style="19" customWidth="1"/>
    <col min="18" max="21" width="10.7109375" style="19" customWidth="1"/>
    <col min="22" max="22" width="3.42578125" style="19" customWidth="1"/>
    <col min="23" max="29" width="9.140625" style="19"/>
    <col min="30" max="31" width="10.140625" style="19" bestFit="1" customWidth="1"/>
    <col min="32" max="16384" width="9.140625" style="19"/>
  </cols>
  <sheetData>
    <row r="1" spans="1:31" ht="37.5" customHeight="1" x14ac:dyDescent="0.25">
      <c r="B1" s="8" t="s">
        <v>0</v>
      </c>
      <c r="C1" s="8"/>
      <c r="E1" s="8"/>
      <c r="F1" s="8"/>
      <c r="G1" s="8"/>
      <c r="H1" s="180"/>
      <c r="I1" s="180"/>
      <c r="J1" s="180"/>
      <c r="K1" s="180"/>
      <c r="L1" s="8"/>
      <c r="M1" s="8"/>
      <c r="N1" s="8"/>
      <c r="O1" s="8"/>
      <c r="P1" s="8"/>
      <c r="Q1" s="8"/>
      <c r="R1" s="8"/>
      <c r="S1" s="180"/>
      <c r="T1" s="180"/>
      <c r="U1" s="8"/>
      <c r="V1" s="8"/>
      <c r="W1" s="8"/>
      <c r="X1" s="8"/>
      <c r="Y1" s="8"/>
      <c r="Z1" s="8"/>
      <c r="AA1" s="8"/>
      <c r="AB1" s="8"/>
      <c r="AC1" s="8"/>
    </row>
    <row r="2" spans="1:31" ht="37.5" customHeight="1" x14ac:dyDescent="0.25">
      <c r="B2" s="8"/>
      <c r="C2" s="62"/>
      <c r="D2" s="177" t="s">
        <v>216</v>
      </c>
      <c r="E2" s="177"/>
      <c r="F2" s="177"/>
      <c r="G2" s="178"/>
      <c r="H2" s="70" t="s">
        <v>41</v>
      </c>
      <c r="I2" s="134" t="e" cm="1" vm="1">
        <f t="array" ref="I2">_FV(D2,"Market cap",TRUE)/1000000000</f>
        <v>#VALUE!</v>
      </c>
      <c r="J2" s="69" t="s">
        <v>38</v>
      </c>
      <c r="K2" s="42" t="s">
        <v>36</v>
      </c>
      <c r="L2" s="192" t="e" cm="1" vm="2">
        <f t="array" ref="L2">_FV(D2,"Industry")</f>
        <v>#VALUE!</v>
      </c>
      <c r="M2" s="192"/>
      <c r="N2" s="192"/>
      <c r="O2" s="193"/>
      <c r="P2" s="50"/>
      <c r="Q2" s="57"/>
      <c r="R2" s="185" t="s">
        <v>42</v>
      </c>
      <c r="S2" s="185"/>
      <c r="T2" s="58"/>
      <c r="U2" s="57"/>
      <c r="V2" s="59"/>
      <c r="W2" s="8"/>
      <c r="X2" s="8"/>
      <c r="Y2" s="8"/>
      <c r="Z2" s="8"/>
      <c r="AA2" s="8"/>
      <c r="AB2" s="8"/>
      <c r="AC2" s="8"/>
    </row>
    <row r="3" spans="1:31" ht="12.75" customHeight="1" x14ac:dyDescent="0.25">
      <c r="B3" s="8"/>
      <c r="C3" s="37"/>
      <c r="D3" s="63"/>
      <c r="E3" s="57"/>
      <c r="F3" s="57"/>
      <c r="G3" s="57"/>
      <c r="H3" s="56"/>
      <c r="I3" s="64"/>
      <c r="J3" s="8"/>
      <c r="K3" s="57"/>
      <c r="L3" s="8"/>
      <c r="M3" s="8"/>
      <c r="N3" s="8"/>
      <c r="O3" s="38"/>
      <c r="P3" s="50"/>
      <c r="Q3" s="8"/>
      <c r="R3" s="8"/>
      <c r="S3" s="55"/>
      <c r="T3" s="55"/>
      <c r="U3" s="8"/>
      <c r="V3" s="38"/>
      <c r="W3" s="8"/>
      <c r="X3" s="8"/>
      <c r="Y3" s="8"/>
      <c r="Z3" s="8"/>
      <c r="AA3" s="8"/>
      <c r="AB3" s="8"/>
      <c r="AC3" s="8"/>
    </row>
    <row r="4" spans="1:31" ht="14.25" customHeight="1" x14ac:dyDescent="0.25">
      <c r="B4" s="8"/>
      <c r="C4" s="37"/>
      <c r="D4" s="179" t="e" cm="1" vm="3">
        <f t="array" ref="D4">_FV(D2,"Description")</f>
        <v>#VALUE!</v>
      </c>
      <c r="E4" s="179"/>
      <c r="F4" s="179"/>
      <c r="G4" s="179"/>
      <c r="H4" s="55"/>
      <c r="I4" s="8"/>
      <c r="J4" s="8" t="s">
        <v>35</v>
      </c>
      <c r="K4" s="8"/>
      <c r="L4" s="8"/>
      <c r="M4" s="8"/>
      <c r="N4" s="8"/>
      <c r="O4" s="38"/>
      <c r="P4" s="50"/>
      <c r="Q4" s="8"/>
      <c r="R4" s="8" t="s">
        <v>47</v>
      </c>
      <c r="S4" s="76" t="s">
        <v>48</v>
      </c>
      <c r="T4" s="76" t="s">
        <v>49</v>
      </c>
      <c r="U4" s="76" t="s">
        <v>50</v>
      </c>
      <c r="V4" s="38"/>
      <c r="W4" s="8"/>
      <c r="X4" s="8"/>
      <c r="Y4" s="8"/>
      <c r="Z4" s="8"/>
      <c r="AA4" s="8"/>
      <c r="AB4" s="8"/>
      <c r="AC4" s="8"/>
      <c r="AD4" s="88">
        <f>T14</f>
        <v>0</v>
      </c>
      <c r="AE4" s="19">
        <v>0</v>
      </c>
    </row>
    <row r="5" spans="1:31" ht="37.5" customHeight="1" x14ac:dyDescent="0.25">
      <c r="A5" s="96" t="s">
        <v>88</v>
      </c>
      <c r="B5" s="8"/>
      <c r="C5" s="37"/>
      <c r="D5" s="179"/>
      <c r="E5" s="179"/>
      <c r="F5" s="179"/>
      <c r="G5" s="179"/>
      <c r="H5" s="65"/>
      <c r="I5" s="55"/>
      <c r="J5" s="184" t="e" cm="1" vm="4">
        <f t="array" ref="J5">_FV(D2,"Price")</f>
        <v>#VALUE!</v>
      </c>
      <c r="K5" s="184"/>
      <c r="L5" s="184"/>
      <c r="M5" s="184"/>
      <c r="O5" s="38"/>
      <c r="P5" s="50"/>
      <c r="Q5" s="8"/>
      <c r="R5" s="133" t="e" vm="5">
        <f>J5/N29</f>
        <v>#VALUE!</v>
      </c>
      <c r="S5" s="77" t="e" vm="5">
        <f>J5/N30</f>
        <v>#VALUE!</v>
      </c>
      <c r="T5" s="75" t="e" vm="5">
        <f>(R5)/(S29*100)</f>
        <v>#VALUE!</v>
      </c>
      <c r="U5" s="78" t="e" vm="5">
        <f>1/R5</f>
        <v>#VALUE!</v>
      </c>
      <c r="V5" s="38"/>
      <c r="W5" s="8"/>
      <c r="X5" s="8"/>
      <c r="Y5" s="8"/>
      <c r="Z5" s="8"/>
      <c r="AA5" s="8"/>
      <c r="AB5" s="8"/>
      <c r="AC5" s="8"/>
      <c r="AD5" s="19">
        <f>AD4+(AD4*$T$10)</f>
        <v>0</v>
      </c>
      <c r="AE5" s="19">
        <v>1</v>
      </c>
    </row>
    <row r="6" spans="1:31" ht="15" customHeight="1" x14ac:dyDescent="0.25">
      <c r="A6" s="99">
        <f>(N53/100)</f>
        <v>0</v>
      </c>
      <c r="B6" s="8"/>
      <c r="C6" s="37"/>
      <c r="D6" s="179"/>
      <c r="E6" s="179"/>
      <c r="F6" s="179"/>
      <c r="G6" s="179"/>
      <c r="H6" s="65"/>
      <c r="I6" s="55"/>
      <c r="J6" s="8"/>
      <c r="K6" s="79" t="s">
        <v>37</v>
      </c>
      <c r="L6" s="67" t="e" cm="1" vm="6">
        <f t="array" ref="L6">_FV(D2,"change")</f>
        <v>#VALUE!</v>
      </c>
      <c r="M6" s="66" t="e" cm="1" vm="7">
        <f t="array" ref="M6">_FV(D2,"Change (%)",TRUE)</f>
        <v>#VALUE!</v>
      </c>
      <c r="N6" s="8"/>
      <c r="O6" s="38"/>
      <c r="P6" s="50"/>
      <c r="Q6" s="8"/>
      <c r="R6" s="76" t="s">
        <v>59</v>
      </c>
      <c r="S6" s="76" t="s">
        <v>58</v>
      </c>
      <c r="T6" s="76" t="s">
        <v>60</v>
      </c>
      <c r="U6" s="8" t="s">
        <v>61</v>
      </c>
      <c r="V6" s="38"/>
      <c r="W6" s="8"/>
      <c r="X6" s="8"/>
      <c r="Y6" s="8"/>
      <c r="Z6" s="8"/>
      <c r="AA6" s="8"/>
      <c r="AB6" s="8"/>
      <c r="AC6" s="8"/>
      <c r="AD6" s="19">
        <f>AD5+(AD5*$T$10)</f>
        <v>0</v>
      </c>
      <c r="AE6" s="19">
        <v>2</v>
      </c>
    </row>
    <row r="7" spans="1:31" ht="15" customHeight="1" x14ac:dyDescent="0.25">
      <c r="A7" s="97"/>
      <c r="B7" s="8"/>
      <c r="C7" s="37"/>
      <c r="D7" s="179"/>
      <c r="E7" s="179"/>
      <c r="F7" s="179"/>
      <c r="G7" s="179"/>
      <c r="H7" s="65"/>
      <c r="I7" s="55"/>
      <c r="J7" s="8"/>
      <c r="K7" s="8"/>
      <c r="L7" s="8"/>
      <c r="M7" s="8"/>
      <c r="N7" s="8"/>
      <c r="O7" s="38"/>
      <c r="P7" s="50"/>
      <c r="Q7" s="8"/>
      <c r="R7" s="183" t="e" vm="5">
        <f>(K17*1000)/N32/N29</f>
        <v>#VALUE!</v>
      </c>
      <c r="S7" s="183" t="e" vm="5">
        <f>(K17*1000)/N32/N30</f>
        <v>#VALUE!</v>
      </c>
      <c r="T7" s="183" t="e" vm="5">
        <f>S7/(S30*100)</f>
        <v>#VALUE!</v>
      </c>
      <c r="U7" s="190" t="e" vm="5">
        <f>1/S7</f>
        <v>#VALUE!</v>
      </c>
      <c r="V7" s="38"/>
      <c r="W7" s="8"/>
      <c r="X7" s="8"/>
      <c r="Y7" s="8"/>
      <c r="Z7" s="8"/>
      <c r="AA7" s="8"/>
      <c r="AB7" s="8"/>
      <c r="AC7" s="8"/>
      <c r="AD7" s="19">
        <f>AD6+(AD6*$T$10)</f>
        <v>0</v>
      </c>
      <c r="AE7" s="19">
        <v>3</v>
      </c>
    </row>
    <row r="8" spans="1:31" ht="15" customHeight="1" x14ac:dyDescent="0.25">
      <c r="A8" s="97" t="s">
        <v>89</v>
      </c>
      <c r="B8" s="8"/>
      <c r="C8" s="37"/>
      <c r="D8" s="179"/>
      <c r="E8" s="179"/>
      <c r="F8" s="179"/>
      <c r="G8" s="179"/>
      <c r="H8" s="65"/>
      <c r="I8" s="55"/>
      <c r="J8" s="68" t="s">
        <v>39</v>
      </c>
      <c r="K8" s="103" t="e" cm="1" vm="8">
        <f t="array" ref="K8">_FV(D2,"52 week high",TRUE)</f>
        <v>#VALUE!</v>
      </c>
      <c r="L8" s="186" t="s">
        <v>43</v>
      </c>
      <c r="M8" s="186"/>
      <c r="N8" s="74" t="e" vm="5">
        <f>-N31/J5</f>
        <v>#VALUE!</v>
      </c>
      <c r="O8" s="38"/>
      <c r="P8" s="50"/>
      <c r="Q8" s="8"/>
      <c r="R8" s="183"/>
      <c r="S8" s="183"/>
      <c r="T8" s="183"/>
      <c r="U8" s="190"/>
      <c r="V8" s="38"/>
      <c r="W8" s="8"/>
      <c r="X8" s="8"/>
      <c r="Y8" s="8"/>
      <c r="Z8" s="8"/>
      <c r="AA8" s="8"/>
      <c r="AB8" s="8"/>
      <c r="AC8" s="8"/>
      <c r="AD8" s="19">
        <f>AD7+(AD7*$T$10)</f>
        <v>0</v>
      </c>
      <c r="AE8" s="19">
        <v>4</v>
      </c>
    </row>
    <row r="9" spans="1:31" ht="15" customHeight="1" x14ac:dyDescent="0.25">
      <c r="A9" s="100">
        <f>T30</f>
        <v>-1</v>
      </c>
      <c r="B9" s="8"/>
      <c r="C9" s="37"/>
      <c r="D9" s="179"/>
      <c r="E9" s="179"/>
      <c r="F9" s="179"/>
      <c r="G9" s="179"/>
      <c r="H9" s="65"/>
      <c r="I9" s="55"/>
      <c r="J9" s="71" t="s">
        <v>40</v>
      </c>
      <c r="K9" s="103" t="e" cm="1" vm="9">
        <f t="array" ref="K9">_FV(D2,"52 week low",TRUE)</f>
        <v>#VALUE!</v>
      </c>
      <c r="L9" s="186" t="s">
        <v>44</v>
      </c>
      <c r="M9" s="186"/>
      <c r="N9" s="74" t="e">
        <f>-N31/N29</f>
        <v>#DIV/0!</v>
      </c>
      <c r="O9" s="38"/>
      <c r="P9" s="50"/>
      <c r="Q9" s="8"/>
      <c r="R9" s="8"/>
      <c r="S9" s="55"/>
      <c r="T9" s="55"/>
      <c r="U9" s="8"/>
      <c r="V9" s="38"/>
      <c r="W9" s="8"/>
      <c r="X9" s="8"/>
      <c r="Y9" s="8"/>
      <c r="Z9" s="8"/>
      <c r="AA9" s="8"/>
      <c r="AB9" s="8"/>
      <c r="AC9" s="8"/>
      <c r="AD9" s="19">
        <f>AD8+(AD8*$T$10)</f>
        <v>0</v>
      </c>
      <c r="AE9" s="19">
        <v>5</v>
      </c>
    </row>
    <row r="10" spans="1:31" ht="15" customHeight="1" x14ac:dyDescent="0.25">
      <c r="A10" s="97"/>
      <c r="B10" s="8"/>
      <c r="C10" s="37"/>
      <c r="D10" s="179"/>
      <c r="E10" s="179"/>
      <c r="F10" s="179"/>
      <c r="G10" s="179"/>
      <c r="H10" s="65"/>
      <c r="I10" s="55"/>
      <c r="J10" s="71"/>
      <c r="K10" s="68"/>
      <c r="L10" s="8"/>
      <c r="M10" s="8"/>
      <c r="N10" s="8"/>
      <c r="O10" s="38"/>
      <c r="P10" s="102"/>
      <c r="Q10" s="8"/>
      <c r="R10" s="176" t="s">
        <v>62</v>
      </c>
      <c r="S10" s="176"/>
      <c r="T10" s="85">
        <v>-0.04</v>
      </c>
      <c r="U10" s="8"/>
      <c r="V10" s="38"/>
      <c r="W10" s="8"/>
      <c r="X10" s="8"/>
      <c r="Y10" s="8"/>
      <c r="Z10" s="8"/>
      <c r="AA10" s="8"/>
      <c r="AB10" s="8"/>
      <c r="AC10" s="8"/>
      <c r="AD10" s="19">
        <f>AD9+(AD9*$T$11)</f>
        <v>0</v>
      </c>
      <c r="AE10" s="19">
        <v>6</v>
      </c>
    </row>
    <row r="11" spans="1:31" ht="15" customHeight="1" x14ac:dyDescent="0.25">
      <c r="A11" s="97" t="s">
        <v>90</v>
      </c>
      <c r="B11" s="8"/>
      <c r="C11" s="37"/>
      <c r="D11" s="179"/>
      <c r="E11" s="179"/>
      <c r="F11" s="179"/>
      <c r="G11" s="179"/>
      <c r="H11" s="65"/>
      <c r="I11" s="55"/>
      <c r="J11" s="71"/>
      <c r="K11" s="68"/>
      <c r="L11" s="8"/>
      <c r="M11" s="8"/>
      <c r="N11" s="8"/>
      <c r="O11" s="38"/>
      <c r="P11" s="50"/>
      <c r="Q11" s="8"/>
      <c r="R11" s="176" t="s">
        <v>63</v>
      </c>
      <c r="S11" s="176"/>
      <c r="T11" s="86">
        <v>-0.04</v>
      </c>
      <c r="U11" s="8"/>
      <c r="V11" s="38"/>
      <c r="W11" s="8"/>
      <c r="X11" s="8"/>
      <c r="Y11" s="8"/>
      <c r="Z11" s="8"/>
      <c r="AA11" s="8"/>
      <c r="AB11" s="8"/>
      <c r="AC11" s="8"/>
      <c r="AD11" s="19">
        <f>AD10+(AD10*$T$11)</f>
        <v>0</v>
      </c>
      <c r="AE11" s="19">
        <v>7</v>
      </c>
    </row>
    <row r="12" spans="1:31" ht="15" customHeight="1" x14ac:dyDescent="0.25">
      <c r="A12" s="99">
        <f>(N38/100)</f>
        <v>0</v>
      </c>
      <c r="B12" s="8"/>
      <c r="C12" s="37"/>
      <c r="D12" s="179"/>
      <c r="E12" s="179"/>
      <c r="F12" s="179"/>
      <c r="G12" s="179"/>
      <c r="H12" s="65"/>
      <c r="I12" s="55"/>
      <c r="J12" s="189" t="s">
        <v>46</v>
      </c>
      <c r="K12" s="189"/>
      <c r="L12" s="189" t="s">
        <v>45</v>
      </c>
      <c r="M12" s="189"/>
      <c r="N12" s="8"/>
      <c r="O12" s="38"/>
      <c r="P12" s="50"/>
      <c r="Q12" s="8"/>
      <c r="R12" s="176" t="s">
        <v>64</v>
      </c>
      <c r="S12" s="176"/>
      <c r="T12" s="86">
        <v>0.14000000000000001</v>
      </c>
      <c r="U12" s="8"/>
      <c r="V12" s="38"/>
      <c r="W12" s="8"/>
      <c r="X12" s="8"/>
      <c r="Y12" s="8"/>
      <c r="Z12" s="8"/>
      <c r="AA12" s="8"/>
      <c r="AB12" s="8"/>
      <c r="AC12" s="8"/>
      <c r="AD12" s="19">
        <f>AD11+(AD11*$T$11)</f>
        <v>0</v>
      </c>
      <c r="AE12" s="19">
        <v>8</v>
      </c>
    </row>
    <row r="13" spans="1:31" ht="15" customHeight="1" x14ac:dyDescent="0.25">
      <c r="A13" s="97"/>
      <c r="B13" s="8"/>
      <c r="C13" s="37"/>
      <c r="D13" s="179"/>
      <c r="E13" s="179"/>
      <c r="F13" s="179"/>
      <c r="G13" s="179"/>
      <c r="H13" s="65"/>
      <c r="I13" s="55"/>
      <c r="J13" s="187" t="s">
        <v>92</v>
      </c>
      <c r="K13" s="188"/>
      <c r="L13" s="194" t="s">
        <v>92</v>
      </c>
      <c r="M13" s="194"/>
      <c r="N13" s="8"/>
      <c r="O13" s="38"/>
      <c r="P13" s="50"/>
      <c r="Q13" s="8"/>
      <c r="R13" s="176" t="s">
        <v>65</v>
      </c>
      <c r="S13" s="176"/>
      <c r="T13" s="32">
        <v>12</v>
      </c>
      <c r="U13" s="8"/>
      <c r="V13" s="38"/>
      <c r="W13" s="8"/>
      <c r="X13" s="8"/>
      <c r="Y13" s="8"/>
      <c r="Z13" s="8"/>
      <c r="AA13" s="8"/>
      <c r="AB13" s="8"/>
      <c r="AC13" s="8"/>
      <c r="AD13" s="19">
        <f>AD12+(AD12*$T$11)</f>
        <v>0</v>
      </c>
      <c r="AE13" s="19">
        <v>9</v>
      </c>
    </row>
    <row r="14" spans="1:31" ht="15" customHeight="1" x14ac:dyDescent="0.25">
      <c r="A14" s="97" t="s">
        <v>61</v>
      </c>
      <c r="B14" s="8"/>
      <c r="C14" s="37"/>
      <c r="D14" s="179"/>
      <c r="E14" s="179"/>
      <c r="F14" s="179"/>
      <c r="G14" s="179"/>
      <c r="H14" s="65"/>
      <c r="I14" s="55"/>
      <c r="J14" s="188"/>
      <c r="K14" s="188"/>
      <c r="L14" s="194"/>
      <c r="M14" s="194"/>
      <c r="N14" s="8"/>
      <c r="O14" s="38"/>
      <c r="P14" s="50"/>
      <c r="Q14" s="8"/>
      <c r="R14" s="176" t="s">
        <v>66</v>
      </c>
      <c r="S14" s="176"/>
      <c r="T14" s="87">
        <f>N25</f>
        <v>0</v>
      </c>
      <c r="U14" s="8"/>
      <c r="V14" s="38"/>
      <c r="W14" s="8"/>
      <c r="X14" s="8"/>
      <c r="Y14" s="8"/>
      <c r="Z14" s="8"/>
      <c r="AA14" s="8"/>
      <c r="AB14" s="8"/>
      <c r="AC14" s="8"/>
      <c r="AD14" s="19">
        <f>AD13+(AD13*$T$11)</f>
        <v>0</v>
      </c>
      <c r="AE14" s="19">
        <v>10</v>
      </c>
    </row>
    <row r="15" spans="1:31" ht="15" customHeight="1" x14ac:dyDescent="0.25">
      <c r="A15" s="100" t="e" vm="5">
        <f>U7</f>
        <v>#VALUE!</v>
      </c>
      <c r="B15" s="8"/>
      <c r="C15" s="37"/>
      <c r="D15" s="179"/>
      <c r="E15" s="179"/>
      <c r="F15" s="179"/>
      <c r="G15" s="179"/>
      <c r="H15" s="55"/>
      <c r="I15" s="55"/>
      <c r="J15" s="71"/>
      <c r="K15" s="68"/>
      <c r="L15" s="8"/>
      <c r="M15" s="8"/>
      <c r="N15" s="8"/>
      <c r="O15" s="38"/>
      <c r="P15" s="50"/>
      <c r="Q15" s="8"/>
      <c r="R15" s="8"/>
      <c r="S15" s="55"/>
      <c r="T15" s="55"/>
      <c r="U15" s="8"/>
      <c r="V15" s="38"/>
      <c r="W15" s="8"/>
      <c r="X15" s="8"/>
      <c r="Y15" s="8"/>
      <c r="Z15" s="8"/>
      <c r="AA15" s="8"/>
      <c r="AB15" s="8"/>
      <c r="AC15" s="8"/>
      <c r="AD15" s="19" t="s">
        <v>67</v>
      </c>
      <c r="AE15" s="19">
        <f>AD14*T13</f>
        <v>0</v>
      </c>
    </row>
    <row r="16" spans="1:31" ht="15" customHeight="1" x14ac:dyDescent="0.25">
      <c r="A16" s="98"/>
      <c r="B16" s="8"/>
      <c r="C16" s="37"/>
      <c r="D16" s="179"/>
      <c r="E16" s="179"/>
      <c r="F16" s="179"/>
      <c r="G16" s="179"/>
      <c r="H16" s="55"/>
      <c r="I16" s="55"/>
      <c r="J16" s="71"/>
      <c r="K16" s="181" t="s">
        <v>51</v>
      </c>
      <c r="L16" s="181"/>
      <c r="M16" s="8"/>
      <c r="N16" s="8"/>
      <c r="O16" s="38"/>
      <c r="P16" s="50"/>
      <c r="Q16" s="8"/>
      <c r="R16" s="8"/>
      <c r="S16" s="184" t="e">
        <f>((NPV(T12,AD5:AD13,AE15) - AE16)/N32)*R17</f>
        <v>#DIV/0!</v>
      </c>
      <c r="T16" s="184"/>
      <c r="U16" s="8" t="s">
        <v>91</v>
      </c>
      <c r="V16" s="38"/>
      <c r="W16" s="8"/>
      <c r="X16" s="8"/>
      <c r="Y16" s="8"/>
      <c r="Z16" s="8"/>
      <c r="AA16" s="8"/>
      <c r="AB16" s="8"/>
      <c r="AC16" s="8"/>
      <c r="AD16" s="19" t="s">
        <v>15</v>
      </c>
      <c r="AE16" s="88">
        <f>E70</f>
        <v>-353.62200000000001</v>
      </c>
    </row>
    <row r="17" spans="1:31" ht="19.5" customHeight="1" x14ac:dyDescent="0.25">
      <c r="B17" s="8"/>
      <c r="C17" s="37"/>
      <c r="D17" s="179"/>
      <c r="E17" s="179"/>
      <c r="F17" s="179"/>
      <c r="G17" s="179"/>
      <c r="H17" s="55"/>
      <c r="I17" s="55"/>
      <c r="J17" s="8"/>
      <c r="K17" s="182" t="e" vm="5">
        <f>I2+(E70/1000)</f>
        <v>#VALUE!</v>
      </c>
      <c r="L17" s="182"/>
      <c r="M17" s="84" t="s">
        <v>57</v>
      </c>
      <c r="N17" s="8"/>
      <c r="O17" s="38"/>
      <c r="P17" s="50"/>
      <c r="Q17" s="8"/>
      <c r="R17" s="8">
        <v>0.15</v>
      </c>
      <c r="S17" s="184"/>
      <c r="T17" s="184"/>
      <c r="U17" s="101" t="e">
        <f>S16/J5 -1</f>
        <v>#DIV/0!</v>
      </c>
      <c r="V17" s="38"/>
      <c r="W17" s="8"/>
      <c r="X17" s="8"/>
      <c r="Y17" s="8"/>
      <c r="Z17" s="8"/>
      <c r="AA17" s="8"/>
      <c r="AB17" s="8"/>
      <c r="AC17" s="8"/>
      <c r="AE17" s="88"/>
    </row>
    <row r="18" spans="1:31" ht="14.25" customHeight="1" x14ac:dyDescent="0.25">
      <c r="B18" s="8"/>
      <c r="C18" s="39"/>
      <c r="D18" s="60"/>
      <c r="E18" s="40"/>
      <c r="F18" s="40"/>
      <c r="G18" s="40"/>
      <c r="H18" s="61"/>
      <c r="I18" s="61"/>
      <c r="J18" s="61"/>
      <c r="K18" s="61"/>
      <c r="L18" s="40"/>
      <c r="M18" s="40"/>
      <c r="N18" s="40"/>
      <c r="O18" s="41"/>
      <c r="P18" s="50"/>
      <c r="Q18" s="40"/>
      <c r="R18" s="40"/>
      <c r="S18" s="61"/>
      <c r="T18" s="61"/>
      <c r="U18" s="40"/>
      <c r="V18" s="41"/>
      <c r="W18" s="8"/>
      <c r="X18" s="8"/>
      <c r="Y18" s="8"/>
      <c r="Z18" s="8"/>
      <c r="AA18" s="8"/>
      <c r="AB18" s="8"/>
      <c r="AC18" s="8"/>
    </row>
    <row r="19" spans="1:31" ht="37.5" customHeight="1" x14ac:dyDescent="0.25">
      <c r="B19" s="8"/>
      <c r="C19" s="8"/>
      <c r="D19" s="113"/>
      <c r="E19" s="8"/>
      <c r="F19" s="8"/>
      <c r="G19" s="8"/>
      <c r="H19" s="46"/>
      <c r="I19" s="46"/>
      <c r="J19" s="46"/>
      <c r="K19" s="46"/>
      <c r="L19" s="8"/>
      <c r="M19" s="8"/>
      <c r="N19" s="8"/>
      <c r="O19" s="8"/>
      <c r="P19" s="8"/>
      <c r="Q19" s="8"/>
      <c r="R19" s="8"/>
      <c r="S19" s="55"/>
      <c r="T19" s="55"/>
      <c r="U19" s="8"/>
      <c r="V19" s="8"/>
      <c r="W19" s="8"/>
      <c r="X19" s="8"/>
      <c r="Y19" s="8"/>
      <c r="Z19" s="8"/>
      <c r="AA19" s="8"/>
      <c r="AB19" s="8"/>
      <c r="AC19" s="8"/>
    </row>
    <row r="20" spans="1:31" s="24" customFormat="1" ht="18.95" customHeight="1" x14ac:dyDescent="0.25">
      <c r="A20" s="23"/>
      <c r="B20" s="20"/>
      <c r="C20" s="21"/>
      <c r="D20" s="2"/>
      <c r="E20" s="14">
        <v>2013</v>
      </c>
      <c r="F20" s="14">
        <v>2014</v>
      </c>
      <c r="G20" s="14">
        <v>2015</v>
      </c>
      <c r="H20" s="14">
        <v>2016</v>
      </c>
      <c r="I20" s="14">
        <v>2017</v>
      </c>
      <c r="J20" s="14">
        <v>2018</v>
      </c>
      <c r="K20" s="14">
        <v>2019</v>
      </c>
      <c r="L20" s="14">
        <v>2020</v>
      </c>
      <c r="M20" s="14">
        <v>2021</v>
      </c>
      <c r="N20" s="14"/>
      <c r="O20" s="22"/>
      <c r="P20" s="23"/>
      <c r="Q20" s="33"/>
      <c r="R20" s="42" t="s">
        <v>25</v>
      </c>
      <c r="S20" s="42" t="s">
        <v>26</v>
      </c>
      <c r="T20" s="42" t="s">
        <v>27</v>
      </c>
      <c r="U20" s="42" t="s">
        <v>28</v>
      </c>
      <c r="V20" s="34"/>
      <c r="W20" s="23"/>
      <c r="Y20" s="23"/>
      <c r="Z20" s="23"/>
      <c r="AA20" s="23"/>
      <c r="AB20" s="23"/>
      <c r="AC20" s="23"/>
    </row>
    <row r="21" spans="1:31" s="24" customFormat="1" ht="20.100000000000001" customHeight="1" x14ac:dyDescent="0.25">
      <c r="A21" s="23"/>
      <c r="B21" s="23"/>
      <c r="C21" s="25"/>
      <c r="D21" s="4" t="s">
        <v>1</v>
      </c>
      <c r="E21" s="5">
        <v>38.770282999999999</v>
      </c>
      <c r="F21" s="5">
        <v>48.531553000000002</v>
      </c>
      <c r="G21" s="5">
        <v>76.358999999999995</v>
      </c>
      <c r="H21" s="5">
        <v>115.461</v>
      </c>
      <c r="I21" s="5">
        <v>178.38499999999999</v>
      </c>
      <c r="J21" s="5">
        <v>245.41800000000001</v>
      </c>
      <c r="K21" s="5">
        <v>365.75200000000001</v>
      </c>
      <c r="L21" s="5">
        <v>561.13400000000001</v>
      </c>
      <c r="M21" s="5">
        <v>1068.777</v>
      </c>
      <c r="N21" s="5"/>
      <c r="O21" s="26"/>
      <c r="P21" s="23"/>
      <c r="Q21" s="35"/>
      <c r="R21" s="43">
        <f t="shared" ref="R21:R34" si="0">IFERROR((N21/M21-1),"")</f>
        <v>-1</v>
      </c>
      <c r="S21" s="43">
        <f t="shared" ref="S21:S34" si="1">IFERROR(((N21/K21)^(1/3) -1),"")</f>
        <v>-1</v>
      </c>
      <c r="T21" s="43">
        <f t="shared" ref="T21:T34" si="2">IFERROR(((N21/I21)^(1/5) -1),"")</f>
        <v>-1</v>
      </c>
      <c r="U21" s="43">
        <f t="shared" ref="U21:U34" si="3">IFERROR(((N21/E21)^(1/9) -1),"")</f>
        <v>-1</v>
      </c>
      <c r="V21" s="36"/>
      <c r="W21" s="23"/>
      <c r="X21" s="49"/>
      <c r="Y21" s="23"/>
      <c r="Z21" s="23"/>
      <c r="AA21" s="23"/>
      <c r="AB21" s="23"/>
      <c r="AC21" s="23"/>
    </row>
    <row r="22" spans="1:31" s="24" customFormat="1" ht="20.100000000000001" customHeight="1" x14ac:dyDescent="0.25">
      <c r="A22" s="23"/>
      <c r="B22" s="23"/>
      <c r="C22" s="25"/>
      <c r="D22" s="4" t="s">
        <v>2</v>
      </c>
      <c r="E22" s="5">
        <v>22.452026</v>
      </c>
      <c r="F22" s="5">
        <v>29.848243</v>
      </c>
      <c r="G22" s="5"/>
      <c r="H22" s="5"/>
      <c r="I22" s="5"/>
      <c r="J22" s="5"/>
      <c r="K22" s="5"/>
      <c r="L22" s="5"/>
      <c r="M22" s="5">
        <v>1094.732</v>
      </c>
      <c r="N22" s="5"/>
      <c r="O22" s="26"/>
      <c r="P22" s="23"/>
      <c r="Q22" s="35"/>
      <c r="R22" s="43">
        <f t="shared" si="0"/>
        <v>-1</v>
      </c>
      <c r="S22" s="43" t="str">
        <f t="shared" si="1"/>
        <v/>
      </c>
      <c r="T22" s="43" t="str">
        <f t="shared" si="2"/>
        <v/>
      </c>
      <c r="U22" s="43">
        <f t="shared" si="3"/>
        <v>-1</v>
      </c>
      <c r="V22" s="36"/>
      <c r="W22" s="23"/>
      <c r="X22" s="49"/>
      <c r="Y22" s="23"/>
      <c r="Z22" s="23"/>
      <c r="AA22" s="23"/>
      <c r="AB22" s="23"/>
      <c r="AC22" s="23"/>
    </row>
    <row r="23" spans="1:31" s="24" customFormat="1" ht="20.100000000000001" customHeight="1" x14ac:dyDescent="0.25">
      <c r="A23" s="23"/>
      <c r="B23" s="23"/>
      <c r="C23" s="25"/>
      <c r="D23" s="4" t="s">
        <v>3</v>
      </c>
      <c r="E23" s="5">
        <v>11.344391</v>
      </c>
      <c r="F23" s="5">
        <v>16.993368</v>
      </c>
      <c r="G23" s="5">
        <v>27.021000000000001</v>
      </c>
      <c r="H23" s="5">
        <v>44.616999999999997</v>
      </c>
      <c r="I23" s="5">
        <v>80.599999999999994</v>
      </c>
      <c r="J23" s="5">
        <v>107.682</v>
      </c>
      <c r="K23" s="5">
        <v>182.96600000000001</v>
      </c>
      <c r="L23" s="5">
        <v>332.26</v>
      </c>
      <c r="M23" s="5">
        <v>730.93700000000001</v>
      </c>
      <c r="N23" s="5"/>
      <c r="O23" s="26"/>
      <c r="P23" s="23"/>
      <c r="Q23" s="35"/>
      <c r="R23" s="43">
        <f t="shared" si="0"/>
        <v>-1</v>
      </c>
      <c r="S23" s="43">
        <f t="shared" si="1"/>
        <v>-1</v>
      </c>
      <c r="T23" s="43">
        <f t="shared" si="2"/>
        <v>-1</v>
      </c>
      <c r="U23" s="43">
        <f t="shared" si="3"/>
        <v>-1</v>
      </c>
      <c r="V23" s="36"/>
      <c r="W23" s="23"/>
      <c r="X23" s="49"/>
      <c r="Y23" s="23"/>
      <c r="Z23" s="23"/>
      <c r="AA23" s="23"/>
      <c r="AB23" s="23"/>
      <c r="AC23" s="23"/>
    </row>
    <row r="24" spans="1:31" s="24" customFormat="1" ht="20.100000000000001" customHeight="1" x14ac:dyDescent="0.25">
      <c r="A24" s="23"/>
      <c r="B24" s="23"/>
      <c r="C24" s="25"/>
      <c r="D24" s="4" t="s">
        <v>4</v>
      </c>
      <c r="E24" s="5">
        <v>7.8692859999999998</v>
      </c>
      <c r="F24" s="5">
        <v>13.091184999999999</v>
      </c>
      <c r="G24" s="5">
        <v>21.08</v>
      </c>
      <c r="H24" s="5">
        <v>34.863999999999997</v>
      </c>
      <c r="I24" s="5">
        <v>66.882000000000005</v>
      </c>
      <c r="J24" s="5">
        <v>89.483999999999995</v>
      </c>
      <c r="K24" s="5">
        <v>157.47200000000001</v>
      </c>
      <c r="L24" s="5">
        <v>299.7</v>
      </c>
      <c r="M24" s="5">
        <v>654.00400000000002</v>
      </c>
      <c r="N24" s="5"/>
      <c r="O24" s="26"/>
      <c r="P24" s="23"/>
      <c r="Q24" s="35"/>
      <c r="R24" s="43">
        <f t="shared" si="0"/>
        <v>-1</v>
      </c>
      <c r="S24" s="43">
        <f t="shared" si="1"/>
        <v>-1</v>
      </c>
      <c r="T24" s="43">
        <f t="shared" si="2"/>
        <v>-1</v>
      </c>
      <c r="U24" s="43">
        <f t="shared" si="3"/>
        <v>-1</v>
      </c>
      <c r="V24" s="36"/>
      <c r="W24" s="23"/>
      <c r="X24" s="49"/>
      <c r="Y24" s="23"/>
      <c r="Z24" s="23"/>
      <c r="AA24" s="23"/>
      <c r="AB24" s="23"/>
      <c r="AC24" s="23"/>
    </row>
    <row r="25" spans="1:31" s="24" customFormat="1" ht="20.100000000000001" customHeight="1" x14ac:dyDescent="0.25">
      <c r="A25" s="23"/>
      <c r="B25" s="23"/>
      <c r="C25" s="25"/>
      <c r="D25" s="4" t="s">
        <v>5</v>
      </c>
      <c r="E25" s="5">
        <v>7.1677879999999998</v>
      </c>
      <c r="F25" s="5">
        <v>12.097384999999999</v>
      </c>
      <c r="G25" s="5">
        <v>20.027999999999999</v>
      </c>
      <c r="H25" s="5">
        <v>31.74</v>
      </c>
      <c r="I25" s="5">
        <v>62.128999999999998</v>
      </c>
      <c r="J25" s="5">
        <v>83.46</v>
      </c>
      <c r="K25" s="5">
        <v>149.726</v>
      </c>
      <c r="L25" s="5">
        <v>284.62200000000001</v>
      </c>
      <c r="M25" s="5">
        <v>605.43499999999995</v>
      </c>
      <c r="N25" s="5"/>
      <c r="O25" s="26"/>
      <c r="P25" s="23"/>
      <c r="Q25" s="35"/>
      <c r="R25" s="43">
        <f t="shared" si="0"/>
        <v>-1</v>
      </c>
      <c r="S25" s="43">
        <f t="shared" si="1"/>
        <v>-1</v>
      </c>
      <c r="T25" s="43">
        <f t="shared" si="2"/>
        <v>-1</v>
      </c>
      <c r="U25" s="43">
        <f t="shared" si="3"/>
        <v>-1</v>
      </c>
      <c r="V25" s="36"/>
      <c r="W25" s="23"/>
      <c r="X25" s="49"/>
      <c r="Y25" s="23"/>
      <c r="Z25" s="23"/>
      <c r="AA25" s="23"/>
      <c r="AB25" s="23"/>
      <c r="AC25" s="23"/>
    </row>
    <row r="26" spans="1:31" s="24" customFormat="1" ht="20.100000000000001" customHeight="1" x14ac:dyDescent="0.25">
      <c r="A26" s="23"/>
      <c r="B26" s="23"/>
      <c r="C26" s="25"/>
      <c r="D26" s="17" t="s">
        <v>11</v>
      </c>
      <c r="E26" s="18">
        <v>3.8394509999999999</v>
      </c>
      <c r="F26" s="18">
        <v>8.2511080000000003</v>
      </c>
      <c r="G26" s="18">
        <v>11.952</v>
      </c>
      <c r="H26" s="18">
        <v>8.8450000000000006</v>
      </c>
      <c r="I26" s="18">
        <v>41.534999999999997</v>
      </c>
      <c r="J26" s="18">
        <v>66.906000000000006</v>
      </c>
      <c r="K26" s="18">
        <v>145.678</v>
      </c>
      <c r="L26" s="18">
        <v>279.16500000000002</v>
      </c>
      <c r="M26" s="18">
        <v>537.303</v>
      </c>
      <c r="N26" s="18"/>
      <c r="O26" s="26"/>
      <c r="P26" s="23"/>
      <c r="Q26" s="35"/>
      <c r="R26" s="43">
        <f t="shared" si="0"/>
        <v>-1</v>
      </c>
      <c r="S26" s="43">
        <f t="shared" si="1"/>
        <v>-1</v>
      </c>
      <c r="T26" s="43">
        <f t="shared" si="2"/>
        <v>-1</v>
      </c>
      <c r="U26" s="43">
        <f t="shared" si="3"/>
        <v>-1</v>
      </c>
      <c r="V26" s="36"/>
      <c r="W26" s="23"/>
      <c r="X26" s="49"/>
      <c r="Y26" s="23"/>
      <c r="Z26" s="23"/>
      <c r="AA26" s="23"/>
      <c r="AB26" s="23"/>
      <c r="AC26" s="23"/>
    </row>
    <row r="27" spans="1:31" s="24" customFormat="1" ht="20.100000000000001" customHeight="1" x14ac:dyDescent="0.25">
      <c r="A27" s="23"/>
      <c r="B27" s="23"/>
      <c r="C27" s="25"/>
      <c r="D27" s="15" t="s">
        <v>16</v>
      </c>
      <c r="E27" s="16">
        <v>0.21556784350633856</v>
      </c>
      <c r="F27" s="16">
        <v>0.2698417811967887</v>
      </c>
      <c r="G27" s="16">
        <v>0.42534366195943507</v>
      </c>
      <c r="H27" s="16">
        <v>0.64197825894346339</v>
      </c>
      <c r="I27" s="16">
        <v>0.99184392757407014</v>
      </c>
      <c r="J27" s="16">
        <v>1.3645561735424681</v>
      </c>
      <c r="K27" s="16">
        <v>2.0236663371737231</v>
      </c>
      <c r="L27" s="16">
        <v>3.0508365192961602</v>
      </c>
      <c r="M27" s="16">
        <v>5.0009551290547218</v>
      </c>
      <c r="N27" s="16"/>
      <c r="O27" s="26"/>
      <c r="P27" s="23"/>
      <c r="Q27" s="35"/>
      <c r="R27" s="43">
        <f t="shared" si="0"/>
        <v>-1</v>
      </c>
      <c r="S27" s="43">
        <f t="shared" si="1"/>
        <v>-1</v>
      </c>
      <c r="T27" s="43">
        <f t="shared" si="2"/>
        <v>-1</v>
      </c>
      <c r="U27" s="43">
        <f t="shared" si="3"/>
        <v>-1</v>
      </c>
      <c r="V27" s="36"/>
      <c r="W27" s="23"/>
      <c r="X27" s="49"/>
      <c r="Y27" s="23"/>
      <c r="Z27" s="23"/>
      <c r="AA27" s="23"/>
      <c r="AB27" s="23"/>
      <c r="AC27" s="23"/>
    </row>
    <row r="28" spans="1:31" s="24" customFormat="1" ht="20.100000000000001" customHeight="1" x14ac:dyDescent="0.25">
      <c r="A28" s="23"/>
      <c r="B28" s="23"/>
      <c r="C28" s="25"/>
      <c r="D28" s="4" t="s">
        <v>17</v>
      </c>
      <c r="E28" s="6">
        <v>4.3754259233924626E-2</v>
      </c>
      <c r="F28" s="6">
        <v>7.2788700546563639E-2</v>
      </c>
      <c r="G28" s="6">
        <v>0.11742223436798402</v>
      </c>
      <c r="H28" s="6">
        <v>0.19384839919804009</v>
      </c>
      <c r="I28" s="6">
        <v>0.37187266622198595</v>
      </c>
      <c r="J28" s="6">
        <v>0.49754274190676401</v>
      </c>
      <c r="K28" s="6">
        <v>0.87127557866374072</v>
      </c>
      <c r="L28" s="6">
        <v>1.6294427085741716</v>
      </c>
      <c r="M28" s="6">
        <v>3.0601750021026874</v>
      </c>
      <c r="N28" s="6"/>
      <c r="O28" s="26"/>
      <c r="P28" s="23"/>
      <c r="Q28" s="35"/>
      <c r="R28" s="43">
        <f t="shared" si="0"/>
        <v>-1</v>
      </c>
      <c r="S28" s="43">
        <f t="shared" si="1"/>
        <v>-1</v>
      </c>
      <c r="T28" s="43">
        <f t="shared" si="2"/>
        <v>-1</v>
      </c>
      <c r="U28" s="43">
        <f t="shared" si="3"/>
        <v>-1</v>
      </c>
      <c r="V28" s="36"/>
      <c r="W28" s="23"/>
      <c r="X28" s="49"/>
      <c r="Y28" s="23"/>
      <c r="Z28" s="23"/>
      <c r="AA28" s="23"/>
      <c r="AB28" s="23"/>
      <c r="AC28" s="23"/>
    </row>
    <row r="29" spans="1:31" s="24" customFormat="1" ht="20.100000000000001" customHeight="1" x14ac:dyDescent="0.25">
      <c r="A29" s="23"/>
      <c r="B29" s="23"/>
      <c r="C29" s="25"/>
      <c r="D29" s="4" t="s">
        <v>6</v>
      </c>
      <c r="E29" s="6">
        <v>0.04</v>
      </c>
      <c r="F29" s="6">
        <v>7.0000000000000007E-2</v>
      </c>
      <c r="G29" s="6">
        <v>0.11</v>
      </c>
      <c r="H29" s="6">
        <v>0.18</v>
      </c>
      <c r="I29" s="6">
        <v>0.35</v>
      </c>
      <c r="J29" s="6">
        <v>0.46</v>
      </c>
      <c r="K29" s="6">
        <v>0.83</v>
      </c>
      <c r="L29" s="6">
        <v>1.55</v>
      </c>
      <c r="M29" s="6">
        <v>2.83</v>
      </c>
      <c r="N29" s="6"/>
      <c r="O29" s="26"/>
      <c r="P29" s="23"/>
      <c r="Q29" s="35"/>
      <c r="R29" s="43">
        <f t="shared" si="0"/>
        <v>-1</v>
      </c>
      <c r="S29" s="43">
        <f t="shared" si="1"/>
        <v>-1</v>
      </c>
      <c r="T29" s="43">
        <f t="shared" si="2"/>
        <v>-1</v>
      </c>
      <c r="U29" s="43">
        <f t="shared" si="3"/>
        <v>-1</v>
      </c>
      <c r="V29" s="36"/>
      <c r="W29" s="23"/>
      <c r="X29" s="49"/>
      <c r="Y29" s="23"/>
      <c r="Z29" s="23"/>
      <c r="AA29" s="23"/>
      <c r="AB29" s="23"/>
      <c r="AC29" s="23"/>
    </row>
    <row r="30" spans="1:31" s="24" customFormat="1" ht="20.100000000000001" customHeight="1" x14ac:dyDescent="0.25">
      <c r="A30" s="23"/>
      <c r="B30" s="23"/>
      <c r="C30" s="25"/>
      <c r="D30" s="4" t="s">
        <v>12</v>
      </c>
      <c r="E30" s="6">
        <v>2.1347849648615025E-2</v>
      </c>
      <c r="F30" s="6">
        <v>4.5877239485146347E-2</v>
      </c>
      <c r="G30" s="6">
        <v>6.657640157334653E-2</v>
      </c>
      <c r="H30" s="6">
        <v>4.9179356668961241E-2</v>
      </c>
      <c r="I30" s="6">
        <v>0.23094003157097853</v>
      </c>
      <c r="J30" s="6">
        <v>0.3720061093604885</v>
      </c>
      <c r="K30" s="6">
        <v>0.80602064969376408</v>
      </c>
      <c r="L30" s="6">
        <v>1.5177957081718672</v>
      </c>
      <c r="M30" s="6">
        <v>2.5141149123778761</v>
      </c>
      <c r="N30" s="6"/>
      <c r="O30" s="26"/>
      <c r="P30" s="23"/>
      <c r="Q30" s="35"/>
      <c r="R30" s="43">
        <f t="shared" si="0"/>
        <v>-1</v>
      </c>
      <c r="S30" s="43">
        <f t="shared" si="1"/>
        <v>-1</v>
      </c>
      <c r="T30" s="43">
        <f t="shared" si="2"/>
        <v>-1</v>
      </c>
      <c r="U30" s="43">
        <f t="shared" si="3"/>
        <v>-1</v>
      </c>
      <c r="V30" s="36"/>
      <c r="W30" s="23"/>
      <c r="X30" s="49"/>
      <c r="Y30" s="23"/>
      <c r="Z30" s="23"/>
      <c r="AA30" s="23"/>
      <c r="AB30" s="23"/>
      <c r="AC30" s="23"/>
    </row>
    <row r="31" spans="1:31" s="24" customFormat="1" ht="20.100000000000001" customHeight="1" x14ac:dyDescent="0.25">
      <c r="A31" s="23"/>
      <c r="B31" s="23"/>
      <c r="C31" s="25"/>
      <c r="D31" s="4" t="s">
        <v>18</v>
      </c>
      <c r="E31" s="6">
        <v>-1.9460457698288788E-2</v>
      </c>
      <c r="F31" s="6">
        <v>-3.0580719240168096E-2</v>
      </c>
      <c r="G31" s="6">
        <v>0</v>
      </c>
      <c r="H31" s="6">
        <v>-6.3997105173515423E-2</v>
      </c>
      <c r="I31" s="6">
        <v>-9.0001836789200179E-2</v>
      </c>
      <c r="J31" s="6">
        <v>-0.17999811344762942</v>
      </c>
      <c r="K31" s="6">
        <v>-0.23882175293030955</v>
      </c>
      <c r="L31" s="6">
        <v>-0.41396652596208683</v>
      </c>
      <c r="M31" s="6">
        <v>-0.67558331012285899</v>
      </c>
      <c r="N31" s="6"/>
      <c r="O31" s="26"/>
      <c r="P31" s="23"/>
      <c r="Q31" s="35"/>
      <c r="R31" s="43">
        <f t="shared" si="0"/>
        <v>-1</v>
      </c>
      <c r="S31" s="43">
        <f t="shared" si="1"/>
        <v>-1</v>
      </c>
      <c r="T31" s="43">
        <f t="shared" si="2"/>
        <v>-1</v>
      </c>
      <c r="U31" s="43">
        <f t="shared" si="3"/>
        <v>-1</v>
      </c>
      <c r="V31" s="36"/>
      <c r="W31" s="23"/>
      <c r="X31" s="49"/>
      <c r="Y31" s="23"/>
      <c r="Z31" s="23"/>
      <c r="AA31" s="23"/>
      <c r="AB31" s="23"/>
      <c r="AC31" s="23"/>
    </row>
    <row r="32" spans="1:31" s="24" customFormat="1" ht="20.100000000000001" customHeight="1" x14ac:dyDescent="0.25">
      <c r="A32" s="23"/>
      <c r="B32" s="23"/>
      <c r="C32" s="25"/>
      <c r="D32" s="4" t="s">
        <v>29</v>
      </c>
      <c r="E32" s="6">
        <v>179.85188500000001</v>
      </c>
      <c r="F32" s="6">
        <v>179.85188500000001</v>
      </c>
      <c r="G32" s="6">
        <v>179.52306999999999</v>
      </c>
      <c r="H32" s="6">
        <v>179.85188500000001</v>
      </c>
      <c r="I32" s="6">
        <v>179.85188500000001</v>
      </c>
      <c r="J32" s="6">
        <v>179.85188500000001</v>
      </c>
      <c r="K32" s="6">
        <v>180.73730499999999</v>
      </c>
      <c r="L32" s="6">
        <v>183.92791500000001</v>
      </c>
      <c r="M32" s="6">
        <v>213.714575</v>
      </c>
      <c r="N32" s="6"/>
      <c r="O32" s="26"/>
      <c r="P32" s="23"/>
      <c r="Q32" s="35"/>
      <c r="R32" s="43">
        <f t="shared" si="0"/>
        <v>-1</v>
      </c>
      <c r="S32" s="43">
        <f t="shared" si="1"/>
        <v>-1</v>
      </c>
      <c r="T32" s="43">
        <f t="shared" si="2"/>
        <v>-1</v>
      </c>
      <c r="U32" s="43">
        <f t="shared" si="3"/>
        <v>-1</v>
      </c>
      <c r="V32" s="36"/>
      <c r="W32" s="23"/>
      <c r="X32" s="49"/>
      <c r="Y32" s="23"/>
      <c r="Z32" s="23"/>
      <c r="AA32" s="23"/>
      <c r="AB32" s="23"/>
      <c r="AC32" s="23"/>
    </row>
    <row r="33" spans="1:29" s="24" customFormat="1" ht="20.100000000000001" customHeight="1" x14ac:dyDescent="0.25">
      <c r="A33" s="23"/>
      <c r="B33" s="23"/>
      <c r="C33" s="25"/>
      <c r="D33" s="4" t="s">
        <v>30</v>
      </c>
      <c r="E33" s="6">
        <v>179.85188500000001</v>
      </c>
      <c r="F33" s="6">
        <v>179.85188500000001</v>
      </c>
      <c r="G33" s="6">
        <v>179.52306999999999</v>
      </c>
      <c r="H33" s="6">
        <v>180.76459500000001</v>
      </c>
      <c r="I33" s="6">
        <v>181.68522999999999</v>
      </c>
      <c r="J33" s="6">
        <v>182.62524500000001</v>
      </c>
      <c r="K33" s="6">
        <v>183.38734099999999</v>
      </c>
      <c r="L33" s="6">
        <v>189.02134599999999</v>
      </c>
      <c r="M33" s="6">
        <v>221.818828</v>
      </c>
      <c r="N33" s="6"/>
      <c r="O33" s="26"/>
      <c r="P33" s="23"/>
      <c r="Q33" s="35"/>
      <c r="R33" s="43">
        <f t="shared" si="0"/>
        <v>-1</v>
      </c>
      <c r="S33" s="43">
        <f t="shared" si="1"/>
        <v>-1</v>
      </c>
      <c r="T33" s="43">
        <f t="shared" si="2"/>
        <v>-1</v>
      </c>
      <c r="U33" s="43">
        <f t="shared" si="3"/>
        <v>-1</v>
      </c>
      <c r="V33" s="36"/>
      <c r="W33" s="23"/>
      <c r="X33" s="51"/>
      <c r="Y33" s="23"/>
      <c r="Z33" s="23"/>
      <c r="AA33" s="23"/>
      <c r="AB33" s="23"/>
      <c r="AC33" s="23"/>
    </row>
    <row r="34" spans="1:29" ht="20.100000000000001" customHeight="1" x14ac:dyDescent="0.25">
      <c r="B34" s="8"/>
      <c r="C34" s="27"/>
      <c r="D34" s="4" t="s">
        <v>13</v>
      </c>
      <c r="E34" s="6">
        <v>7.8144168463955777E-2</v>
      </c>
      <c r="F34" s="6">
        <v>0.13185868471714934</v>
      </c>
      <c r="G34" s="6">
        <v>0.2440466286589239</v>
      </c>
      <c r="H34" s="6">
        <v>0.35527011573996015</v>
      </c>
      <c r="I34" s="6">
        <v>0.61095272924162014</v>
      </c>
      <c r="J34" s="6">
        <v>0.9022424202003777</v>
      </c>
      <c r="K34" s="6">
        <v>1.5541727813192745</v>
      </c>
      <c r="L34" s="6">
        <v>14.821953481068929</v>
      </c>
      <c r="M34" s="6">
        <v>14.930895564797114</v>
      </c>
      <c r="N34" s="6"/>
      <c r="O34" s="7"/>
      <c r="P34" s="8"/>
      <c r="Q34" s="37"/>
      <c r="R34" s="43">
        <f t="shared" si="0"/>
        <v>-1</v>
      </c>
      <c r="S34" s="43">
        <f t="shared" si="1"/>
        <v>-1</v>
      </c>
      <c r="T34" s="43">
        <f t="shared" si="2"/>
        <v>-1</v>
      </c>
      <c r="U34" s="43">
        <f t="shared" si="3"/>
        <v>-1</v>
      </c>
      <c r="V34" s="38"/>
      <c r="W34" s="8"/>
      <c r="X34" s="51"/>
      <c r="Y34" s="8"/>
      <c r="Z34" s="8"/>
      <c r="AA34" s="8"/>
      <c r="AB34" s="8"/>
      <c r="AC34" s="8"/>
    </row>
    <row r="35" spans="1:29" ht="20.100000000000001" customHeight="1" x14ac:dyDescent="0.25">
      <c r="B35" s="8"/>
      <c r="C35" s="27"/>
      <c r="D35" s="94"/>
      <c r="E35" s="95"/>
      <c r="F35" s="95"/>
      <c r="G35" s="95"/>
      <c r="H35" s="95"/>
      <c r="I35" s="95"/>
      <c r="J35" s="95"/>
      <c r="K35" s="95"/>
      <c r="L35" s="95"/>
      <c r="M35" s="95"/>
      <c r="N35" s="95"/>
      <c r="O35" s="7"/>
      <c r="P35" s="8"/>
      <c r="Q35" s="37"/>
      <c r="R35" s="8"/>
      <c r="S35" s="8"/>
      <c r="T35" s="8"/>
      <c r="U35" s="8"/>
      <c r="V35" s="38"/>
      <c r="W35" s="8"/>
      <c r="X35" s="8"/>
      <c r="Y35" s="8"/>
      <c r="Z35" s="8"/>
      <c r="AA35" s="8"/>
      <c r="AB35" s="8"/>
      <c r="AC35" s="8"/>
    </row>
    <row r="36" spans="1:29" ht="20.100000000000001" customHeight="1" x14ac:dyDescent="0.25">
      <c r="B36" s="8"/>
      <c r="C36" s="27"/>
      <c r="D36" s="9"/>
      <c r="E36" s="8">
        <v>2013</v>
      </c>
      <c r="F36" s="8">
        <v>2014</v>
      </c>
      <c r="G36" s="8">
        <v>2015</v>
      </c>
      <c r="H36" s="47">
        <v>2016</v>
      </c>
      <c r="I36" s="8">
        <v>2017</v>
      </c>
      <c r="J36" s="8">
        <v>2018</v>
      </c>
      <c r="K36" s="8">
        <v>2019</v>
      </c>
      <c r="L36" s="8">
        <v>2020</v>
      </c>
      <c r="M36" s="47">
        <v>2021</v>
      </c>
      <c r="N36" s="8"/>
      <c r="O36" s="7"/>
      <c r="P36" s="8"/>
      <c r="Q36" s="37"/>
      <c r="R36" s="8"/>
      <c r="S36" s="8"/>
      <c r="T36" s="8"/>
      <c r="U36" s="8"/>
      <c r="V36" s="38"/>
      <c r="W36" s="8"/>
      <c r="X36" s="8"/>
      <c r="Y36" s="8"/>
      <c r="Z36" s="8"/>
      <c r="AA36" s="8"/>
      <c r="AB36" s="8"/>
      <c r="AC36" s="8"/>
    </row>
    <row r="37" spans="1:29" ht="20.100000000000001" customHeight="1" x14ac:dyDescent="0.25">
      <c r="B37" s="8"/>
      <c r="C37" s="27"/>
      <c r="D37" s="2" t="s">
        <v>31</v>
      </c>
      <c r="E37" s="3">
        <v>100</v>
      </c>
      <c r="F37" s="3">
        <v>100</v>
      </c>
      <c r="G37" s="3">
        <v>100</v>
      </c>
      <c r="H37" s="3">
        <v>100</v>
      </c>
      <c r="I37" s="3">
        <v>100</v>
      </c>
      <c r="J37" s="3">
        <v>100</v>
      </c>
      <c r="K37" s="3">
        <v>100</v>
      </c>
      <c r="L37" s="3">
        <v>100</v>
      </c>
      <c r="M37" s="3">
        <v>100</v>
      </c>
      <c r="N37" s="3"/>
      <c r="O37" s="7"/>
      <c r="P37" s="8"/>
      <c r="Q37" s="37"/>
      <c r="R37" s="43">
        <f t="shared" ref="R37:R47" si="4">IFERROR((N37/M37-1),"")</f>
        <v>-1</v>
      </c>
      <c r="S37" s="43">
        <f t="shared" ref="S37:S47" si="5">IFERROR(((N37/K37)^(1/3) -1),"")</f>
        <v>-1</v>
      </c>
      <c r="T37" s="43">
        <f t="shared" ref="T37:T47" si="6">IFERROR(((N37/I37)^(1/5) -1),"")</f>
        <v>-1</v>
      </c>
      <c r="U37" s="43">
        <f t="shared" ref="U37:U47" si="7">IFERROR(((N37/E37)^(1/9) -1),"")</f>
        <v>-1</v>
      </c>
      <c r="V37" s="38"/>
      <c r="W37" s="8"/>
      <c r="X37" s="52"/>
      <c r="Y37" s="8"/>
      <c r="Z37" s="8"/>
      <c r="AA37" s="8"/>
      <c r="AB37" s="8"/>
      <c r="AC37" s="8"/>
    </row>
    <row r="38" spans="1:29" ht="20.100000000000001" customHeight="1" x14ac:dyDescent="0.25">
      <c r="B38" s="8"/>
      <c r="C38" s="27"/>
      <c r="D38" s="11" t="s">
        <v>83</v>
      </c>
      <c r="E38" s="12">
        <v>57.91</v>
      </c>
      <c r="F38" s="12">
        <v>61.5</v>
      </c>
      <c r="G38" s="12"/>
      <c r="H38" s="12"/>
      <c r="I38" s="12"/>
      <c r="J38" s="12"/>
      <c r="K38" s="12"/>
      <c r="L38" s="12"/>
      <c r="M38" s="12">
        <v>102.42999999999999</v>
      </c>
      <c r="N38" s="12"/>
      <c r="O38" s="7"/>
      <c r="P38" s="8"/>
      <c r="Q38" s="37"/>
      <c r="R38" s="43">
        <f t="shared" si="4"/>
        <v>-1</v>
      </c>
      <c r="S38" s="43" t="str">
        <f t="shared" si="5"/>
        <v/>
      </c>
      <c r="T38" s="43" t="str">
        <f t="shared" si="6"/>
        <v/>
      </c>
      <c r="U38" s="43">
        <f t="shared" si="7"/>
        <v>-1</v>
      </c>
      <c r="V38" s="38"/>
      <c r="W38" s="8"/>
      <c r="X38" s="52"/>
      <c r="Y38" s="8"/>
      <c r="Z38" s="8"/>
      <c r="AA38" s="8"/>
      <c r="AB38" s="8"/>
      <c r="AC38" s="8"/>
    </row>
    <row r="39" spans="1:29" ht="20.100000000000001" customHeight="1" x14ac:dyDescent="0.25">
      <c r="B39" s="8"/>
      <c r="C39" s="27"/>
      <c r="D39" s="4" t="s">
        <v>20</v>
      </c>
      <c r="E39" s="10">
        <v>0</v>
      </c>
      <c r="F39" s="10">
        <v>0</v>
      </c>
      <c r="G39" s="10">
        <v>0</v>
      </c>
      <c r="H39" s="10">
        <v>0</v>
      </c>
      <c r="I39" s="10">
        <v>0</v>
      </c>
      <c r="J39" s="10">
        <v>0</v>
      </c>
      <c r="K39" s="10">
        <v>0</v>
      </c>
      <c r="L39" s="10">
        <v>0</v>
      </c>
      <c r="M39" s="10">
        <v>0</v>
      </c>
      <c r="N39" s="10"/>
      <c r="O39" s="7"/>
      <c r="P39" s="8"/>
      <c r="Q39" s="37"/>
      <c r="R39" s="43" t="str">
        <f t="shared" si="4"/>
        <v/>
      </c>
      <c r="S39" s="43" t="str">
        <f t="shared" si="5"/>
        <v/>
      </c>
      <c r="T39" s="43" t="str">
        <f t="shared" si="6"/>
        <v/>
      </c>
      <c r="U39" s="43" t="str">
        <f t="shared" si="7"/>
        <v/>
      </c>
      <c r="V39" s="38"/>
      <c r="W39" s="8"/>
      <c r="X39" s="52"/>
      <c r="Y39" s="8"/>
      <c r="Z39" s="8"/>
      <c r="AA39" s="8"/>
      <c r="AB39" s="8"/>
      <c r="AC39" s="8"/>
    </row>
    <row r="40" spans="1:29" ht="20.100000000000001" customHeight="1" x14ac:dyDescent="0.25">
      <c r="B40" s="8"/>
      <c r="C40" s="27"/>
      <c r="D40" s="4" t="s">
        <v>21</v>
      </c>
      <c r="E40" s="10">
        <v>0</v>
      </c>
      <c r="F40" s="10">
        <v>0</v>
      </c>
      <c r="G40" s="10">
        <v>0</v>
      </c>
      <c r="H40" s="10">
        <v>0</v>
      </c>
      <c r="I40" s="10">
        <v>0</v>
      </c>
      <c r="J40" s="10">
        <v>0</v>
      </c>
      <c r="K40" s="10">
        <v>0</v>
      </c>
      <c r="L40" s="10">
        <v>0</v>
      </c>
      <c r="M40" s="10">
        <v>0</v>
      </c>
      <c r="N40" s="10"/>
      <c r="O40" s="7"/>
      <c r="P40" s="8"/>
      <c r="Q40" s="37"/>
      <c r="R40" s="43" t="str">
        <f t="shared" si="4"/>
        <v/>
      </c>
      <c r="S40" s="43" t="str">
        <f t="shared" si="5"/>
        <v/>
      </c>
      <c r="T40" s="43" t="str">
        <f t="shared" si="6"/>
        <v/>
      </c>
      <c r="U40" s="43" t="str">
        <f t="shared" si="7"/>
        <v/>
      </c>
      <c r="V40" s="38"/>
      <c r="W40" s="8"/>
      <c r="X40" s="52"/>
      <c r="Y40" s="8"/>
      <c r="Z40" s="8"/>
      <c r="AA40" s="8"/>
      <c r="AB40" s="8"/>
      <c r="AC40" s="8"/>
    </row>
    <row r="41" spans="1:29" ht="20.100000000000001" customHeight="1" x14ac:dyDescent="0.25">
      <c r="B41" s="8"/>
      <c r="C41" s="27"/>
      <c r="D41" s="4" t="s">
        <v>22</v>
      </c>
      <c r="E41" s="10">
        <v>35.648690003113984</v>
      </c>
      <c r="F41" s="10">
        <v>34.528171806082533</v>
      </c>
      <c r="G41" s="10">
        <v>72.38963318010974</v>
      </c>
      <c r="H41" s="10">
        <v>69.804522739279932</v>
      </c>
      <c r="I41" s="10">
        <v>62.507497827732152</v>
      </c>
      <c r="J41" s="10">
        <v>63.538126787766181</v>
      </c>
      <c r="K41" s="10">
        <v>56.945689975721258</v>
      </c>
      <c r="L41" s="10">
        <v>46.590297504695847</v>
      </c>
      <c r="M41" s="10">
        <v>41.236665833939171</v>
      </c>
      <c r="N41" s="10"/>
      <c r="O41" s="7"/>
      <c r="P41" s="8"/>
      <c r="Q41" s="37"/>
      <c r="R41" s="43">
        <f t="shared" si="4"/>
        <v>-1</v>
      </c>
      <c r="S41" s="43">
        <f t="shared" si="5"/>
        <v>-1</v>
      </c>
      <c r="T41" s="43">
        <f t="shared" si="6"/>
        <v>-1</v>
      </c>
      <c r="U41" s="43">
        <f t="shared" si="7"/>
        <v>-1</v>
      </c>
      <c r="V41" s="38"/>
      <c r="W41" s="8"/>
      <c r="X41" s="52"/>
      <c r="Y41" s="8"/>
      <c r="Z41" s="8"/>
      <c r="AA41" s="8"/>
      <c r="AB41" s="8"/>
      <c r="AC41" s="8"/>
    </row>
    <row r="42" spans="1:29" ht="20.100000000000001" customHeight="1" x14ac:dyDescent="0.25">
      <c r="B42" s="8"/>
      <c r="C42" s="27"/>
      <c r="D42" s="11" t="s">
        <v>84</v>
      </c>
      <c r="E42" s="13">
        <v>29.26</v>
      </c>
      <c r="F42" s="13">
        <v>35.020000000000003</v>
      </c>
      <c r="G42" s="13">
        <v>35.39</v>
      </c>
      <c r="H42" s="13">
        <v>38.64</v>
      </c>
      <c r="I42" s="13">
        <v>45.18</v>
      </c>
      <c r="J42" s="13">
        <v>43.88</v>
      </c>
      <c r="K42" s="13">
        <v>50.019999999999996</v>
      </c>
      <c r="L42" s="13">
        <v>59.209999999999994</v>
      </c>
      <c r="M42" s="13">
        <v>68.39</v>
      </c>
      <c r="N42" s="13"/>
      <c r="O42" s="7"/>
      <c r="P42" s="8"/>
      <c r="Q42" s="37"/>
      <c r="R42" s="43">
        <f t="shared" si="4"/>
        <v>-1</v>
      </c>
      <c r="S42" s="43">
        <f t="shared" si="5"/>
        <v>-1</v>
      </c>
      <c r="T42" s="43">
        <f t="shared" si="6"/>
        <v>-1</v>
      </c>
      <c r="U42" s="43">
        <f t="shared" si="7"/>
        <v>-1</v>
      </c>
      <c r="V42" s="38"/>
      <c r="W42" s="8"/>
      <c r="X42" s="52"/>
      <c r="Y42" s="8"/>
      <c r="Z42" s="8"/>
      <c r="AA42" s="8"/>
      <c r="AB42" s="8"/>
      <c r="AC42" s="8"/>
    </row>
    <row r="43" spans="1:29" ht="20.100000000000001" customHeight="1" x14ac:dyDescent="0.25">
      <c r="B43" s="8"/>
      <c r="C43" s="27"/>
      <c r="D43" s="4" t="s">
        <v>23</v>
      </c>
      <c r="E43" s="6">
        <v>8.9441467321762911</v>
      </c>
      <c r="F43" s="6">
        <v>8.0212681428101007</v>
      </c>
      <c r="G43" s="6">
        <v>7.785591744260663</v>
      </c>
      <c r="H43" s="6">
        <v>8.4530707338408639</v>
      </c>
      <c r="I43" s="6">
        <v>7.7102895422821422</v>
      </c>
      <c r="J43" s="6">
        <v>7.41469655852464</v>
      </c>
      <c r="K43" s="6">
        <v>6.965375445657167</v>
      </c>
      <c r="L43" s="6">
        <v>5.7941596837831959</v>
      </c>
      <c r="M43" s="6">
        <v>7.5456339348619963</v>
      </c>
      <c r="N43" s="6"/>
      <c r="O43" s="7"/>
      <c r="P43" s="8"/>
      <c r="Q43" s="37"/>
      <c r="R43" s="43">
        <f t="shared" si="4"/>
        <v>-1</v>
      </c>
      <c r="S43" s="43">
        <f t="shared" si="5"/>
        <v>-1</v>
      </c>
      <c r="T43" s="43">
        <f t="shared" si="6"/>
        <v>-1</v>
      </c>
      <c r="U43" s="43">
        <f t="shared" si="7"/>
        <v>-1</v>
      </c>
      <c r="V43" s="38"/>
      <c r="W43" s="8"/>
      <c r="X43" s="52"/>
      <c r="Y43" s="8"/>
      <c r="Z43" s="8"/>
      <c r="AA43" s="8"/>
      <c r="AB43" s="8"/>
      <c r="AC43" s="8"/>
    </row>
    <row r="44" spans="1:29" ht="20.100000000000001" customHeight="1" x14ac:dyDescent="0.25">
      <c r="B44" s="8"/>
      <c r="C44" s="27"/>
      <c r="D44" s="11" t="s">
        <v>85</v>
      </c>
      <c r="E44" s="13">
        <v>20.3</v>
      </c>
      <c r="F44" s="13">
        <v>26.97</v>
      </c>
      <c r="G44" s="13">
        <v>27.61</v>
      </c>
      <c r="H44" s="13">
        <v>30.2</v>
      </c>
      <c r="I44" s="13">
        <v>37.49</v>
      </c>
      <c r="J44" s="13">
        <v>36.46</v>
      </c>
      <c r="K44" s="13">
        <v>43.05</v>
      </c>
      <c r="L44" s="13">
        <v>53.410000000000004</v>
      </c>
      <c r="M44" s="13">
        <v>61.19</v>
      </c>
      <c r="N44" s="13"/>
      <c r="O44" s="7"/>
      <c r="P44" s="8"/>
      <c r="Q44" s="37"/>
      <c r="R44" s="43">
        <f t="shared" si="4"/>
        <v>-1</v>
      </c>
      <c r="S44" s="43">
        <f t="shared" si="5"/>
        <v>-1</v>
      </c>
      <c r="T44" s="43">
        <f t="shared" si="6"/>
        <v>-1</v>
      </c>
      <c r="U44" s="43">
        <f t="shared" si="7"/>
        <v>-1</v>
      </c>
      <c r="V44" s="38"/>
      <c r="W44" s="8"/>
      <c r="X44" s="52"/>
      <c r="Y44" s="8"/>
      <c r="Z44" s="8"/>
      <c r="AA44" s="8"/>
      <c r="AB44" s="8"/>
      <c r="AC44" s="8"/>
    </row>
    <row r="45" spans="1:29" ht="20.100000000000001" customHeight="1" x14ac:dyDescent="0.25">
      <c r="B45" s="8"/>
      <c r="C45" s="27"/>
      <c r="D45" s="4" t="s">
        <v>24</v>
      </c>
      <c r="E45" s="6">
        <v>4.9509568965488332E-2</v>
      </c>
      <c r="F45" s="6">
        <v>1.9659375004958117E-2</v>
      </c>
      <c r="G45" s="6">
        <v>6.5480166057701123E-3</v>
      </c>
      <c r="H45" s="6">
        <v>-0.18794224889789626</v>
      </c>
      <c r="I45" s="6">
        <v>-9.8663004176360106E-2</v>
      </c>
      <c r="J45" s="6">
        <v>-5.9490338931944685E-2</v>
      </c>
      <c r="K45" s="6">
        <v>-4.7299809707123955E-2</v>
      </c>
      <c r="L45" s="6">
        <v>-0.18141834214287494</v>
      </c>
      <c r="M45" s="6">
        <v>-0.24046176143386319</v>
      </c>
      <c r="N45" s="6"/>
      <c r="O45" s="7"/>
      <c r="P45" s="8"/>
      <c r="Q45" s="37"/>
      <c r="R45" s="43">
        <f t="shared" si="4"/>
        <v>-1</v>
      </c>
      <c r="S45" s="43">
        <f t="shared" si="5"/>
        <v>-1</v>
      </c>
      <c r="T45" s="43">
        <f t="shared" si="6"/>
        <v>-1</v>
      </c>
      <c r="U45" s="43">
        <f t="shared" si="7"/>
        <v>-1</v>
      </c>
      <c r="V45" s="38"/>
      <c r="W45" s="8"/>
      <c r="X45" s="52"/>
      <c r="Y45" s="8"/>
      <c r="Z45" s="8"/>
      <c r="AA45" s="8"/>
      <c r="AB45" s="8"/>
      <c r="AC45" s="8"/>
    </row>
    <row r="46" spans="1:29" ht="20.100000000000001" customHeight="1" x14ac:dyDescent="0.25">
      <c r="B46" s="8"/>
      <c r="C46" s="27"/>
      <c r="D46" s="11" t="s">
        <v>86</v>
      </c>
      <c r="E46" s="13">
        <v>18.490000000000002</v>
      </c>
      <c r="F46" s="13">
        <v>24.93</v>
      </c>
      <c r="G46" s="13">
        <v>26.229999999999997</v>
      </c>
      <c r="H46" s="13">
        <v>27.49</v>
      </c>
      <c r="I46" s="13">
        <v>34.83</v>
      </c>
      <c r="J46" s="13">
        <v>34.01</v>
      </c>
      <c r="K46" s="13">
        <v>40.94</v>
      </c>
      <c r="L46" s="13">
        <v>50.72</v>
      </c>
      <c r="M46" s="13">
        <v>56.65</v>
      </c>
      <c r="N46" s="13"/>
      <c r="O46" s="7"/>
      <c r="P46" s="8"/>
      <c r="Q46" s="37"/>
      <c r="R46" s="43">
        <f t="shared" si="4"/>
        <v>-1</v>
      </c>
      <c r="S46" s="43">
        <f t="shared" si="5"/>
        <v>-1</v>
      </c>
      <c r="T46" s="43">
        <f t="shared" si="6"/>
        <v>-1</v>
      </c>
      <c r="U46" s="43">
        <f t="shared" si="7"/>
        <v>-1</v>
      </c>
      <c r="V46" s="38"/>
      <c r="W46" s="8"/>
      <c r="X46" s="52"/>
      <c r="Y46" s="8"/>
      <c r="Z46" s="8"/>
      <c r="AA46" s="8"/>
      <c r="AB46" s="8"/>
      <c r="AC46" s="8"/>
    </row>
    <row r="47" spans="1:29" ht="20.100000000000001" customHeight="1" x14ac:dyDescent="0.25">
      <c r="B47" s="8"/>
      <c r="C47" s="27"/>
      <c r="D47" s="11" t="s">
        <v>87</v>
      </c>
      <c r="E47" s="13">
        <v>9.9030770551765119</v>
      </c>
      <c r="F47" s="13">
        <v>17.001533002663237</v>
      </c>
      <c r="G47" s="13">
        <v>15.652378894432875</v>
      </c>
      <c r="H47" s="13">
        <v>7.6605953525432824</v>
      </c>
      <c r="I47" s="13">
        <v>23.283908400369988</v>
      </c>
      <c r="J47" s="13">
        <v>27.262059017675966</v>
      </c>
      <c r="K47" s="13">
        <v>39.829720685054355</v>
      </c>
      <c r="L47" s="13">
        <v>49.750148805811087</v>
      </c>
      <c r="M47" s="13">
        <v>50.272694865252532</v>
      </c>
      <c r="N47" s="13"/>
      <c r="O47" s="7"/>
      <c r="P47" s="8"/>
      <c r="Q47" s="37"/>
      <c r="R47" s="43">
        <f t="shared" si="4"/>
        <v>-1</v>
      </c>
      <c r="S47" s="43">
        <f t="shared" si="5"/>
        <v>-1</v>
      </c>
      <c r="T47" s="43">
        <f t="shared" si="6"/>
        <v>-1</v>
      </c>
      <c r="U47" s="43">
        <f t="shared" si="7"/>
        <v>-1</v>
      </c>
      <c r="V47" s="38"/>
      <c r="W47" s="8"/>
      <c r="X47" s="54"/>
      <c r="Y47" s="8"/>
      <c r="Z47" s="8"/>
      <c r="AA47" s="8"/>
      <c r="AB47" s="8"/>
      <c r="AC47" s="8"/>
    </row>
    <row r="48" spans="1:29" ht="20.100000000000001" customHeight="1" x14ac:dyDescent="0.25">
      <c r="B48" s="8"/>
      <c r="C48" s="27"/>
      <c r="D48" s="7"/>
      <c r="E48" s="8"/>
      <c r="F48" s="8"/>
      <c r="G48" s="8"/>
      <c r="H48" s="89"/>
      <c r="I48" s="8"/>
      <c r="J48" s="8"/>
      <c r="K48" s="8"/>
      <c r="L48" s="8"/>
      <c r="M48" s="89"/>
      <c r="N48" s="8"/>
      <c r="O48" s="7"/>
      <c r="P48" s="8"/>
      <c r="Q48" s="37"/>
      <c r="R48" s="8"/>
      <c r="S48" s="8"/>
      <c r="T48" s="8"/>
      <c r="U48" s="8"/>
      <c r="V48" s="38"/>
      <c r="W48" s="8"/>
      <c r="X48" s="8"/>
      <c r="Y48" s="8"/>
      <c r="Z48" s="8"/>
      <c r="AA48" s="8"/>
      <c r="AB48" s="8"/>
      <c r="AC48" s="8"/>
    </row>
    <row r="49" spans="2:29" ht="18.95" customHeight="1" x14ac:dyDescent="0.25">
      <c r="B49" s="8"/>
      <c r="C49" s="27"/>
      <c r="D49" s="7"/>
      <c r="E49" s="8">
        <v>2013</v>
      </c>
      <c r="F49" s="8">
        <v>2014</v>
      </c>
      <c r="G49" s="8">
        <v>2015</v>
      </c>
      <c r="H49" s="8">
        <v>2016</v>
      </c>
      <c r="I49" s="8">
        <v>2017</v>
      </c>
      <c r="J49" s="8">
        <v>2018</v>
      </c>
      <c r="K49" s="8">
        <v>2019</v>
      </c>
      <c r="L49" s="8">
        <v>2020</v>
      </c>
      <c r="M49" s="8">
        <v>2021</v>
      </c>
      <c r="N49" s="8"/>
      <c r="O49" s="7"/>
      <c r="P49" s="8"/>
      <c r="Q49" s="37"/>
      <c r="R49" s="8"/>
      <c r="S49" s="8"/>
      <c r="T49" s="8"/>
      <c r="U49" s="8"/>
      <c r="V49" s="38"/>
      <c r="W49" s="8"/>
      <c r="X49" s="8"/>
      <c r="Y49" s="8"/>
      <c r="Z49" s="8"/>
      <c r="AA49" s="8"/>
      <c r="AB49" s="8"/>
      <c r="AC49" s="8"/>
    </row>
    <row r="50" spans="2:29" ht="18.95" customHeight="1" x14ac:dyDescent="0.25">
      <c r="B50" s="8"/>
      <c r="C50" s="27"/>
      <c r="D50" s="4" t="s">
        <v>32</v>
      </c>
      <c r="E50" s="48">
        <v>31.077938169289677</v>
      </c>
      <c r="F50" s="48">
        <v>38.043590208129899</v>
      </c>
      <c r="G50" s="48">
        <v>33.596698706657946</v>
      </c>
      <c r="H50" s="48">
        <v>30.720687585899842</v>
      </c>
      <c r="I50" s="48">
        <v>37.128070898844847</v>
      </c>
      <c r="J50" s="48">
        <v>34.680063326643314</v>
      </c>
      <c r="K50" s="48">
        <v>34.486364473926663</v>
      </c>
      <c r="L50" s="48">
        <v>8.9811278364412495</v>
      </c>
      <c r="M50" s="48">
        <v>15.511775739437731</v>
      </c>
      <c r="N50" s="48"/>
      <c r="O50" s="7"/>
      <c r="P50" s="8"/>
      <c r="Q50" s="37"/>
      <c r="R50" s="43">
        <f>IFERROR((N50/M50-1),"")</f>
        <v>-1</v>
      </c>
      <c r="S50" s="43">
        <f>IFERROR(((N50/K50)^(1/3) -1),"")</f>
        <v>-1</v>
      </c>
      <c r="T50" s="43">
        <f>IFERROR(((N50/I50)^(1/5) -1),"")</f>
        <v>-1</v>
      </c>
      <c r="U50" s="43">
        <f>IFERROR(((N50/E50)^(1/9) -1),"")</f>
        <v>-1</v>
      </c>
      <c r="V50" s="38"/>
      <c r="W50" s="8"/>
      <c r="X50" s="52"/>
      <c r="Y50" s="8"/>
      <c r="Z50" s="8"/>
      <c r="AA50" s="8"/>
      <c r="AB50" s="8"/>
      <c r="AC50" s="8"/>
    </row>
    <row r="51" spans="2:29" ht="18.95" customHeight="1" x14ac:dyDescent="0.25">
      <c r="B51" s="8"/>
      <c r="C51" s="27"/>
      <c r="D51" s="4" t="s">
        <v>33</v>
      </c>
      <c r="E51" s="48">
        <v>51.000400160064032</v>
      </c>
      <c r="F51" s="48">
        <v>51.011461801465764</v>
      </c>
      <c r="G51" s="48">
        <v>45.713503149821967</v>
      </c>
      <c r="H51" s="48">
        <v>49.674471015400023</v>
      </c>
      <c r="I51" s="48">
        <v>56.542077338211335</v>
      </c>
      <c r="J51" s="48">
        <v>51.432797189868737</v>
      </c>
      <c r="K51" s="48">
        <v>53.302812062784575</v>
      </c>
      <c r="L51" s="48">
        <v>10.440357556440883</v>
      </c>
      <c r="M51" s="48">
        <v>18.973503188705557</v>
      </c>
      <c r="N51" s="48"/>
      <c r="O51" s="7"/>
      <c r="P51" s="8"/>
      <c r="Q51" s="37"/>
      <c r="R51" s="43">
        <f>IFERROR((N51/M51-1),"")</f>
        <v>-1</v>
      </c>
      <c r="S51" s="43">
        <f>IFERROR(((N51/K51)^(1/3) -1),"")</f>
        <v>-1</v>
      </c>
      <c r="T51" s="43">
        <f>IFERROR(((N51/I51)^(1/5) -1),"")</f>
        <v>-1</v>
      </c>
      <c r="U51" s="43">
        <f>IFERROR(((N51/E51)^(1/9) -1),"")</f>
        <v>-1</v>
      </c>
      <c r="V51" s="38"/>
      <c r="W51" s="8"/>
      <c r="X51" s="52"/>
      <c r="Y51" s="8"/>
      <c r="Z51" s="8"/>
      <c r="AA51" s="8"/>
      <c r="AB51" s="8"/>
      <c r="AC51" s="8"/>
    </row>
    <row r="52" spans="2:29" ht="18.95" customHeight="1" x14ac:dyDescent="0.25">
      <c r="B52" s="8"/>
      <c r="C52" s="27"/>
      <c r="D52" s="4" t="s">
        <v>81</v>
      </c>
      <c r="E52" s="48">
        <v>55.304475599236547</v>
      </c>
      <c r="F52" s="48">
        <v>54.758423438131217</v>
      </c>
      <c r="G52" s="48">
        <v>47.761464564074679</v>
      </c>
      <c r="H52" s="48">
        <v>48.377204545769906</v>
      </c>
      <c r="I52" s="48">
        <v>57.096270243044586</v>
      </c>
      <c r="J52" s="48">
        <v>53.299501456319355</v>
      </c>
      <c r="K52" s="48">
        <v>53.119423577073967</v>
      </c>
      <c r="L52" s="48">
        <v>10.700074796985986</v>
      </c>
      <c r="M52" s="48">
        <v>18.51162361513947</v>
      </c>
      <c r="N52" s="48"/>
      <c r="O52" s="7"/>
      <c r="P52" s="8"/>
      <c r="Q52" s="37"/>
      <c r="R52" s="43">
        <f>IFERROR((N52/M52-1),"")</f>
        <v>-1</v>
      </c>
      <c r="S52" s="43">
        <f>IFERROR(((N52/K52)^(1/3) -1),"")</f>
        <v>-1</v>
      </c>
      <c r="T52" s="43">
        <f>IFERROR(((N52/I52)^(1/5) -1),"")</f>
        <v>-1</v>
      </c>
      <c r="U52" s="43">
        <f>IFERROR(((N52/E52)^(1/9) -1),"")</f>
        <v>-1</v>
      </c>
      <c r="V52" s="38"/>
      <c r="W52" s="8"/>
      <c r="X52" s="54"/>
      <c r="Y52" s="8"/>
      <c r="Z52" s="8"/>
      <c r="AA52" s="8"/>
      <c r="AB52" s="8"/>
      <c r="AC52" s="8"/>
    </row>
    <row r="53" spans="2:29" ht="20.100000000000001" customHeight="1" x14ac:dyDescent="0.25">
      <c r="B53" s="8"/>
      <c r="C53" s="27"/>
      <c r="D53" s="4" t="s">
        <v>34</v>
      </c>
      <c r="E53" s="48">
        <v>50.326881817114298</v>
      </c>
      <c r="F53" s="48">
        <v>50.565445432181789</v>
      </c>
      <c r="G53" s="48">
        <v>45.388801183993721</v>
      </c>
      <c r="H53" s="48">
        <v>44.339950109232944</v>
      </c>
      <c r="I53" s="48">
        <v>53.212141094595545</v>
      </c>
      <c r="J53" s="48">
        <v>49.79934612032794</v>
      </c>
      <c r="K53" s="48">
        <v>50.570723425027829</v>
      </c>
      <c r="L53" s="48">
        <v>10.196385081349883</v>
      </c>
      <c r="M53" s="48">
        <v>17.309251933126433</v>
      </c>
      <c r="N53" s="48"/>
      <c r="O53" s="7"/>
      <c r="P53" s="8"/>
      <c r="Q53" s="37"/>
      <c r="R53" s="43">
        <f>IFERROR((N53/M53-1),"")</f>
        <v>-1</v>
      </c>
      <c r="S53" s="43">
        <f>IFERROR(((N53/K53)^(1/3) -1),"")</f>
        <v>-1</v>
      </c>
      <c r="T53" s="43">
        <f>IFERROR(((N53/I53)^(1/5) -1),"")</f>
        <v>-1</v>
      </c>
      <c r="U53" s="43">
        <f>IFERROR(((N53/E53)^(1/9) -1),"")</f>
        <v>-1</v>
      </c>
      <c r="V53" s="38"/>
      <c r="W53" s="8"/>
      <c r="X53" s="54"/>
      <c r="Y53" s="8"/>
      <c r="Z53" s="8"/>
      <c r="AA53" s="8"/>
      <c r="AB53" s="8"/>
      <c r="AC53" s="8"/>
    </row>
    <row r="54" spans="2:29" ht="20.100000000000001" customHeight="1" x14ac:dyDescent="0.25">
      <c r="B54" s="8"/>
      <c r="C54" s="27"/>
      <c r="D54" s="4" t="s">
        <v>82</v>
      </c>
      <c r="E54" s="48">
        <v>74.880529385645758</v>
      </c>
      <c r="F54" s="48">
        <v>58.265757349199376</v>
      </c>
      <c r="G54" s="48">
        <v>54.141743701286927</v>
      </c>
      <c r="H54" s="48">
        <v>52.588563420150692</v>
      </c>
      <c r="I54" s="48">
        <v>52.127813964606148</v>
      </c>
      <c r="J54" s="48">
        <v>57.585071088635942</v>
      </c>
      <c r="K54" s="48">
        <v>58.201916687187335</v>
      </c>
      <c r="L54" s="48">
        <v>10.113123747061229</v>
      </c>
      <c r="M54" s="48">
        <v>16.906924748445839</v>
      </c>
      <c r="N54" s="48"/>
      <c r="O54" s="7"/>
      <c r="P54" s="8"/>
      <c r="Q54" s="37"/>
      <c r="R54" s="43">
        <f>IFERROR((N54/M54-1),"")</f>
        <v>-1</v>
      </c>
      <c r="S54" s="43">
        <f>IFERROR(((N54/K54)^(1/3) -1),"")</f>
        <v>-1</v>
      </c>
      <c r="T54" s="43">
        <f>IFERROR(((N54/I54)^(1/5) -1),"")</f>
        <v>-1</v>
      </c>
      <c r="U54" s="43">
        <f>IFERROR(((N54/E54)^(1/9) -1),"")</f>
        <v>-1</v>
      </c>
      <c r="V54" s="38"/>
      <c r="W54" s="8"/>
      <c r="X54" s="54"/>
      <c r="Y54" s="8"/>
      <c r="Z54" s="8"/>
      <c r="AA54" s="8"/>
      <c r="AB54" s="8"/>
      <c r="AC54" s="8"/>
    </row>
    <row r="55" spans="2:29" ht="20.100000000000001" customHeight="1" x14ac:dyDescent="0.25">
      <c r="B55" s="8"/>
      <c r="C55" s="27"/>
      <c r="D55" s="7"/>
      <c r="E55" s="8"/>
      <c r="F55" s="8"/>
      <c r="G55" s="8"/>
      <c r="H55" s="8"/>
      <c r="I55" s="8"/>
      <c r="J55" s="8"/>
      <c r="K55" s="8"/>
      <c r="L55" s="8"/>
      <c r="M55" s="8"/>
      <c r="N55" s="8"/>
      <c r="O55" s="7"/>
      <c r="P55" s="8"/>
      <c r="Q55" s="37"/>
      <c r="R55" s="8" t="str">
        <f t="shared" ref="R55" si="8">IFERROR((N55/M55-1),"")</f>
        <v/>
      </c>
      <c r="S55" s="8" t="str">
        <f t="shared" ref="S55" si="9">IFERROR(((N55/K55)^(1/3) -1),"")</f>
        <v/>
      </c>
      <c r="T55" s="8" t="str">
        <f t="shared" ref="T55" si="10">IFERROR(((N55/I55)^(1/5) -1),"")</f>
        <v/>
      </c>
      <c r="U55" s="8" t="str">
        <f t="shared" ref="U55" si="11">IFERROR(((N55/E55)^(1/9) -1),"")</f>
        <v/>
      </c>
      <c r="V55" s="38"/>
      <c r="W55" s="8"/>
      <c r="X55" s="54"/>
      <c r="Y55" s="8"/>
      <c r="Z55" s="8"/>
      <c r="AA55" s="8"/>
      <c r="AB55" s="8"/>
      <c r="AC55" s="8"/>
    </row>
    <row r="56" spans="2:29" ht="20.100000000000001" customHeight="1" x14ac:dyDescent="0.25">
      <c r="B56" s="8"/>
      <c r="C56" s="27"/>
      <c r="D56" s="7"/>
      <c r="E56" s="8"/>
      <c r="F56" s="8"/>
      <c r="G56" s="8"/>
      <c r="H56" s="8"/>
      <c r="I56" s="8"/>
      <c r="J56" s="8"/>
      <c r="K56" s="8"/>
      <c r="L56" s="8"/>
      <c r="M56" s="8"/>
      <c r="N56" s="8"/>
      <c r="O56" s="7"/>
      <c r="P56" s="8"/>
      <c r="Q56" s="37"/>
      <c r="R56" s="8"/>
      <c r="S56" s="8"/>
      <c r="T56" s="8"/>
      <c r="U56" s="8"/>
      <c r="V56" s="38"/>
      <c r="W56" s="8"/>
      <c r="X56" s="8"/>
      <c r="Y56" s="8"/>
      <c r="Z56" s="8"/>
      <c r="AA56" s="8"/>
      <c r="AB56" s="8"/>
      <c r="AC56" s="8"/>
    </row>
    <row r="57" spans="2:29" ht="20.100000000000001" customHeight="1" x14ac:dyDescent="0.25">
      <c r="B57" s="8"/>
      <c r="C57" s="72"/>
      <c r="D57" s="73"/>
      <c r="E57" s="40"/>
      <c r="F57" s="40"/>
      <c r="G57" s="40"/>
      <c r="H57" s="40"/>
      <c r="I57" s="40"/>
      <c r="J57" s="40"/>
      <c r="K57" s="40"/>
      <c r="L57" s="40"/>
      <c r="M57" s="40"/>
      <c r="N57" s="40"/>
      <c r="O57" s="73"/>
      <c r="P57" s="8"/>
      <c r="Q57" s="39"/>
      <c r="R57" s="40"/>
      <c r="S57" s="40"/>
      <c r="T57" s="40"/>
      <c r="U57" s="40"/>
      <c r="V57" s="41"/>
      <c r="W57" s="8"/>
      <c r="X57" s="8"/>
      <c r="Y57" s="8"/>
      <c r="Z57" s="8"/>
      <c r="AA57" s="8"/>
      <c r="AB57" s="8"/>
      <c r="AC57" s="8"/>
    </row>
    <row r="58" spans="2:29" ht="20.100000000000001" customHeight="1" x14ac:dyDescent="0.25">
      <c r="B58" s="8"/>
      <c r="C58" s="40"/>
      <c r="D58" s="40"/>
      <c r="E58" s="40"/>
      <c r="F58" s="40"/>
      <c r="G58" s="40"/>
      <c r="H58" s="40"/>
      <c r="I58" s="40"/>
      <c r="J58" s="40"/>
      <c r="K58" s="40"/>
      <c r="L58" s="40"/>
      <c r="M58" s="40"/>
      <c r="N58" s="40"/>
      <c r="O58" s="40"/>
      <c r="P58" s="8"/>
      <c r="Q58" s="40"/>
      <c r="R58" s="40"/>
      <c r="S58" s="40"/>
      <c r="T58" s="40"/>
      <c r="U58" s="40"/>
      <c r="V58" s="40"/>
      <c r="W58" s="8"/>
      <c r="X58" s="8"/>
      <c r="Y58" s="8"/>
      <c r="Z58" s="8"/>
      <c r="AA58" s="8"/>
      <c r="AB58" s="8"/>
      <c r="AC58" s="8"/>
    </row>
    <row r="59" spans="2:29" ht="20.100000000000001" customHeight="1" x14ac:dyDescent="0.25">
      <c r="B59" s="38"/>
      <c r="C59" s="8"/>
      <c r="D59" s="8"/>
      <c r="E59" s="8"/>
      <c r="F59" s="8"/>
      <c r="G59" s="8"/>
      <c r="H59" s="8"/>
      <c r="I59" s="8"/>
      <c r="J59" s="8"/>
      <c r="K59" s="8"/>
      <c r="L59" s="8"/>
      <c r="M59" s="8"/>
      <c r="N59" s="8"/>
      <c r="O59" s="59"/>
      <c r="P59" s="53"/>
      <c r="Q59" s="37"/>
      <c r="R59" s="8"/>
      <c r="S59" s="8"/>
      <c r="T59" s="8"/>
      <c r="U59" s="8"/>
      <c r="V59" s="59"/>
      <c r="W59" s="8"/>
      <c r="X59" s="8"/>
      <c r="Y59" s="8"/>
      <c r="Z59" s="8"/>
      <c r="AA59" s="8"/>
      <c r="AB59" s="8"/>
      <c r="AC59" s="8"/>
    </row>
    <row r="60" spans="2:29" ht="20.100000000000001" customHeight="1" x14ac:dyDescent="0.25">
      <c r="B60" s="38"/>
      <c r="C60" s="8"/>
      <c r="D60" s="8"/>
      <c r="E60" s="8">
        <v>2021</v>
      </c>
      <c r="F60" s="8"/>
      <c r="G60" s="189" t="s">
        <v>118</v>
      </c>
      <c r="H60" s="189"/>
      <c r="I60" s="189" t="s">
        <v>119</v>
      </c>
      <c r="J60" s="189"/>
      <c r="K60" s="189" t="s">
        <v>120</v>
      </c>
      <c r="L60" s="189"/>
      <c r="M60" s="8"/>
      <c r="N60" s="8"/>
      <c r="O60" s="38"/>
      <c r="P60" s="53"/>
      <c r="Q60" s="8"/>
      <c r="R60" s="8"/>
      <c r="S60" s="8"/>
      <c r="T60" s="8"/>
      <c r="U60" s="8"/>
      <c r="V60" s="38"/>
      <c r="W60" s="8"/>
      <c r="X60" s="8"/>
      <c r="Y60" s="8"/>
      <c r="Z60" s="8"/>
      <c r="AA60" s="8"/>
      <c r="AB60" s="8"/>
      <c r="AC60" s="8"/>
    </row>
    <row r="61" spans="2:29" ht="18.95" customHeight="1" x14ac:dyDescent="0.25">
      <c r="B61" s="38"/>
      <c r="C61" s="8"/>
      <c r="D61" s="8" t="s">
        <v>54</v>
      </c>
      <c r="E61" s="82">
        <v>421.43200000000002</v>
      </c>
      <c r="F61" s="8"/>
      <c r="G61" s="191">
        <v>2.1868316537432793</v>
      </c>
      <c r="H61" s="191"/>
      <c r="I61" s="191">
        <v>14.730789541395335</v>
      </c>
      <c r="J61" s="191"/>
      <c r="K61" s="191">
        <v>-2.0670009218883441</v>
      </c>
      <c r="L61" s="191"/>
      <c r="M61" s="8"/>
      <c r="N61" s="8"/>
      <c r="O61" s="38"/>
      <c r="P61" s="53"/>
      <c r="Q61" s="8"/>
      <c r="R61" s="8"/>
      <c r="S61" s="8"/>
      <c r="T61" s="8"/>
      <c r="U61" s="8"/>
      <c r="V61" s="38"/>
      <c r="W61" s="8"/>
      <c r="X61" s="8"/>
      <c r="Y61" s="8"/>
      <c r="Z61" s="8"/>
      <c r="AA61" s="8"/>
      <c r="AB61" s="8"/>
      <c r="AC61" s="8"/>
    </row>
    <row r="62" spans="2:29" ht="18.95" customHeight="1" x14ac:dyDescent="0.25">
      <c r="B62" s="8"/>
      <c r="C62" s="27"/>
      <c r="D62" s="8" t="s">
        <v>7</v>
      </c>
      <c r="E62" s="82">
        <v>0</v>
      </c>
      <c r="F62" s="8"/>
      <c r="G62" s="191"/>
      <c r="H62" s="191"/>
      <c r="I62" s="191"/>
      <c r="J62" s="191"/>
      <c r="K62" s="191"/>
      <c r="L62" s="191"/>
      <c r="M62" s="8"/>
      <c r="N62" s="8"/>
      <c r="O62" s="7"/>
      <c r="P62" s="8"/>
      <c r="Q62" s="37"/>
      <c r="R62" s="8"/>
      <c r="S62" s="8"/>
      <c r="T62" s="8"/>
      <c r="U62" s="8"/>
      <c r="V62" s="38"/>
      <c r="W62" s="8"/>
      <c r="X62" s="8"/>
      <c r="Y62" s="8"/>
      <c r="Z62" s="8"/>
      <c r="AA62" s="8"/>
      <c r="AB62" s="8"/>
      <c r="AC62" s="8"/>
    </row>
    <row r="63" spans="2:29" ht="18.95" customHeight="1" x14ac:dyDescent="0.25">
      <c r="B63" s="8"/>
      <c r="C63" s="27"/>
      <c r="D63" s="8" t="s">
        <v>55</v>
      </c>
      <c r="E63" s="82">
        <v>421.43200000000002</v>
      </c>
      <c r="F63" s="8"/>
      <c r="G63" s="8"/>
      <c r="H63" s="8"/>
      <c r="I63" s="8"/>
      <c r="J63" s="8"/>
      <c r="K63" s="8"/>
      <c r="L63" s="8"/>
      <c r="M63" s="8"/>
      <c r="N63" s="8"/>
      <c r="O63" s="7"/>
      <c r="P63" s="8"/>
      <c r="Q63" s="37"/>
      <c r="R63" s="8"/>
      <c r="S63" s="8"/>
      <c r="T63" s="8"/>
      <c r="U63" s="8"/>
      <c r="V63" s="38"/>
      <c r="W63" s="8"/>
      <c r="X63" s="8"/>
      <c r="Y63" s="8"/>
      <c r="Z63" s="8"/>
      <c r="AA63" s="8"/>
      <c r="AB63" s="8"/>
      <c r="AC63" s="8"/>
    </row>
    <row r="64" spans="2:29" ht="20.100000000000001" customHeight="1" x14ac:dyDescent="0.25">
      <c r="B64" s="8"/>
      <c r="C64" s="27"/>
      <c r="D64" s="8" t="s">
        <v>56</v>
      </c>
      <c r="E64" s="82">
        <v>0</v>
      </c>
      <c r="F64" s="8"/>
      <c r="G64" s="8"/>
      <c r="H64" s="8"/>
      <c r="I64" s="8"/>
      <c r="J64" s="8"/>
      <c r="K64" s="8"/>
      <c r="L64" s="8"/>
      <c r="M64" s="8"/>
      <c r="N64" s="8"/>
      <c r="O64" s="7"/>
      <c r="P64" s="8"/>
      <c r="Q64" s="37"/>
      <c r="R64" s="8"/>
      <c r="S64" s="8"/>
      <c r="T64" s="8"/>
      <c r="U64" s="8"/>
      <c r="V64" s="38"/>
      <c r="W64" s="8"/>
      <c r="X64" s="8"/>
      <c r="Y64" s="8"/>
      <c r="Z64" s="8"/>
      <c r="AA64" s="8"/>
      <c r="AB64" s="8"/>
      <c r="AC64" s="8"/>
    </row>
    <row r="65" spans="2:29" ht="20.100000000000001" customHeight="1" x14ac:dyDescent="0.25">
      <c r="B65" s="8"/>
      <c r="C65" s="27"/>
      <c r="D65" s="8" t="s">
        <v>52</v>
      </c>
      <c r="E65" s="82">
        <v>421.43200000000002</v>
      </c>
      <c r="F65" s="8"/>
      <c r="G65" s="8"/>
      <c r="H65" s="8"/>
      <c r="I65" s="8"/>
      <c r="J65" s="8"/>
      <c r="K65" s="8"/>
      <c r="L65" s="8"/>
      <c r="M65" s="8"/>
      <c r="N65" s="8"/>
      <c r="O65" s="7"/>
      <c r="P65" s="8"/>
      <c r="Q65" s="37"/>
      <c r="R65" s="8"/>
      <c r="S65" s="8"/>
      <c r="T65" s="8"/>
      <c r="U65" s="8"/>
      <c r="V65" s="38"/>
      <c r="W65" s="8"/>
      <c r="X65" s="8"/>
      <c r="Y65" s="8"/>
      <c r="Z65" s="8"/>
      <c r="AA65" s="8"/>
      <c r="AB65" s="8"/>
      <c r="AC65" s="8"/>
    </row>
    <row r="66" spans="2:29" ht="20.100000000000001" customHeight="1" x14ac:dyDescent="0.25">
      <c r="B66" s="8"/>
      <c r="C66" s="27"/>
      <c r="D66" s="8" t="s">
        <v>9</v>
      </c>
      <c r="E66" s="82">
        <v>14.638999999999999</v>
      </c>
      <c r="F66" s="8"/>
      <c r="G66" s="8"/>
      <c r="H66" s="8"/>
      <c r="I66" s="8"/>
      <c r="J66" s="8"/>
      <c r="K66" s="8"/>
      <c r="L66" s="8"/>
      <c r="M66" s="8"/>
      <c r="N66" s="8"/>
      <c r="O66" s="7"/>
      <c r="P66" s="8"/>
      <c r="Q66" s="37"/>
      <c r="R66" s="8"/>
      <c r="S66" s="8"/>
      <c r="T66" s="8"/>
      <c r="U66" s="8"/>
      <c r="V66" s="38"/>
      <c r="W66" s="8"/>
      <c r="X66" s="8"/>
      <c r="Y66" s="8"/>
      <c r="Z66" s="8"/>
      <c r="AA66" s="8"/>
      <c r="AB66" s="8"/>
      <c r="AC66" s="8"/>
    </row>
    <row r="67" spans="2:29" ht="20.100000000000001" customHeight="1" x14ac:dyDescent="0.25">
      <c r="B67" s="8"/>
      <c r="C67" s="27"/>
      <c r="D67" s="8" t="s">
        <v>10</v>
      </c>
      <c r="E67" s="82">
        <v>53.170999999999999</v>
      </c>
      <c r="F67" s="8"/>
      <c r="G67" s="8"/>
      <c r="H67" s="8"/>
      <c r="I67" s="8"/>
      <c r="J67" s="8"/>
      <c r="K67" s="8"/>
      <c r="L67" s="8"/>
      <c r="M67" s="8"/>
      <c r="N67" s="8"/>
      <c r="O67" s="7"/>
      <c r="P67" s="8"/>
      <c r="Q67" s="37"/>
      <c r="R67" s="8"/>
      <c r="S67" s="8"/>
      <c r="T67" s="8"/>
      <c r="U67" s="8"/>
      <c r="V67" s="38"/>
      <c r="W67" s="8"/>
      <c r="X67" s="8"/>
      <c r="Y67" s="8"/>
      <c r="Z67" s="8"/>
      <c r="AA67" s="8"/>
      <c r="AB67" s="8"/>
      <c r="AC67" s="8"/>
    </row>
    <row r="68" spans="2:29" ht="20.100000000000001" customHeight="1" x14ac:dyDescent="0.25">
      <c r="B68" s="8"/>
      <c r="C68" s="27"/>
      <c r="D68" s="8" t="s">
        <v>14</v>
      </c>
      <c r="E68" s="82">
        <v>67.81</v>
      </c>
      <c r="F68" s="8"/>
      <c r="G68" s="8"/>
      <c r="H68" s="8"/>
      <c r="I68" s="8"/>
      <c r="J68" s="8"/>
      <c r="K68" s="8"/>
      <c r="L68" s="8"/>
      <c r="M68" s="8"/>
      <c r="N68" s="8"/>
      <c r="O68" s="7"/>
      <c r="P68" s="8"/>
      <c r="Q68" s="37"/>
      <c r="R68" s="8"/>
      <c r="S68" s="8"/>
      <c r="T68" s="8"/>
      <c r="U68" s="8"/>
      <c r="V68" s="38"/>
      <c r="W68" s="8"/>
      <c r="X68" s="8"/>
      <c r="Y68" s="8"/>
      <c r="Z68" s="8"/>
      <c r="AA68" s="8"/>
      <c r="AB68" s="8"/>
      <c r="AC68" s="8"/>
    </row>
    <row r="69" spans="2:29" ht="20.100000000000001" customHeight="1" x14ac:dyDescent="0.25">
      <c r="B69" s="8"/>
      <c r="C69" s="27"/>
      <c r="D69" s="8" t="s">
        <v>15</v>
      </c>
      <c r="E69" s="82">
        <v>67.81</v>
      </c>
      <c r="F69" s="8"/>
      <c r="G69" s="8"/>
      <c r="H69" s="8"/>
      <c r="I69" s="8"/>
      <c r="J69" s="8"/>
      <c r="K69" s="8"/>
      <c r="L69" s="8"/>
      <c r="M69" s="8"/>
      <c r="N69" s="8"/>
      <c r="O69" s="7"/>
      <c r="P69" s="8"/>
      <c r="Q69" s="37"/>
      <c r="R69" s="8"/>
      <c r="S69" s="8"/>
      <c r="T69" s="8"/>
      <c r="U69" s="8"/>
      <c r="V69" s="38"/>
      <c r="W69" s="8"/>
      <c r="X69" s="8"/>
      <c r="Y69" s="8"/>
      <c r="Z69" s="8"/>
      <c r="AA69" s="8"/>
      <c r="AB69" s="8"/>
      <c r="AC69" s="8"/>
    </row>
    <row r="70" spans="2:29" ht="20.100000000000001" customHeight="1" x14ac:dyDescent="0.25">
      <c r="B70" s="8"/>
      <c r="C70" s="27"/>
      <c r="D70" s="81" t="s">
        <v>53</v>
      </c>
      <c r="E70" s="83">
        <v>-353.62200000000001</v>
      </c>
      <c r="F70" s="8"/>
      <c r="G70" s="8"/>
      <c r="H70" s="8"/>
      <c r="I70" s="8"/>
      <c r="J70" s="8"/>
      <c r="K70" s="8"/>
      <c r="L70" s="8"/>
      <c r="M70" s="8"/>
      <c r="N70" s="8"/>
      <c r="O70" s="7"/>
      <c r="P70" s="8"/>
      <c r="Q70" s="37"/>
      <c r="R70" s="8"/>
      <c r="S70" s="8"/>
      <c r="T70" s="8"/>
      <c r="U70" s="8"/>
      <c r="V70" s="38"/>
      <c r="W70" s="8"/>
      <c r="X70" s="8"/>
      <c r="Y70" s="8"/>
      <c r="Z70" s="8"/>
      <c r="AA70" s="8"/>
      <c r="AB70" s="8"/>
      <c r="AC70" s="8"/>
    </row>
    <row r="71" spans="2:29" ht="18.95" customHeight="1" x14ac:dyDescent="0.25">
      <c r="B71" s="8"/>
      <c r="C71" s="27"/>
      <c r="D71" s="8"/>
      <c r="E71" s="8"/>
      <c r="F71" s="8"/>
      <c r="G71" s="8"/>
      <c r="H71" s="8"/>
      <c r="I71" s="8"/>
      <c r="J71" s="8"/>
      <c r="K71" s="8"/>
      <c r="L71" s="8"/>
      <c r="M71" s="8"/>
      <c r="N71" s="8"/>
      <c r="O71" s="7"/>
      <c r="P71" s="8"/>
      <c r="Q71" s="37"/>
      <c r="R71" s="8"/>
      <c r="S71" s="8"/>
      <c r="T71" s="8"/>
      <c r="U71" s="8"/>
      <c r="V71" s="38"/>
      <c r="W71" s="8"/>
      <c r="X71" s="8"/>
      <c r="Y71" s="8"/>
      <c r="Z71" s="8"/>
      <c r="AA71" s="8"/>
      <c r="AB71" s="8"/>
      <c r="AC71" s="8"/>
    </row>
    <row r="72" spans="2:29" ht="18.95" customHeight="1" x14ac:dyDescent="0.25">
      <c r="B72" s="8"/>
      <c r="C72" s="27"/>
      <c r="D72" s="8"/>
      <c r="E72" s="8">
        <v>2013</v>
      </c>
      <c r="F72" s="8">
        <v>2014</v>
      </c>
      <c r="G72" s="8">
        <v>2015</v>
      </c>
      <c r="H72" s="8">
        <v>2016</v>
      </c>
      <c r="I72" s="8">
        <v>2017</v>
      </c>
      <c r="J72" s="8">
        <v>2018</v>
      </c>
      <c r="K72" s="8">
        <v>2019</v>
      </c>
      <c r="L72" s="8">
        <v>2020</v>
      </c>
      <c r="M72" s="8">
        <v>2021</v>
      </c>
      <c r="N72" s="8"/>
      <c r="O72" s="7"/>
      <c r="P72" s="8"/>
      <c r="Q72" s="37"/>
      <c r="R72" s="8"/>
      <c r="S72" s="8"/>
      <c r="T72" s="8"/>
      <c r="U72" s="8"/>
      <c r="V72" s="38"/>
      <c r="W72" s="8"/>
      <c r="X72" s="8"/>
      <c r="Y72" s="8"/>
      <c r="Z72" s="8"/>
      <c r="AA72" s="8"/>
      <c r="AB72" s="8"/>
      <c r="AC72" s="8"/>
    </row>
    <row r="73" spans="2:29" ht="18.95" customHeight="1" x14ac:dyDescent="0.25">
      <c r="B73" s="8"/>
      <c r="C73" s="27"/>
      <c r="D73" s="4" t="s">
        <v>76</v>
      </c>
      <c r="E73" s="48">
        <v>1.6809934360221908</v>
      </c>
      <c r="F73" s="48">
        <v>1.5262096019066411</v>
      </c>
      <c r="G73" s="48">
        <v>1.2809118816365559</v>
      </c>
      <c r="H73" s="48">
        <v>1.1175303432122186</v>
      </c>
      <c r="I73" s="48">
        <v>1.0660224576752302</v>
      </c>
      <c r="J73" s="48">
        <v>1.0197833430982686</v>
      </c>
      <c r="K73" s="48">
        <v>0.84243596830661505</v>
      </c>
      <c r="L73" s="48">
        <v>0.177063480243046</v>
      </c>
      <c r="M73" s="48">
        <v>0.27383004186195115</v>
      </c>
      <c r="N73" s="48"/>
      <c r="O73" s="7"/>
      <c r="P73" s="8"/>
      <c r="Q73" s="37"/>
      <c r="R73" s="8"/>
      <c r="S73" s="8"/>
      <c r="T73" s="8"/>
      <c r="U73" s="8"/>
      <c r="V73" s="38"/>
      <c r="W73" s="8"/>
      <c r="X73" s="8"/>
      <c r="Y73" s="8"/>
      <c r="Z73" s="8"/>
      <c r="AA73" s="8"/>
      <c r="AB73" s="8"/>
      <c r="AC73" s="8"/>
    </row>
    <row r="74" spans="2:29" ht="18.95" customHeight="1" x14ac:dyDescent="0.25">
      <c r="B74" s="8"/>
      <c r="C74" s="27"/>
      <c r="D74" s="4" t="s">
        <v>77</v>
      </c>
      <c r="E74" s="48">
        <v>65535</v>
      </c>
      <c r="F74" s="48">
        <v>65535</v>
      </c>
      <c r="G74" s="48"/>
      <c r="H74" s="48"/>
      <c r="I74" s="48"/>
      <c r="J74" s="48"/>
      <c r="K74" s="48"/>
      <c r="L74" s="48"/>
      <c r="M74" s="48">
        <v>-7.3652099886492621</v>
      </c>
      <c r="N74" s="48"/>
      <c r="O74" s="7"/>
      <c r="P74" s="8"/>
      <c r="Q74" s="37"/>
      <c r="R74" s="8"/>
      <c r="S74" s="8"/>
      <c r="T74" s="8"/>
      <c r="U74" s="8"/>
      <c r="V74" s="38"/>
      <c r="W74" s="8"/>
      <c r="X74" s="8"/>
      <c r="Y74" s="8"/>
      <c r="Z74" s="8"/>
      <c r="AA74" s="8"/>
      <c r="AB74" s="8"/>
      <c r="AC74" s="8"/>
    </row>
    <row r="75" spans="2:29" x14ac:dyDescent="0.25">
      <c r="B75" s="8"/>
      <c r="C75" s="27"/>
      <c r="D75" s="4" t="s">
        <v>80</v>
      </c>
      <c r="E75" s="48">
        <v>65535</v>
      </c>
      <c r="F75" s="48">
        <v>65535</v>
      </c>
      <c r="G75" s="48">
        <v>65535</v>
      </c>
      <c r="H75" s="48">
        <v>65535</v>
      </c>
      <c r="I75" s="48">
        <v>65535</v>
      </c>
      <c r="J75" s="48">
        <v>65535</v>
      </c>
      <c r="K75" s="48">
        <v>65535</v>
      </c>
      <c r="L75" s="48">
        <v>65535</v>
      </c>
      <c r="M75" s="48">
        <v>65535</v>
      </c>
      <c r="N75" s="48"/>
      <c r="O75" s="7"/>
      <c r="P75" s="8"/>
      <c r="Q75" s="37"/>
      <c r="R75" s="8"/>
      <c r="S75" s="8"/>
      <c r="T75" s="8"/>
      <c r="U75" s="8"/>
      <c r="V75" s="38"/>
      <c r="W75" s="8"/>
      <c r="X75" s="8"/>
      <c r="Y75" s="8"/>
      <c r="Z75" s="8"/>
      <c r="AA75" s="8"/>
      <c r="AB75" s="8"/>
    </row>
    <row r="76" spans="2:29" x14ac:dyDescent="0.25">
      <c r="B76" s="8"/>
      <c r="C76" s="27"/>
      <c r="D76" s="8"/>
      <c r="E76" s="8"/>
      <c r="F76" s="8"/>
      <c r="G76" s="8"/>
      <c r="H76" s="8"/>
      <c r="I76" s="8"/>
      <c r="J76" s="8"/>
      <c r="K76" s="8"/>
      <c r="L76" s="8"/>
      <c r="M76" s="8"/>
      <c r="N76" s="8"/>
      <c r="O76" s="7"/>
      <c r="P76" s="8"/>
      <c r="Q76" s="37"/>
      <c r="R76" s="8"/>
      <c r="S76" s="8"/>
      <c r="T76" s="8"/>
      <c r="U76" s="8"/>
      <c r="V76" s="38"/>
      <c r="W76" s="8"/>
      <c r="X76" s="8"/>
      <c r="Y76" s="8"/>
      <c r="Z76" s="8"/>
      <c r="AA76" s="8"/>
      <c r="AB76" s="8"/>
    </row>
    <row r="77" spans="2:29" x14ac:dyDescent="0.25">
      <c r="B77" s="8"/>
      <c r="C77" s="27"/>
      <c r="D77" s="8"/>
      <c r="E77" s="8">
        <v>2013</v>
      </c>
      <c r="F77" s="8">
        <v>2014</v>
      </c>
      <c r="G77" s="8">
        <v>2015</v>
      </c>
      <c r="H77" s="8">
        <v>2016</v>
      </c>
      <c r="I77" s="8">
        <v>2017</v>
      </c>
      <c r="J77" s="8">
        <v>2018</v>
      </c>
      <c r="K77" s="8">
        <v>2019</v>
      </c>
      <c r="L77" s="8">
        <v>2020</v>
      </c>
      <c r="M77" s="8">
        <v>2021</v>
      </c>
      <c r="N77" s="8"/>
      <c r="O77" s="7"/>
      <c r="P77" s="8"/>
      <c r="Q77" s="37"/>
      <c r="R77" s="8"/>
      <c r="S77" s="8"/>
      <c r="T77" s="8"/>
      <c r="U77" s="8"/>
      <c r="V77" s="38"/>
      <c r="W77" s="8"/>
      <c r="X77" s="8"/>
      <c r="Y77" s="8"/>
      <c r="Z77" s="8"/>
      <c r="AA77" s="8"/>
      <c r="AB77" s="8"/>
    </row>
    <row r="78" spans="2:29" x14ac:dyDescent="0.25">
      <c r="B78" s="8"/>
      <c r="C78" s="27"/>
      <c r="D78" s="4" t="s">
        <v>8</v>
      </c>
      <c r="E78" s="48">
        <v>5.6021739999999998</v>
      </c>
      <c r="F78" s="48">
        <v>8.2950429999999997</v>
      </c>
      <c r="G78" s="48">
        <v>19.93</v>
      </c>
      <c r="H78" s="48">
        <v>26.187999999999999</v>
      </c>
      <c r="I78" s="48">
        <v>49.271999999999998</v>
      </c>
      <c r="J78" s="48">
        <v>84.950999999999993</v>
      </c>
      <c r="K78" s="48">
        <v>182.52</v>
      </c>
      <c r="L78" s="48">
        <v>221.67500000000001</v>
      </c>
      <c r="M78" s="48">
        <v>421.43200000000002</v>
      </c>
      <c r="N78" s="48"/>
      <c r="O78" s="7"/>
      <c r="P78" s="8"/>
      <c r="Q78" s="37"/>
      <c r="R78" s="8"/>
      <c r="S78" s="8"/>
      <c r="T78" s="8"/>
      <c r="U78" s="8"/>
      <c r="V78" s="38"/>
      <c r="W78" s="8"/>
      <c r="X78" s="8"/>
      <c r="Y78" s="8"/>
      <c r="Z78" s="8"/>
      <c r="AA78" s="8"/>
      <c r="AB78" s="8"/>
    </row>
    <row r="79" spans="2:29" x14ac:dyDescent="0.25">
      <c r="B79" s="8"/>
      <c r="C79" s="27"/>
      <c r="D79" s="4" t="s">
        <v>14</v>
      </c>
      <c r="E79" s="48">
        <v>2.629451</v>
      </c>
      <c r="F79" s="48">
        <v>4.5451079999999999</v>
      </c>
      <c r="G79" s="48">
        <v>7.2270000000000003</v>
      </c>
      <c r="H79" s="48">
        <v>8.5709999999999997</v>
      </c>
      <c r="I79" s="48">
        <v>7.6429999999999998</v>
      </c>
      <c r="J79" s="48">
        <v>6.569</v>
      </c>
      <c r="K79" s="48">
        <v>25.038</v>
      </c>
      <c r="L79" s="48">
        <v>49.969000000000001</v>
      </c>
      <c r="M79" s="48">
        <v>67.81</v>
      </c>
      <c r="N79" s="48"/>
      <c r="O79" s="7"/>
      <c r="P79" s="8"/>
      <c r="Q79" s="37"/>
      <c r="R79" s="8"/>
      <c r="S79" s="8"/>
      <c r="T79" s="8"/>
      <c r="U79" s="8"/>
      <c r="V79" s="38"/>
      <c r="W79" s="8"/>
      <c r="X79" s="8"/>
      <c r="Y79" s="8"/>
      <c r="Z79" s="8"/>
      <c r="AA79" s="8"/>
      <c r="AB79" s="8"/>
    </row>
    <row r="80" spans="2:29" x14ac:dyDescent="0.25">
      <c r="B80" s="8"/>
      <c r="C80" s="27"/>
      <c r="D80" s="8"/>
      <c r="E80" s="8"/>
      <c r="F80" s="8"/>
      <c r="G80" s="8"/>
      <c r="H80" s="8"/>
      <c r="I80" s="8"/>
      <c r="J80" s="8"/>
      <c r="K80" s="8"/>
      <c r="L80" s="8"/>
      <c r="M80" s="8"/>
      <c r="N80" s="8"/>
      <c r="O80" s="7"/>
      <c r="P80" s="8"/>
      <c r="Q80" s="37"/>
      <c r="R80" s="8"/>
      <c r="S80" s="8"/>
      <c r="T80" s="8"/>
      <c r="U80" s="8"/>
      <c r="V80" s="38"/>
      <c r="W80" s="8"/>
      <c r="X80" s="8"/>
      <c r="Y80" s="8"/>
      <c r="Z80" s="8"/>
      <c r="AA80" s="8"/>
      <c r="AB80" s="8"/>
    </row>
    <row r="81" spans="2:28" x14ac:dyDescent="0.25">
      <c r="B81" s="8"/>
      <c r="C81" s="27"/>
      <c r="D81" s="8"/>
      <c r="E81" s="8"/>
      <c r="F81" s="8"/>
      <c r="G81" s="8"/>
      <c r="H81" s="8"/>
      <c r="I81" s="8"/>
      <c r="J81" s="8"/>
      <c r="K81" s="8"/>
      <c r="L81" s="8"/>
      <c r="M81" s="8"/>
      <c r="N81" s="8"/>
      <c r="O81" s="7"/>
      <c r="P81" s="8"/>
      <c r="Q81" s="37"/>
      <c r="R81" s="8"/>
      <c r="S81" s="8"/>
      <c r="T81" s="8"/>
      <c r="U81" s="8"/>
      <c r="V81" s="38"/>
      <c r="W81" s="8"/>
      <c r="X81" s="8"/>
      <c r="Y81" s="8"/>
      <c r="Z81" s="8"/>
      <c r="AA81" s="8"/>
      <c r="AB81" s="8"/>
    </row>
    <row r="82" spans="2:28" x14ac:dyDescent="0.25">
      <c r="B82" s="8"/>
      <c r="C82" s="27"/>
      <c r="D82" s="8"/>
      <c r="E82" s="8"/>
      <c r="F82" s="8"/>
      <c r="G82" s="8"/>
      <c r="H82" s="8"/>
      <c r="I82" s="8"/>
      <c r="J82" s="8"/>
      <c r="K82" s="8"/>
      <c r="L82" s="8"/>
      <c r="M82" s="8"/>
      <c r="N82" s="8"/>
      <c r="O82" s="7"/>
      <c r="P82" s="8"/>
      <c r="Q82" s="37"/>
      <c r="R82" s="8"/>
      <c r="S82" s="8"/>
      <c r="T82" s="8"/>
      <c r="U82" s="8"/>
      <c r="V82" s="38"/>
      <c r="W82" s="8"/>
      <c r="X82" s="8"/>
      <c r="Y82" s="8"/>
      <c r="Z82" s="8"/>
      <c r="AA82" s="8"/>
      <c r="AB82" s="8"/>
    </row>
    <row r="83" spans="2:28" x14ac:dyDescent="0.25">
      <c r="B83" s="8"/>
      <c r="C83" s="27"/>
      <c r="D83" s="8"/>
      <c r="E83" s="8"/>
      <c r="F83" s="8"/>
      <c r="G83" s="8"/>
      <c r="H83" s="8"/>
      <c r="I83" s="8"/>
      <c r="J83" s="8"/>
      <c r="K83" s="8"/>
      <c r="L83" s="8"/>
      <c r="M83" s="8"/>
      <c r="N83" s="8"/>
      <c r="O83" s="7"/>
      <c r="P83" s="8"/>
      <c r="Q83" s="37"/>
      <c r="R83" s="8"/>
      <c r="S83" s="8"/>
      <c r="T83" s="8"/>
      <c r="U83" s="8"/>
      <c r="V83" s="38"/>
      <c r="W83" s="8"/>
      <c r="X83" s="8"/>
      <c r="Y83" s="8"/>
      <c r="Z83" s="8"/>
      <c r="AA83" s="8"/>
      <c r="AB83" s="8"/>
    </row>
    <row r="84" spans="2:28" x14ac:dyDescent="0.25">
      <c r="B84" s="8"/>
      <c r="C84" s="27"/>
      <c r="D84" s="8"/>
      <c r="E84" s="8"/>
      <c r="F84" s="8"/>
      <c r="G84" s="8"/>
      <c r="H84" s="8"/>
      <c r="I84" s="8"/>
      <c r="J84" s="8"/>
      <c r="K84" s="8"/>
      <c r="L84" s="8"/>
      <c r="M84" s="8"/>
      <c r="N84" s="8"/>
      <c r="O84" s="7"/>
      <c r="P84" s="8"/>
      <c r="Q84" s="37"/>
      <c r="R84" s="8"/>
      <c r="S84" s="8"/>
      <c r="T84" s="8"/>
      <c r="U84" s="8"/>
      <c r="V84" s="38"/>
      <c r="W84" s="8"/>
      <c r="X84" s="8"/>
      <c r="Y84" s="8"/>
      <c r="Z84" s="8"/>
      <c r="AA84" s="8"/>
      <c r="AB84" s="8"/>
    </row>
    <row r="85" spans="2:28" x14ac:dyDescent="0.25">
      <c r="B85" s="8"/>
      <c r="C85" s="27"/>
      <c r="D85" s="8"/>
      <c r="E85" s="8"/>
      <c r="F85" s="8"/>
      <c r="G85" s="8"/>
      <c r="H85" s="8"/>
      <c r="I85" s="8"/>
      <c r="J85" s="8"/>
      <c r="K85" s="8"/>
      <c r="L85" s="8"/>
      <c r="M85" s="8"/>
      <c r="N85" s="8"/>
      <c r="O85" s="7"/>
      <c r="P85" s="8"/>
      <c r="Q85" s="37"/>
      <c r="R85" s="8"/>
      <c r="S85" s="8"/>
      <c r="T85" s="8"/>
      <c r="U85" s="8"/>
      <c r="V85" s="38"/>
      <c r="W85" s="8"/>
      <c r="X85" s="8"/>
      <c r="Y85" s="8"/>
      <c r="Z85" s="8"/>
      <c r="AA85" s="8"/>
      <c r="AB85" s="8"/>
    </row>
    <row r="86" spans="2:28" x14ac:dyDescent="0.25">
      <c r="B86" s="8"/>
      <c r="C86" s="27"/>
      <c r="D86" s="8"/>
      <c r="E86" s="8"/>
      <c r="F86" s="8"/>
      <c r="G86" s="8"/>
      <c r="H86" s="8"/>
      <c r="I86" s="8"/>
      <c r="J86" s="8"/>
      <c r="K86" s="8"/>
      <c r="L86" s="8"/>
      <c r="M86" s="8"/>
      <c r="N86" s="8"/>
      <c r="O86" s="7"/>
      <c r="P86" s="8"/>
      <c r="Q86" s="37"/>
      <c r="R86" s="8"/>
      <c r="S86" s="8"/>
      <c r="T86" s="8"/>
      <c r="U86" s="8"/>
      <c r="V86" s="38"/>
      <c r="W86" s="8"/>
      <c r="X86" s="8"/>
      <c r="Y86" s="8"/>
      <c r="Z86" s="8"/>
      <c r="AA86" s="8"/>
      <c r="AB86" s="8"/>
    </row>
    <row r="87" spans="2:28" x14ac:dyDescent="0.25">
      <c r="B87" s="8"/>
      <c r="C87" s="27"/>
      <c r="D87" s="8"/>
      <c r="E87" s="8"/>
      <c r="F87" s="8"/>
      <c r="G87" s="8"/>
      <c r="H87" s="8"/>
      <c r="I87" s="8"/>
      <c r="J87" s="8"/>
      <c r="K87" s="8"/>
      <c r="L87" s="8"/>
      <c r="M87" s="8"/>
      <c r="N87" s="8"/>
      <c r="O87" s="7"/>
      <c r="P87" s="8"/>
      <c r="Q87" s="37"/>
      <c r="R87" s="8"/>
      <c r="S87" s="8"/>
      <c r="T87" s="8"/>
      <c r="U87" s="8"/>
      <c r="V87" s="38"/>
      <c r="W87" s="8"/>
      <c r="X87" s="8"/>
      <c r="Y87" s="8"/>
      <c r="Z87" s="8"/>
      <c r="AA87" s="8"/>
      <c r="AB87" s="8"/>
    </row>
    <row r="88" spans="2:28" x14ac:dyDescent="0.25">
      <c r="B88" s="8"/>
      <c r="C88" s="27"/>
      <c r="D88" s="8"/>
      <c r="E88" s="8"/>
      <c r="F88" s="8"/>
      <c r="G88" s="8"/>
      <c r="H88" s="8"/>
      <c r="I88" s="8"/>
      <c r="J88" s="8"/>
      <c r="K88" s="8"/>
      <c r="L88" s="8"/>
      <c r="M88" s="8"/>
      <c r="N88" s="8"/>
      <c r="O88" s="7"/>
      <c r="P88" s="8"/>
      <c r="Q88" s="37"/>
      <c r="R88" s="8"/>
      <c r="S88" s="8"/>
      <c r="T88" s="8"/>
      <c r="U88" s="8"/>
      <c r="V88" s="38"/>
      <c r="W88" s="8"/>
      <c r="X88" s="8"/>
      <c r="Y88" s="8"/>
      <c r="Z88" s="8"/>
      <c r="AA88" s="8"/>
      <c r="AB88" s="8"/>
    </row>
    <row r="89" spans="2:28" x14ac:dyDescent="0.25">
      <c r="B89" s="8"/>
      <c r="C89" s="27"/>
      <c r="D89" s="8"/>
      <c r="E89" s="8"/>
      <c r="F89" s="8"/>
      <c r="G89" s="8"/>
      <c r="H89" s="8"/>
      <c r="I89" s="8"/>
      <c r="J89" s="8"/>
      <c r="K89" s="8"/>
      <c r="L89" s="8"/>
      <c r="M89" s="8"/>
      <c r="N89" s="8"/>
      <c r="O89" s="7"/>
      <c r="P89" s="8"/>
      <c r="Q89" s="37"/>
      <c r="R89" s="8"/>
      <c r="S89" s="8"/>
      <c r="T89" s="8"/>
      <c r="U89" s="8"/>
      <c r="V89" s="38"/>
      <c r="W89" s="8"/>
      <c r="X89" s="8"/>
      <c r="Y89" s="8"/>
      <c r="Z89" s="8"/>
      <c r="AA89" s="8"/>
      <c r="AB89" s="8"/>
    </row>
    <row r="90" spans="2:28" x14ac:dyDescent="0.25">
      <c r="B90" s="8"/>
      <c r="C90" s="27"/>
      <c r="D90" s="8"/>
      <c r="E90" s="8"/>
      <c r="F90" s="8"/>
      <c r="G90" s="8"/>
      <c r="H90" s="8"/>
      <c r="I90" s="8"/>
      <c r="J90" s="8"/>
      <c r="K90" s="8"/>
      <c r="L90" s="8"/>
      <c r="M90" s="8"/>
      <c r="N90" s="8"/>
      <c r="O90" s="7"/>
      <c r="P90" s="8"/>
      <c r="Q90" s="37"/>
      <c r="R90" s="8"/>
      <c r="S90" s="8"/>
      <c r="T90" s="8"/>
      <c r="U90" s="8"/>
      <c r="V90" s="38"/>
      <c r="W90" s="8"/>
      <c r="X90" s="8"/>
      <c r="Y90" s="8"/>
      <c r="Z90" s="8"/>
      <c r="AA90" s="8"/>
      <c r="AB90" s="8"/>
    </row>
    <row r="91" spans="2:28" x14ac:dyDescent="0.25">
      <c r="B91" s="8"/>
      <c r="C91" s="27"/>
      <c r="D91" s="8"/>
      <c r="E91" s="8"/>
      <c r="F91" s="8"/>
      <c r="G91" s="8"/>
      <c r="H91" s="8"/>
      <c r="I91" s="8"/>
      <c r="J91" s="8"/>
      <c r="K91" s="8"/>
      <c r="L91" s="8"/>
      <c r="M91" s="8"/>
      <c r="N91" s="8"/>
      <c r="O91" s="7"/>
      <c r="P91" s="8"/>
      <c r="Q91" s="37"/>
      <c r="R91" s="8"/>
      <c r="S91" s="8"/>
      <c r="T91" s="8"/>
      <c r="U91" s="8"/>
      <c r="V91" s="38"/>
      <c r="W91" s="8"/>
      <c r="X91" s="8"/>
      <c r="Y91" s="8"/>
      <c r="Z91" s="8"/>
      <c r="AA91" s="8"/>
      <c r="AB91" s="8"/>
    </row>
    <row r="92" spans="2:28" x14ac:dyDescent="0.25">
      <c r="B92" s="8"/>
      <c r="C92" s="27"/>
      <c r="D92" s="8"/>
      <c r="E92" s="8"/>
      <c r="F92" s="8"/>
      <c r="G92" s="8"/>
      <c r="H92" s="8"/>
      <c r="I92" s="8"/>
      <c r="J92" s="8"/>
      <c r="K92" s="8"/>
      <c r="L92" s="8"/>
      <c r="M92" s="8"/>
      <c r="N92" s="8"/>
      <c r="O92" s="7"/>
      <c r="P92" s="8"/>
      <c r="Q92" s="37"/>
      <c r="R92" s="8"/>
      <c r="S92" s="8"/>
      <c r="T92" s="8"/>
      <c r="U92" s="8"/>
      <c r="V92" s="38"/>
      <c r="W92" s="8"/>
      <c r="X92" s="8"/>
      <c r="Y92" s="8"/>
      <c r="Z92" s="8"/>
      <c r="AA92" s="8"/>
      <c r="AB92" s="8"/>
    </row>
    <row r="93" spans="2:28" x14ac:dyDescent="0.25">
      <c r="B93" s="8"/>
      <c r="C93" s="27"/>
      <c r="D93" s="8"/>
      <c r="E93" s="8"/>
      <c r="F93" s="8"/>
      <c r="G93" s="8"/>
      <c r="H93" s="8"/>
      <c r="I93" s="8"/>
      <c r="J93" s="8"/>
      <c r="K93" s="8"/>
      <c r="L93" s="8"/>
      <c r="M93" s="8"/>
      <c r="N93" s="8"/>
      <c r="O93" s="7"/>
      <c r="P93" s="8"/>
      <c r="Q93" s="37"/>
      <c r="R93" s="8"/>
      <c r="S93" s="8"/>
      <c r="T93" s="8"/>
      <c r="U93" s="8"/>
      <c r="V93" s="38"/>
      <c r="W93" s="8"/>
      <c r="X93" s="8"/>
      <c r="Y93" s="8"/>
      <c r="Z93" s="8"/>
      <c r="AA93" s="8"/>
      <c r="AB93" s="8"/>
    </row>
    <row r="94" spans="2:28" x14ac:dyDescent="0.25">
      <c r="B94" s="8"/>
      <c r="C94" s="27"/>
      <c r="D94" s="8"/>
      <c r="E94" s="8"/>
      <c r="F94" s="8"/>
      <c r="G94" s="8"/>
      <c r="H94" s="8"/>
      <c r="I94" s="8"/>
      <c r="J94" s="8"/>
      <c r="K94" s="8"/>
      <c r="L94" s="8"/>
      <c r="M94" s="8"/>
      <c r="N94" s="8"/>
      <c r="O94" s="7"/>
      <c r="P94" s="8"/>
      <c r="Q94" s="37"/>
      <c r="R94" s="8"/>
      <c r="S94" s="8"/>
      <c r="T94" s="8"/>
      <c r="U94" s="8"/>
      <c r="V94" s="38"/>
      <c r="W94" s="8"/>
      <c r="X94" s="8"/>
      <c r="Y94" s="8"/>
      <c r="Z94" s="8"/>
      <c r="AA94" s="8"/>
      <c r="AB94" s="8"/>
    </row>
    <row r="95" spans="2:28" x14ac:dyDescent="0.25">
      <c r="B95" s="8"/>
      <c r="C95" s="27"/>
      <c r="D95" s="8"/>
      <c r="E95" s="8"/>
      <c r="F95" s="8"/>
      <c r="G95" s="8"/>
      <c r="H95" s="8"/>
      <c r="I95" s="8"/>
      <c r="J95" s="8"/>
      <c r="K95" s="8"/>
      <c r="L95" s="8"/>
      <c r="M95" s="8"/>
      <c r="N95" s="8"/>
      <c r="O95" s="7"/>
      <c r="P95" s="8"/>
      <c r="Q95" s="37"/>
      <c r="R95" s="8"/>
      <c r="S95" s="8"/>
      <c r="T95" s="8"/>
      <c r="U95" s="8"/>
      <c r="V95" s="38"/>
      <c r="W95" s="8"/>
      <c r="X95" s="8"/>
      <c r="Y95" s="8"/>
      <c r="Z95" s="8"/>
      <c r="AA95" s="8"/>
      <c r="AB95" s="8"/>
    </row>
    <row r="96" spans="2:28" x14ac:dyDescent="0.25">
      <c r="B96" s="8"/>
      <c r="C96" s="27"/>
      <c r="D96" s="8"/>
      <c r="E96" s="8"/>
      <c r="F96" s="8"/>
      <c r="G96" s="8"/>
      <c r="H96" s="8"/>
      <c r="I96" s="8"/>
      <c r="J96" s="8"/>
      <c r="K96" s="8"/>
      <c r="L96" s="8"/>
      <c r="M96" s="8"/>
      <c r="N96" s="8"/>
      <c r="O96" s="7"/>
      <c r="P96" s="8"/>
      <c r="Q96" s="37"/>
      <c r="R96" s="8"/>
      <c r="S96" s="8"/>
      <c r="T96" s="8"/>
      <c r="U96" s="8"/>
      <c r="V96" s="38"/>
      <c r="W96" s="8"/>
      <c r="X96" s="8"/>
      <c r="Y96" s="8"/>
      <c r="Z96" s="8"/>
      <c r="AA96" s="8"/>
      <c r="AB96" s="8"/>
    </row>
    <row r="97" spans="2:28" x14ac:dyDescent="0.25">
      <c r="B97" s="8"/>
      <c r="C97" s="27"/>
      <c r="D97" s="8"/>
      <c r="E97" s="8"/>
      <c r="F97" s="8"/>
      <c r="G97" s="8"/>
      <c r="H97" s="8"/>
      <c r="I97" s="8"/>
      <c r="J97" s="8"/>
      <c r="K97" s="8"/>
      <c r="L97" s="8"/>
      <c r="M97" s="8"/>
      <c r="N97" s="8"/>
      <c r="O97" s="7"/>
      <c r="P97" s="8"/>
      <c r="Q97" s="37"/>
      <c r="R97" s="8"/>
      <c r="S97" s="8"/>
      <c r="T97" s="8"/>
      <c r="U97" s="8"/>
      <c r="V97" s="38"/>
      <c r="W97" s="8"/>
      <c r="X97" s="8"/>
      <c r="Y97" s="8"/>
      <c r="Z97" s="8"/>
      <c r="AA97" s="8"/>
      <c r="AB97" s="8"/>
    </row>
    <row r="98" spans="2:28" x14ac:dyDescent="0.25">
      <c r="B98" s="8"/>
      <c r="C98" s="27"/>
      <c r="D98" s="8"/>
      <c r="E98" s="8"/>
      <c r="F98" s="8"/>
      <c r="G98" s="8"/>
      <c r="H98" s="8"/>
      <c r="I98" s="8"/>
      <c r="J98" s="8"/>
      <c r="K98" s="8"/>
      <c r="L98" s="8"/>
      <c r="M98" s="8"/>
      <c r="N98" s="8"/>
      <c r="O98" s="7"/>
      <c r="P98" s="8"/>
      <c r="Q98" s="37"/>
      <c r="R98" s="8"/>
      <c r="S98" s="8"/>
      <c r="T98" s="8"/>
      <c r="U98" s="8"/>
      <c r="V98" s="38"/>
      <c r="W98" s="8"/>
      <c r="X98" s="8"/>
      <c r="Y98" s="8"/>
      <c r="Z98" s="8"/>
      <c r="AA98" s="8"/>
      <c r="AB98" s="8"/>
    </row>
    <row r="99" spans="2:28" x14ac:dyDescent="0.25">
      <c r="B99" s="8"/>
      <c r="C99" s="27"/>
      <c r="D99" s="8"/>
      <c r="E99" s="8"/>
      <c r="F99" s="8"/>
      <c r="G99" s="8"/>
      <c r="H99" s="8"/>
      <c r="I99" s="8"/>
      <c r="J99" s="8"/>
      <c r="K99" s="8"/>
      <c r="L99" s="8"/>
      <c r="M99" s="8"/>
      <c r="N99" s="8"/>
      <c r="O99" s="7"/>
      <c r="P99" s="8"/>
      <c r="Q99" s="37"/>
      <c r="R99" s="8"/>
      <c r="S99" s="8"/>
      <c r="T99" s="8"/>
      <c r="U99" s="8"/>
      <c r="V99" s="38"/>
      <c r="W99" s="8"/>
      <c r="X99" s="8"/>
      <c r="Y99" s="8"/>
    </row>
    <row r="100" spans="2:28" x14ac:dyDescent="0.25">
      <c r="B100" s="8"/>
      <c r="C100" s="27"/>
      <c r="D100" s="8"/>
      <c r="E100" s="8"/>
      <c r="F100" s="8"/>
      <c r="G100" s="8"/>
      <c r="H100" s="8"/>
      <c r="I100" s="8"/>
      <c r="J100" s="8"/>
      <c r="K100" s="8"/>
      <c r="L100" s="8"/>
      <c r="M100" s="8"/>
      <c r="N100" s="8"/>
      <c r="O100" s="7"/>
      <c r="P100" s="8"/>
      <c r="Q100" s="37"/>
      <c r="R100" s="8"/>
      <c r="S100" s="8"/>
      <c r="T100" s="8"/>
      <c r="U100" s="8"/>
      <c r="V100" s="38"/>
      <c r="W100" s="8"/>
      <c r="X100" s="8"/>
      <c r="Y100" s="8"/>
    </row>
    <row r="101" spans="2:28" x14ac:dyDescent="0.25">
      <c r="B101" s="8"/>
      <c r="C101" s="27"/>
      <c r="D101" s="8"/>
      <c r="E101" s="8"/>
      <c r="F101" s="8"/>
      <c r="G101" s="8"/>
      <c r="H101" s="8"/>
      <c r="I101" s="8"/>
      <c r="J101" s="8"/>
      <c r="K101" s="8"/>
      <c r="L101" s="8"/>
      <c r="M101" s="8"/>
      <c r="N101" s="8"/>
      <c r="O101" s="7"/>
      <c r="P101" s="8"/>
      <c r="Q101" s="37"/>
      <c r="R101" s="8"/>
      <c r="S101" s="8"/>
      <c r="T101" s="8"/>
      <c r="U101" s="8"/>
      <c r="V101" s="38"/>
      <c r="W101" s="8"/>
      <c r="X101" s="8"/>
      <c r="Y101" s="8"/>
    </row>
    <row r="102" spans="2:28" x14ac:dyDescent="0.25">
      <c r="B102" s="8"/>
      <c r="C102" s="27"/>
      <c r="D102" s="8"/>
      <c r="E102" s="8"/>
      <c r="F102" s="8"/>
      <c r="G102" s="8"/>
      <c r="H102" s="8"/>
      <c r="I102" s="8"/>
      <c r="J102" s="8"/>
      <c r="K102" s="8"/>
      <c r="L102" s="8"/>
      <c r="M102" s="8"/>
      <c r="N102" s="8"/>
      <c r="O102" s="7"/>
      <c r="P102" s="8"/>
      <c r="Q102" s="37"/>
      <c r="R102" s="8"/>
      <c r="S102" s="8"/>
      <c r="T102" s="8"/>
      <c r="U102" s="8"/>
      <c r="V102" s="38"/>
      <c r="W102" s="8"/>
      <c r="X102" s="8"/>
      <c r="Y102" s="8"/>
    </row>
    <row r="103" spans="2:28" x14ac:dyDescent="0.25">
      <c r="B103" s="8"/>
      <c r="C103" s="27"/>
      <c r="D103" s="8"/>
      <c r="E103" s="8"/>
      <c r="F103" s="8"/>
      <c r="G103" s="8"/>
      <c r="H103" s="8"/>
      <c r="I103" s="8"/>
      <c r="J103" s="8"/>
      <c r="K103" s="8"/>
      <c r="L103" s="8"/>
      <c r="M103" s="8"/>
      <c r="N103" s="8"/>
      <c r="O103" s="7"/>
      <c r="P103" s="8"/>
      <c r="Q103" s="37"/>
      <c r="R103" s="8"/>
      <c r="S103" s="8"/>
      <c r="T103" s="8"/>
      <c r="U103" s="8"/>
      <c r="V103" s="38"/>
      <c r="W103" s="8"/>
      <c r="X103" s="8"/>
      <c r="Y103" s="8"/>
    </row>
    <row r="104" spans="2:28" x14ac:dyDescent="0.25">
      <c r="B104" s="8"/>
      <c r="C104" s="27"/>
      <c r="D104" s="8"/>
      <c r="E104" s="8"/>
      <c r="F104" s="8"/>
      <c r="G104" s="8"/>
      <c r="H104" s="8"/>
      <c r="I104" s="8"/>
      <c r="J104" s="8"/>
      <c r="K104" s="8"/>
      <c r="L104" s="8"/>
      <c r="M104" s="8"/>
      <c r="N104" s="8"/>
      <c r="O104" s="7"/>
      <c r="P104" s="8"/>
      <c r="Q104" s="37"/>
      <c r="R104" s="8"/>
      <c r="S104" s="8"/>
      <c r="T104" s="8"/>
      <c r="U104" s="8"/>
      <c r="V104" s="38"/>
      <c r="W104" s="8"/>
      <c r="X104" s="8"/>
      <c r="Y104" s="8"/>
    </row>
    <row r="105" spans="2:28" x14ac:dyDescent="0.25">
      <c r="B105" s="8"/>
      <c r="C105" s="27"/>
      <c r="D105" s="8"/>
      <c r="E105" s="8"/>
      <c r="F105" s="8"/>
      <c r="G105" s="8"/>
      <c r="H105" s="8"/>
      <c r="I105" s="8"/>
      <c r="J105" s="8"/>
      <c r="K105" s="8"/>
      <c r="L105" s="8"/>
      <c r="M105" s="8"/>
      <c r="N105" s="8"/>
      <c r="O105" s="7"/>
      <c r="P105" s="8"/>
      <c r="Q105" s="37"/>
      <c r="R105" s="8"/>
      <c r="S105" s="8"/>
      <c r="T105" s="8"/>
      <c r="U105" s="8"/>
      <c r="V105" s="38"/>
      <c r="W105" s="8"/>
      <c r="X105" s="8"/>
      <c r="Y105" s="8"/>
    </row>
    <row r="106" spans="2:28" x14ac:dyDescent="0.25">
      <c r="B106" s="8"/>
      <c r="C106" s="27"/>
      <c r="D106" s="8"/>
      <c r="E106" s="8"/>
      <c r="F106" s="8"/>
      <c r="G106" s="8"/>
      <c r="H106" s="8"/>
      <c r="I106" s="8"/>
      <c r="J106" s="8"/>
      <c r="K106" s="8"/>
      <c r="L106" s="8"/>
      <c r="M106" s="8"/>
      <c r="N106" s="8"/>
      <c r="O106" s="7"/>
      <c r="P106" s="8"/>
      <c r="Q106" s="37"/>
      <c r="R106" s="8"/>
      <c r="S106" s="8"/>
      <c r="T106" s="8"/>
      <c r="U106" s="8"/>
      <c r="V106" s="38"/>
      <c r="W106" s="8"/>
      <c r="X106" s="8"/>
      <c r="Y106" s="8"/>
    </row>
    <row r="107" spans="2:28" x14ac:dyDescent="0.25">
      <c r="B107" s="8"/>
      <c r="C107" s="28"/>
      <c r="D107" s="30"/>
      <c r="E107" s="30"/>
      <c r="F107" s="30"/>
      <c r="G107" s="30"/>
      <c r="H107" s="30"/>
      <c r="I107" s="30"/>
      <c r="J107" s="30"/>
      <c r="K107" s="30"/>
      <c r="L107" s="30"/>
      <c r="M107" s="30"/>
      <c r="N107" s="30"/>
      <c r="O107" s="29"/>
      <c r="P107" s="8"/>
      <c r="Q107" s="39"/>
      <c r="R107" s="40"/>
      <c r="S107" s="40"/>
      <c r="T107" s="40"/>
      <c r="U107" s="40"/>
      <c r="V107" s="41"/>
      <c r="W107" s="8"/>
      <c r="X107" s="8"/>
      <c r="Y107" s="8"/>
    </row>
    <row r="108" spans="2:28" x14ac:dyDescent="0.25">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2:28" x14ac:dyDescent="0.25">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2:28" x14ac:dyDescent="0.25">
      <c r="B110" s="8"/>
      <c r="C110" s="8"/>
      <c r="D110" s="8"/>
      <c r="E110" s="8"/>
      <c r="F110" s="8"/>
      <c r="G110" s="8"/>
      <c r="H110" s="8"/>
      <c r="I110" s="8"/>
      <c r="J110" s="8"/>
      <c r="K110" s="8"/>
      <c r="L110" s="8"/>
      <c r="M110" s="8"/>
      <c r="N110" s="8"/>
      <c r="O110" s="8"/>
      <c r="P110" s="8"/>
      <c r="Q110" s="8"/>
      <c r="R110" s="8"/>
      <c r="S110" s="8"/>
      <c r="T110" s="8"/>
      <c r="U110" s="8"/>
      <c r="V110" s="8"/>
      <c r="W110" s="8"/>
      <c r="X110" s="8"/>
      <c r="Y110" s="8"/>
    </row>
  </sheetData>
  <mergeCells count="31">
    <mergeCell ref="G60:H60"/>
    <mergeCell ref="G61:H62"/>
    <mergeCell ref="I60:J60"/>
    <mergeCell ref="I61:J62"/>
    <mergeCell ref="L2:O2"/>
    <mergeCell ref="L13:M14"/>
    <mergeCell ref="J5:M5"/>
    <mergeCell ref="K60:L60"/>
    <mergeCell ref="K61:L62"/>
    <mergeCell ref="U7:U8"/>
    <mergeCell ref="R10:S10"/>
    <mergeCell ref="R11:S11"/>
    <mergeCell ref="R12:S12"/>
    <mergeCell ref="L9:M9"/>
    <mergeCell ref="L12:M12"/>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s>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X55</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Financials!E55:N55</xm:f>
              <xm:sqref>X54</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Financials!E52:N52</xm:f>
              <xm:sqref>X52</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Financials!E51:N51</xm:f>
              <xm:sqref>X51</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Financials!E50:N50</xm:f>
              <xm:sqref>X50</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Financials!E47:N47</xm:f>
              <xm:sqref>X47</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Financials!E38:N38</xm:f>
              <xm:sqref>X38</xm:sqref>
            </x14:sparkline>
            <x14:sparkline>
              <xm:f>Financials!E40:N40</xm:f>
              <xm:sqref>X40</xm:sqref>
            </x14:sparkline>
            <x14:sparkline>
              <xm:f>Financials!E42:N42</xm:f>
              <xm:sqref>X42</xm:sqref>
            </x14:sparkline>
            <x14:sparkline>
              <xm:f>Financials!E44:N44</xm:f>
              <xm:sqref>X44</xm:sqref>
            </x14:sparkline>
            <x14:sparkline>
              <xm:f>Financials!E46:N46</xm:f>
              <xm:sqref>X46</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Financials!E37:N37</xm:f>
              <xm:sqref>X37</xm:sqref>
            </x14:sparkline>
            <x14:sparkline>
              <xm:f>Financials!E39:N39</xm:f>
              <xm:sqref>X39</xm:sqref>
            </x14:sparkline>
            <x14:sparkline>
              <xm:f>Financials!E41:N41</xm:f>
              <xm:sqref>X41</xm:sqref>
            </x14:sparkline>
            <x14:sparkline>
              <xm:f>Financials!E43:N43</xm:f>
              <xm:sqref>X43</xm:sqref>
            </x14:sparkline>
            <x14:sparkline>
              <xm:f>Financials!E45:N45</xm:f>
              <xm:sqref>X45</xm:sqref>
            </x14:sparkline>
          </x14:sparklines>
        </x14:sparklineGroup>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Financials!E26:N26</xm:f>
              <xm:sqref>X26</xm:sqref>
            </x14:sparkline>
            <x14:sparkline>
              <xm:f>Financials!E27:N27</xm:f>
              <xm:sqref>X27</xm:sqref>
            </x14:sparkline>
            <x14:sparkline>
              <xm:f>Financials!E28:N28</xm:f>
              <xm:sqref>X28</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s>
        </x14:sparklineGroup>
        <x14:sparklineGroup type="column" displayEmptyCellsAs="gap" negative="1" xr2:uid="{8867D16F-86C9-4C32-93AC-D1DD61E3F2A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Financials!E34:N34</xm:f>
              <xm:sqref>X34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T34"/>
  <sheetViews>
    <sheetView workbookViewId="0">
      <selection activeCell="A18" sqref="A18:XFD18"/>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1.85546875" bestFit="1" customWidth="1"/>
    <col min="8" max="8" width="16" bestFit="1" customWidth="1"/>
    <col min="9" max="9" width="14" bestFit="1" customWidth="1"/>
    <col min="10" max="10" width="11.85546875" bestFit="1" customWidth="1"/>
    <col min="11" max="11" width="10.85546875" bestFit="1" customWidth="1"/>
    <col min="12" max="12" width="14.28515625" bestFit="1" customWidth="1"/>
    <col min="13" max="13" width="13.5703125" bestFit="1" customWidth="1"/>
    <col min="14" max="14" width="11.5703125" bestFit="1" customWidth="1"/>
    <col min="15" max="15" width="10.5703125" bestFit="1" customWidth="1"/>
    <col min="16" max="16" width="11" bestFit="1" customWidth="1"/>
    <col min="17" max="17" width="10.140625" bestFit="1" customWidth="1"/>
    <col min="18" max="18" width="11.85546875" bestFit="1" customWidth="1"/>
    <col min="19" max="19" width="16.28515625" bestFit="1" customWidth="1"/>
    <col min="20" max="20" width="18.85546875" bestFit="1" customWidth="1"/>
  </cols>
  <sheetData>
    <row r="1" spans="1:20" s="114" customFormat="1" ht="17.100000000000001" customHeight="1" x14ac:dyDescent="0.25">
      <c r="A1" s="142" t="s">
        <v>106</v>
      </c>
      <c r="B1" s="143" t="s">
        <v>107</v>
      </c>
      <c r="C1" s="144" t="s">
        <v>108</v>
      </c>
      <c r="D1" s="144" t="s">
        <v>129</v>
      </c>
      <c r="E1" s="144" t="s">
        <v>109</v>
      </c>
      <c r="F1" s="144" t="s">
        <v>110</v>
      </c>
      <c r="G1" s="144" t="s">
        <v>130</v>
      </c>
      <c r="H1" s="145" t="s">
        <v>111</v>
      </c>
      <c r="I1" s="145" t="s">
        <v>61</v>
      </c>
      <c r="J1" s="145" t="s">
        <v>123</v>
      </c>
      <c r="K1" s="145" t="s">
        <v>112</v>
      </c>
      <c r="L1" s="145" t="s">
        <v>121</v>
      </c>
      <c r="M1" s="145" t="s">
        <v>122</v>
      </c>
      <c r="N1" s="145" t="s">
        <v>126</v>
      </c>
      <c r="O1" s="145" t="s">
        <v>124</v>
      </c>
      <c r="P1" s="145" t="s">
        <v>125</v>
      </c>
      <c r="Q1" s="145" t="s">
        <v>117</v>
      </c>
      <c r="R1" s="145" t="s">
        <v>113</v>
      </c>
      <c r="S1" s="145" t="s">
        <v>114</v>
      </c>
      <c r="T1" s="144" t="s">
        <v>115</v>
      </c>
    </row>
    <row r="2" spans="1:20" ht="17.100000000000001" customHeight="1" x14ac:dyDescent="0.25">
      <c r="A2" s="205" t="str" cm="1">
        <f t="array" ref="A2">_FV(B2,"Ticker symbol",TRUE)</f>
        <v>GOOGL</v>
      </c>
      <c r="B2" s="206" t="e" vm="10">
        <v>#VALUE!</v>
      </c>
      <c r="C2" s="207" t="str" cm="1">
        <f t="array" ref="C2">_FV(B2,"Industry")</f>
        <v>Software &amp; IT Services</v>
      </c>
      <c r="D2" s="208"/>
      <c r="E2" s="209" cm="1">
        <f t="array" ref="E2">_FV(B2,"Price")</f>
        <v>92.12</v>
      </c>
      <c r="F2" s="210">
        <v>5808</v>
      </c>
      <c r="G2" s="202">
        <f>(F2/E2)^(1/5) -1</f>
        <v>1.2905223598917339</v>
      </c>
      <c r="H2" s="198">
        <f>F2/E2</f>
        <v>63.048198002605297</v>
      </c>
      <c r="I2" s="136"/>
      <c r="J2" s="123" t="s">
        <v>96</v>
      </c>
      <c r="K2" s="123" t="s">
        <v>98</v>
      </c>
      <c r="L2" s="123"/>
      <c r="M2" s="128">
        <v>0.29499999999999998</v>
      </c>
      <c r="N2" s="128">
        <v>0.41149999999999998</v>
      </c>
      <c r="O2" s="128"/>
      <c r="P2" s="128">
        <v>0.8881</v>
      </c>
      <c r="Q2" s="128">
        <v>0.25900000000000001</v>
      </c>
      <c r="R2" s="123" t="s">
        <v>97</v>
      </c>
      <c r="S2" s="123" t="s">
        <v>94</v>
      </c>
      <c r="T2" s="146">
        <v>44633</v>
      </c>
    </row>
    <row r="3" spans="1:20" ht="17.100000000000001" customHeight="1" x14ac:dyDescent="0.25">
      <c r="A3" s="211" t="str" cm="1">
        <f t="array" ref="A3">_FV(B3,"Ticker symbol",TRUE)</f>
        <v>MSTR</v>
      </c>
      <c r="B3" s="115" t="e" vm="11">
        <v>#VALUE!</v>
      </c>
      <c r="C3" s="116" t="str" cm="1">
        <f t="array" ref="C3">_FV(B3,"Industry")</f>
        <v>Software &amp; IT Services</v>
      </c>
      <c r="D3" s="195"/>
      <c r="E3" s="117" cm="1">
        <f t="array" ref="E3">_FV(B3,"Price")</f>
        <v>216.97</v>
      </c>
      <c r="F3" s="212">
        <v>8499</v>
      </c>
      <c r="G3" s="203">
        <f>(F3/E3)^(1/5) -1</f>
        <v>1.0825413247357707</v>
      </c>
      <c r="H3" s="199">
        <f>F3/E3</f>
        <v>39.171314006544684</v>
      </c>
      <c r="I3" s="139"/>
      <c r="J3" s="121" t="s">
        <v>93</v>
      </c>
      <c r="K3" s="122"/>
      <c r="L3" s="122"/>
      <c r="M3" s="122"/>
      <c r="N3" s="122"/>
      <c r="O3" s="122"/>
      <c r="P3" s="122"/>
      <c r="Q3" s="122"/>
      <c r="R3" s="122"/>
      <c r="S3" s="123" t="s">
        <v>94</v>
      </c>
      <c r="T3" s="147">
        <v>44561</v>
      </c>
    </row>
    <row r="4" spans="1:20" ht="17.100000000000001" customHeight="1" x14ac:dyDescent="0.25">
      <c r="A4" s="211" t="str" cm="1">
        <f t="array" ref="A4">_FV(B4,"Ticker symbol",TRUE)</f>
        <v>TUEM</v>
      </c>
      <c r="B4" s="115" t="e" vm="12">
        <v>#VALUE!</v>
      </c>
      <c r="C4" s="116" t="str" cm="1">
        <f t="array" ref="C4">_FV(B4,"Industry")</f>
        <v>Diversified Retail</v>
      </c>
      <c r="D4" s="195"/>
      <c r="E4" s="117" cm="1">
        <f t="array" ref="E4">_FV(B4,"Price")</f>
        <v>0.46</v>
      </c>
      <c r="F4" s="137">
        <v>7.9</v>
      </c>
      <c r="G4" s="203">
        <f>(F4/E4)^(1/5) -1</f>
        <v>0.76593149397266269</v>
      </c>
      <c r="H4" s="198">
        <f>F4/E4</f>
        <v>17.173913043478262</v>
      </c>
      <c r="I4" s="196"/>
      <c r="J4" s="121" t="s">
        <v>93</v>
      </c>
      <c r="K4" s="121" t="s">
        <v>99</v>
      </c>
      <c r="L4" s="124"/>
      <c r="M4" s="125">
        <v>4.0000000000000001E-3</v>
      </c>
      <c r="N4" s="125">
        <v>-0.2104</v>
      </c>
      <c r="O4" s="125"/>
      <c r="P4" s="125">
        <v>-1.0179</v>
      </c>
      <c r="Q4" s="125">
        <v>3.7999999999999999E-2</v>
      </c>
      <c r="R4" s="121" t="s">
        <v>116</v>
      </c>
      <c r="S4" s="123" t="s">
        <v>94</v>
      </c>
      <c r="T4" s="147">
        <v>44868</v>
      </c>
    </row>
    <row r="5" spans="1:20" ht="17.100000000000001" customHeight="1" x14ac:dyDescent="0.25">
      <c r="A5" s="211" t="str" cm="1">
        <f t="array" ref="A5">_FV(B5,"Ticker symbol",TRUE)</f>
        <v>NTDOY</v>
      </c>
      <c r="B5" s="115" t="e" vm="13">
        <v>#VALUE!</v>
      </c>
      <c r="C5" s="116" t="str" cm="1">
        <f t="array" ref="C5">_FV(B5,"Industry")</f>
        <v>Leisure Products</v>
      </c>
      <c r="D5" s="195"/>
      <c r="E5" s="117" cm="1">
        <f t="array" ref="E5">_FV(B5,"Price")</f>
        <v>10.45</v>
      </c>
      <c r="F5" s="137">
        <v>89</v>
      </c>
      <c r="G5" s="203">
        <f>(F5/E5)^(1/5) -1</f>
        <v>0.53481043494668001</v>
      </c>
      <c r="H5" s="198">
        <f>F5/E5</f>
        <v>8.5167464114832541</v>
      </c>
      <c r="I5" s="136"/>
      <c r="J5" s="123" t="s">
        <v>96</v>
      </c>
      <c r="K5" s="123" t="s">
        <v>98</v>
      </c>
      <c r="L5" s="123"/>
      <c r="M5" s="128">
        <v>0.28000000000000003</v>
      </c>
      <c r="N5" s="127">
        <v>0.1</v>
      </c>
      <c r="O5" s="127"/>
      <c r="P5" s="128">
        <v>0.2</v>
      </c>
      <c r="Q5" s="128">
        <v>0.25</v>
      </c>
      <c r="R5" s="123" t="s">
        <v>97</v>
      </c>
      <c r="S5" s="129" t="s">
        <v>103</v>
      </c>
      <c r="T5" s="147">
        <v>44622</v>
      </c>
    </row>
    <row r="6" spans="1:20" ht="17.100000000000001" customHeight="1" x14ac:dyDescent="0.25">
      <c r="A6" s="211" t="str" cm="1">
        <f t="array" ref="A6">_FV(B6,"Ticker symbol",TRUE)</f>
        <v>GBUS</v>
      </c>
      <c r="B6" s="115" t="e" vm="14">
        <v>#VALUE!</v>
      </c>
      <c r="C6" s="116" t="str" cm="1">
        <f t="array" ref="C6">_FV(B6,"Industry")</f>
        <v>Homebuilding &amp; Construction Supplies</v>
      </c>
      <c r="D6" s="195"/>
      <c r="E6" s="118" cm="1">
        <f t="array" ref="E6">_FV(B6,"Price")</f>
        <v>16.7</v>
      </c>
      <c r="F6" s="137">
        <v>87</v>
      </c>
      <c r="G6" s="203">
        <f>(F6/E6)^(1/5) -1</f>
        <v>0.39110706508513227</v>
      </c>
      <c r="H6" s="198">
        <f>F6/E6</f>
        <v>5.2095808383233537</v>
      </c>
      <c r="I6" s="136"/>
      <c r="J6" s="123" t="s">
        <v>96</v>
      </c>
      <c r="K6" s="126" t="s">
        <v>95</v>
      </c>
      <c r="L6" s="126"/>
      <c r="M6" s="127">
        <v>0.16</v>
      </c>
      <c r="N6" s="128">
        <v>0.4</v>
      </c>
      <c r="O6" s="128"/>
      <c r="P6" s="128">
        <v>1</v>
      </c>
      <c r="Q6" s="128">
        <v>0.42</v>
      </c>
      <c r="R6" s="123" t="s">
        <v>97</v>
      </c>
      <c r="S6" s="123" t="s">
        <v>94</v>
      </c>
      <c r="T6" s="147">
        <v>44670</v>
      </c>
    </row>
    <row r="7" spans="1:20" ht="17.100000000000001" customHeight="1" x14ac:dyDescent="0.25">
      <c r="A7" s="211" t="str" cm="1">
        <f t="array" ref="A7">_FV(B7,"Ticker symbol",TRUE)</f>
        <v>327</v>
      </c>
      <c r="B7" s="115" t="e" vm="15">
        <v>#VALUE!</v>
      </c>
      <c r="C7" s="116" t="str" cm="1">
        <f t="array" ref="C7">_FV(B7,"Industry")</f>
        <v>Office Equipment</v>
      </c>
      <c r="D7" s="195"/>
      <c r="E7" s="117" cm="1">
        <f t="array" ref="E7">_FV(B7,"Price")</f>
        <v>7.05</v>
      </c>
      <c r="F7" s="137">
        <v>36</v>
      </c>
      <c r="G7" s="203">
        <f>(F7/E7)^(1/5) -1</f>
        <v>0.38555151246969244</v>
      </c>
      <c r="H7" s="198">
        <f>F7/E7</f>
        <v>5.1063829787234045</v>
      </c>
      <c r="I7" s="135"/>
      <c r="J7" s="124" t="s">
        <v>99</v>
      </c>
      <c r="K7" s="126" t="s">
        <v>95</v>
      </c>
      <c r="L7" s="126"/>
      <c r="M7" s="127">
        <v>0.16</v>
      </c>
      <c r="N7" s="128">
        <v>0.1472</v>
      </c>
      <c r="O7" s="128"/>
      <c r="P7" s="128">
        <v>0.45150000000000001</v>
      </c>
      <c r="Q7" s="127">
        <v>0.17929999999999999</v>
      </c>
      <c r="R7" s="123" t="s">
        <v>97</v>
      </c>
      <c r="S7" s="123" t="s">
        <v>94</v>
      </c>
      <c r="T7" s="147">
        <v>44199</v>
      </c>
    </row>
    <row r="8" spans="1:20" ht="17.100000000000001" customHeight="1" x14ac:dyDescent="0.25">
      <c r="A8" s="211" t="str" cm="1">
        <f t="array" ref="A8">_FV(B8,"Ticker symbol",TRUE)</f>
        <v>HEAR</v>
      </c>
      <c r="B8" s="115" t="e" vm="16">
        <v>#VALUE!</v>
      </c>
      <c r="C8" s="116" t="str" cm="1">
        <f t="array" ref="C8">_FV(B8,"Industry")</f>
        <v>Computers, Phones &amp; Household Electronics</v>
      </c>
      <c r="D8" s="195"/>
      <c r="E8" s="117" cm="1">
        <f t="array" ref="E8">_FV(B8,"Price")</f>
        <v>8.86</v>
      </c>
      <c r="F8" s="137">
        <v>41</v>
      </c>
      <c r="G8" s="204">
        <f>(F8/E8)^(1/5) -1</f>
        <v>0.35853248284768946</v>
      </c>
      <c r="H8" s="198">
        <f>F8/E8</f>
        <v>4.6275395033860045</v>
      </c>
      <c r="I8" s="135"/>
      <c r="J8" s="126" t="s">
        <v>95</v>
      </c>
      <c r="K8" s="126" t="s">
        <v>95</v>
      </c>
      <c r="L8" s="126"/>
      <c r="M8" s="130">
        <v>4.8000000000000001E-2</v>
      </c>
      <c r="N8" s="125">
        <v>1.7399999999999999E-2</v>
      </c>
      <c r="O8" s="125"/>
      <c r="P8" s="125">
        <v>-0.54259999999999997</v>
      </c>
      <c r="Q8" s="131">
        <v>0.11899999999999999</v>
      </c>
      <c r="R8" s="123" t="s">
        <v>97</v>
      </c>
      <c r="S8" s="126" t="s">
        <v>95</v>
      </c>
      <c r="T8" s="147">
        <v>44584</v>
      </c>
    </row>
    <row r="9" spans="1:20" ht="17.100000000000001" customHeight="1" x14ac:dyDescent="0.25">
      <c r="A9" s="211" t="str" cm="1">
        <f t="array" ref="A9">_FV(B9,"Ticker symbol",TRUE)</f>
        <v>BOTB</v>
      </c>
      <c r="B9" s="115" t="e" vm="17">
        <v>#VALUE!</v>
      </c>
      <c r="C9" s="116" t="str" cm="1">
        <f t="array" ref="C9">_FV(B9,"Industry")</f>
        <v>Hotels &amp; Entertainment Services</v>
      </c>
      <c r="D9" s="195"/>
      <c r="E9" s="117" cm="1">
        <f t="array" ref="E9">_FV(B9,"Price")/100</f>
        <v>3.78</v>
      </c>
      <c r="F9" s="137">
        <v>16</v>
      </c>
      <c r="G9" s="203">
        <f>(F9/E9)^(1/5) -1</f>
        <v>0.33452168934997695</v>
      </c>
      <c r="H9" s="198">
        <f>F9/E9</f>
        <v>4.2328042328042335</v>
      </c>
      <c r="I9" s="135"/>
      <c r="J9" s="126" t="s">
        <v>95</v>
      </c>
      <c r="K9" s="121" t="s">
        <v>99</v>
      </c>
      <c r="L9" s="124"/>
      <c r="M9" s="127">
        <v>0.2</v>
      </c>
      <c r="N9" s="128">
        <v>1.5</v>
      </c>
      <c r="O9" s="128"/>
      <c r="P9" s="128">
        <v>1</v>
      </c>
      <c r="Q9" s="128">
        <v>1.6</v>
      </c>
      <c r="R9" s="123" t="s">
        <v>97</v>
      </c>
      <c r="S9" s="129" t="s">
        <v>103</v>
      </c>
      <c r="T9" s="147">
        <v>44714</v>
      </c>
    </row>
    <row r="10" spans="1:20" ht="17.100000000000001" customHeight="1" x14ac:dyDescent="0.25">
      <c r="A10" s="211" t="str" cm="1">
        <f t="array" ref="A10">_FV(B10,"Ticker symbol",TRUE)</f>
        <v>AQB</v>
      </c>
      <c r="B10" s="115" t="e" vm="18">
        <v>#VALUE!</v>
      </c>
      <c r="C10" s="116" t="str" cm="1">
        <f t="array" ref="C10">_FV(B10,"Industry")</f>
        <v>Biotechnology &amp; Medical Research</v>
      </c>
      <c r="D10" s="195"/>
      <c r="E10" s="117" cm="1">
        <f t="array" ref="E10">_FV(B10,"Price")</f>
        <v>0.95269999999999999</v>
      </c>
      <c r="F10" s="137">
        <v>4</v>
      </c>
      <c r="G10" s="203">
        <f>(F10/E10)^(1/5) -1</f>
        <v>0.33235748238267848</v>
      </c>
      <c r="H10" s="198">
        <f>F10/E10</f>
        <v>4.1985934711871522</v>
      </c>
      <c r="I10" s="139"/>
      <c r="J10" s="121" t="s">
        <v>93</v>
      </c>
      <c r="K10" s="123" t="s">
        <v>98</v>
      </c>
      <c r="L10" s="123"/>
      <c r="M10" s="125">
        <v>-19.001000000000001</v>
      </c>
      <c r="N10" s="128">
        <v>8.2026000000000003</v>
      </c>
      <c r="O10" s="128"/>
      <c r="P10" s="128">
        <v>0.36109999999999998</v>
      </c>
      <c r="Q10" s="125">
        <v>-0.10199999999999999</v>
      </c>
      <c r="R10" s="123" t="s">
        <v>97</v>
      </c>
      <c r="S10" s="126" t="s">
        <v>95</v>
      </c>
      <c r="T10" s="147">
        <v>44575</v>
      </c>
    </row>
    <row r="11" spans="1:20" ht="17.100000000000001" customHeight="1" x14ac:dyDescent="0.25">
      <c r="A11" s="211" t="str" cm="1">
        <f t="array" ref="A11">_FV(B11,"Ticker symbol",TRUE)</f>
        <v>HZO</v>
      </c>
      <c r="B11" s="115" t="e" vm="19">
        <v>#VALUE!</v>
      </c>
      <c r="C11" s="116" t="str" cm="1">
        <f t="array" ref="C11">_FV(B11,"Industry")</f>
        <v>Leisure Products</v>
      </c>
      <c r="D11" s="195"/>
      <c r="E11" s="117" cm="1">
        <f t="array" ref="E11">_FV(B11,"Price")</f>
        <v>34.47</v>
      </c>
      <c r="F11" s="137">
        <v>143</v>
      </c>
      <c r="G11" s="203">
        <f>(F11/E11)^(1/5) -1</f>
        <v>0.32916516537824836</v>
      </c>
      <c r="H11" s="198">
        <f>F11/E11</f>
        <v>4.1485349579344355</v>
      </c>
      <c r="I11" s="140"/>
      <c r="J11" s="124" t="s">
        <v>99</v>
      </c>
      <c r="K11" s="126" t="s">
        <v>95</v>
      </c>
      <c r="L11" s="126"/>
      <c r="M11" s="130">
        <v>7.4999999999999997E-2</v>
      </c>
      <c r="N11" s="128">
        <v>0.36670000000000003</v>
      </c>
      <c r="O11" s="128"/>
      <c r="P11" s="128">
        <v>1.0765</v>
      </c>
      <c r="Q11" s="127">
        <v>0.20799999999999999</v>
      </c>
      <c r="R11" s="129" t="s">
        <v>101</v>
      </c>
      <c r="S11" s="126" t="s">
        <v>95</v>
      </c>
      <c r="T11" s="147">
        <v>44584</v>
      </c>
    </row>
    <row r="12" spans="1:20" ht="17.100000000000001" customHeight="1" x14ac:dyDescent="0.25">
      <c r="A12" s="211" t="str" cm="1">
        <f t="array" ref="A12">_FV(B12,"Ticker symbol",TRUE)</f>
        <v>FLWS</v>
      </c>
      <c r="B12" s="115" t="e" vm="20">
        <v>#VALUE!</v>
      </c>
      <c r="C12" s="116" t="str" cm="1">
        <f t="array" ref="C12">_FV(B12,"Industry")</f>
        <v>Specialty Retailers</v>
      </c>
      <c r="D12" s="195"/>
      <c r="E12" s="117" cm="1">
        <f t="array" ref="E12">_FV(B12,"Price")</f>
        <v>10.43</v>
      </c>
      <c r="F12" s="137">
        <v>40</v>
      </c>
      <c r="G12" s="203">
        <f>(F12/E12)^(1/5) -1</f>
        <v>0.30844398958991581</v>
      </c>
      <c r="H12" s="198">
        <f>F12/E12</f>
        <v>3.8350910834132312</v>
      </c>
      <c r="I12" s="140"/>
      <c r="J12" s="124" t="s">
        <v>99</v>
      </c>
      <c r="K12" s="129" t="s">
        <v>100</v>
      </c>
      <c r="L12" s="129"/>
      <c r="M12" s="130">
        <v>5.6000000000000001E-2</v>
      </c>
      <c r="N12" s="128">
        <v>0.42470000000000002</v>
      </c>
      <c r="O12" s="128"/>
      <c r="P12" s="128">
        <v>1.0111000000000001</v>
      </c>
      <c r="Q12" s="127">
        <v>0.152</v>
      </c>
      <c r="R12" s="129" t="s">
        <v>101</v>
      </c>
      <c r="S12" s="123" t="s">
        <v>94</v>
      </c>
      <c r="T12" s="147">
        <v>44868</v>
      </c>
    </row>
    <row r="13" spans="1:20" ht="17.100000000000001" customHeight="1" x14ac:dyDescent="0.25">
      <c r="A13" s="211" t="str" cm="1">
        <f t="array" ref="A13">_FV(B13,"Ticker symbol",TRUE)</f>
        <v>NGMS</v>
      </c>
      <c r="B13" s="115" t="e" vm="21">
        <v>#VALUE!</v>
      </c>
      <c r="C13" s="116" t="str" cm="1">
        <f t="array" ref="C13">_FV(B13,"Industry")</f>
        <v>Software &amp; IT Services</v>
      </c>
      <c r="D13" s="195"/>
      <c r="E13" s="117" cm="1">
        <f t="array" ref="E13">_FV(B13,"Price")</f>
        <v>12.26</v>
      </c>
      <c r="F13" s="137">
        <v>47</v>
      </c>
      <c r="G13" s="203">
        <f>(F13/E13)^(1/5) -1</f>
        <v>0.30834258547304283</v>
      </c>
      <c r="H13" s="199">
        <f>F13/E13</f>
        <v>3.8336052202283852</v>
      </c>
      <c r="I13" s="135">
        <v>0.06</v>
      </c>
      <c r="J13" s="124" t="s">
        <v>99</v>
      </c>
      <c r="K13" s="123" t="s">
        <v>98</v>
      </c>
      <c r="L13" s="136">
        <v>1</v>
      </c>
      <c r="M13" s="130">
        <v>0.13</v>
      </c>
      <c r="N13" s="128">
        <v>0.28999999999999998</v>
      </c>
      <c r="O13" s="128"/>
      <c r="P13" s="128"/>
      <c r="Q13" s="128">
        <v>0.4</v>
      </c>
      <c r="R13" s="123" t="s">
        <v>97</v>
      </c>
      <c r="S13" s="123" t="s">
        <v>94</v>
      </c>
      <c r="T13" s="147">
        <v>44685</v>
      </c>
    </row>
    <row r="14" spans="1:20" ht="17.100000000000001" customHeight="1" x14ac:dyDescent="0.25">
      <c r="A14" s="211" t="str" cm="1">
        <f t="array" ref="A14">_FV(B14,"Ticker symbol",TRUE)</f>
        <v>META</v>
      </c>
      <c r="B14" s="115" t="e" vm="22">
        <v>#VALUE!</v>
      </c>
      <c r="C14" s="116" t="str" cm="1">
        <f t="array" ref="C14">_FV(B14,"Industry")</f>
        <v>Software &amp; IT Services</v>
      </c>
      <c r="D14" s="195"/>
      <c r="E14" s="117" cm="1">
        <f t="array" ref="E14">_FV(B14,"Price")</f>
        <v>136.97999999999999</v>
      </c>
      <c r="F14" s="137">
        <v>516</v>
      </c>
      <c r="G14" s="203">
        <f>(F14/E14)^(1/5) -1</f>
        <v>0.30376256796223222</v>
      </c>
      <c r="H14" s="198">
        <f>F14/E14</f>
        <v>3.7669732807709155</v>
      </c>
      <c r="I14" s="171"/>
      <c r="J14" s="174" t="s">
        <v>96</v>
      </c>
      <c r="K14" s="174" t="s">
        <v>98</v>
      </c>
      <c r="L14" s="174"/>
      <c r="M14" s="132">
        <v>0.33400000000000002</v>
      </c>
      <c r="N14" s="132">
        <v>0.37180000000000002</v>
      </c>
      <c r="O14" s="132"/>
      <c r="P14" s="132">
        <v>0.3508</v>
      </c>
      <c r="Q14" s="132">
        <v>0.27200000000000002</v>
      </c>
      <c r="R14" s="174" t="s">
        <v>97</v>
      </c>
      <c r="S14" s="174" t="s">
        <v>94</v>
      </c>
      <c r="T14" s="147">
        <v>44595</v>
      </c>
    </row>
    <row r="15" spans="1:20" ht="17.100000000000001" customHeight="1" x14ac:dyDescent="0.25">
      <c r="A15" s="211" t="str" cm="1">
        <f t="array" ref="A15">_FV(B15,"Ticker symbol",TRUE)</f>
        <v>SFTBF</v>
      </c>
      <c r="B15" s="115" t="e" vm="23">
        <v>#VALUE!</v>
      </c>
      <c r="C15" s="116" t="str" cm="1">
        <f t="array" ref="C15">_FV(B15,"Industry")</f>
        <v>Telecommunications Services</v>
      </c>
      <c r="D15" s="195"/>
      <c r="E15" s="117" cm="1">
        <f t="array" ref="E15">_FV(B15,"Price")</f>
        <v>45.2</v>
      </c>
      <c r="F15" s="137">
        <v>156</v>
      </c>
      <c r="G15" s="203">
        <f>(F15/E15)^(1/5) -1</f>
        <v>0.28114189291375657</v>
      </c>
      <c r="H15" s="198">
        <f>F15/E15</f>
        <v>3.4513274336283182</v>
      </c>
      <c r="I15" s="135"/>
      <c r="J15" s="124" t="s">
        <v>99</v>
      </c>
      <c r="K15" s="122"/>
      <c r="L15" s="122"/>
      <c r="M15" s="122"/>
      <c r="N15" s="122"/>
      <c r="O15" s="122"/>
      <c r="P15" s="122"/>
      <c r="Q15" s="122"/>
      <c r="R15" s="122"/>
      <c r="S15" s="123" t="s">
        <v>94</v>
      </c>
      <c r="T15" s="147">
        <v>44694</v>
      </c>
    </row>
    <row r="16" spans="1:20" ht="17.100000000000001" customHeight="1" x14ac:dyDescent="0.25">
      <c r="A16" s="211" t="str" cm="1">
        <f t="array" ref="A16">_FV(B16,"Ticker symbol",TRUE)</f>
        <v>CRMT</v>
      </c>
      <c r="B16" s="115" t="e" vm="24">
        <v>#VALUE!</v>
      </c>
      <c r="C16" s="116" t="str" cm="1">
        <f t="array" ref="C16">_FV(B16,"Industry")</f>
        <v>Specialty Retailers</v>
      </c>
      <c r="D16" s="195"/>
      <c r="E16" s="117" cm="1">
        <f t="array" ref="E16">_FV(B16,"Price")</f>
        <v>78.400000000000006</v>
      </c>
      <c r="F16" s="137">
        <v>227</v>
      </c>
      <c r="G16" s="203">
        <f>(F16/E16)^(1/5) -1</f>
        <v>0.23692098867179734</v>
      </c>
      <c r="H16" s="198">
        <f>F16/E16</f>
        <v>2.8954081632653059</v>
      </c>
      <c r="I16" s="135"/>
      <c r="J16" s="126" t="s">
        <v>95</v>
      </c>
      <c r="K16" s="126" t="s">
        <v>95</v>
      </c>
      <c r="L16" s="126"/>
      <c r="M16" s="130">
        <v>0.113</v>
      </c>
      <c r="N16" s="128">
        <v>0.23369999999999999</v>
      </c>
      <c r="O16" s="128"/>
      <c r="P16" s="128">
        <v>1.0283</v>
      </c>
      <c r="Q16" s="131">
        <v>0.13700000000000001</v>
      </c>
      <c r="R16" s="126" t="s">
        <v>102</v>
      </c>
      <c r="S16" s="129" t="s">
        <v>103</v>
      </c>
      <c r="T16" s="147">
        <v>44584</v>
      </c>
    </row>
    <row r="17" spans="1:20" ht="17.100000000000001" customHeight="1" x14ac:dyDescent="0.25">
      <c r="A17" s="211">
        <v>4934</v>
      </c>
      <c r="B17" s="115" t="s">
        <v>104</v>
      </c>
      <c r="C17" s="116" t="s">
        <v>105</v>
      </c>
      <c r="D17" s="195"/>
      <c r="E17" s="119">
        <v>3770</v>
      </c>
      <c r="F17" s="212">
        <v>9800</v>
      </c>
      <c r="G17" s="203">
        <f>(F17/E17)^(1/5) -1</f>
        <v>0.21053386959483555</v>
      </c>
      <c r="H17" s="198">
        <f>F17/E17</f>
        <v>2.5994694960212201</v>
      </c>
      <c r="I17" s="135"/>
      <c r="J17" s="126" t="s">
        <v>95</v>
      </c>
      <c r="K17" s="126" t="s">
        <v>95</v>
      </c>
      <c r="L17" s="126"/>
      <c r="M17" s="130">
        <v>7.0000000000000007E-2</v>
      </c>
      <c r="N17" s="128">
        <v>0.6</v>
      </c>
      <c r="O17" s="128"/>
      <c r="P17" s="128">
        <v>2</v>
      </c>
      <c r="Q17" s="128">
        <v>0.4</v>
      </c>
      <c r="R17" s="123" t="s">
        <v>97</v>
      </c>
      <c r="S17" s="129" t="s">
        <v>103</v>
      </c>
      <c r="T17" s="147">
        <v>44681</v>
      </c>
    </row>
    <row r="18" spans="1:20" ht="17.100000000000001" customHeight="1" x14ac:dyDescent="0.25">
      <c r="A18" s="211" t="str" cm="1">
        <f t="array" ref="A18">_FV(B18,"Ticker symbol",TRUE)</f>
        <v>EVVTY</v>
      </c>
      <c r="B18" s="115" t="e" vm="25">
        <v>#VALUE!</v>
      </c>
      <c r="C18" s="116" t="str" cm="1">
        <f t="array" ref="C18">_FV(B18,"Industry")</f>
        <v>Hotels &amp; Entertainment Services</v>
      </c>
      <c r="D18" s="195">
        <v>0.1</v>
      </c>
      <c r="E18" s="117" cm="1">
        <f t="array" ref="E18">_FV(B18,"Price")</f>
        <v>110.04</v>
      </c>
      <c r="F18" s="137">
        <v>276</v>
      </c>
      <c r="G18" s="203">
        <f>(F18/E18)^(1/5) -1</f>
        <v>0.20190931230385001</v>
      </c>
      <c r="H18" s="198">
        <f>F18/E18</f>
        <v>2.5081788440567063</v>
      </c>
      <c r="I18" s="136"/>
      <c r="J18" s="124" t="s">
        <v>99</v>
      </c>
      <c r="K18" s="123" t="s">
        <v>98</v>
      </c>
      <c r="L18" s="123"/>
      <c r="M18" s="128">
        <v>0.54</v>
      </c>
      <c r="N18" s="128">
        <v>0.90500000000000003</v>
      </c>
      <c r="O18" s="128"/>
      <c r="P18" s="128">
        <v>0.8</v>
      </c>
      <c r="Q18" s="127">
        <v>0.2</v>
      </c>
      <c r="R18" s="123" t="s">
        <v>97</v>
      </c>
      <c r="S18" s="123" t="s">
        <v>94</v>
      </c>
      <c r="T18" s="147">
        <v>44940</v>
      </c>
    </row>
    <row r="19" spans="1:20" ht="17.100000000000001" customHeight="1" x14ac:dyDescent="0.25">
      <c r="A19" s="211" t="str" cm="1">
        <f t="array" ref="A19">_FV(B19,"Ticker symbol",TRUE)</f>
        <v>NVDA</v>
      </c>
      <c r="B19" s="115" t="e" vm="26">
        <v>#VALUE!</v>
      </c>
      <c r="C19" s="116" t="str" cm="1">
        <f t="array" ref="C19">_FV(B19,"Industry")</f>
        <v>Semiconductors &amp; Semiconductor Equipment</v>
      </c>
      <c r="D19" s="195"/>
      <c r="E19" s="117" cm="1">
        <f t="array" ref="E19">_FV(B19,"Price")</f>
        <v>168.99</v>
      </c>
      <c r="F19" s="137">
        <v>310</v>
      </c>
      <c r="G19" s="203">
        <f>(F19/E19)^(1/5) -1</f>
        <v>0.12901610644397832</v>
      </c>
      <c r="H19" s="199">
        <f>F19/E19</f>
        <v>1.8344280726670217</v>
      </c>
      <c r="I19" s="139">
        <v>0.02</v>
      </c>
      <c r="J19" s="123" t="s">
        <v>96</v>
      </c>
      <c r="K19" s="123" t="s">
        <v>98</v>
      </c>
      <c r="L19" s="168">
        <v>0.65</v>
      </c>
      <c r="M19" s="128">
        <v>0.36</v>
      </c>
      <c r="N19" s="128">
        <v>0.3</v>
      </c>
      <c r="O19" s="132">
        <v>0.4</v>
      </c>
      <c r="P19" s="128">
        <v>0.42</v>
      </c>
      <c r="Q19" s="128">
        <v>0.41</v>
      </c>
      <c r="R19" s="123" t="s">
        <v>97</v>
      </c>
      <c r="S19" s="123" t="s">
        <v>94</v>
      </c>
      <c r="T19" s="147">
        <v>44687</v>
      </c>
    </row>
    <row r="20" spans="1:20" ht="17.100000000000001" customHeight="1" x14ac:dyDescent="0.25">
      <c r="A20" s="211" t="str" cm="1">
        <f t="array" ref="A20">_FV(B20,"Ticker symbol",TRUE)</f>
        <v>CRSR</v>
      </c>
      <c r="B20" s="115" t="e" vm="27">
        <v>#VALUE!</v>
      </c>
      <c r="C20" s="116" t="str" cm="1">
        <f t="array" ref="C20">_FV(B20,"Industry")</f>
        <v>Computers, Phones &amp; Household Electronics</v>
      </c>
      <c r="D20" s="195"/>
      <c r="E20" s="117" cm="1">
        <f t="array" ref="E20">_FV(B20,"Price")</f>
        <v>14.89</v>
      </c>
      <c r="F20" s="137">
        <v>26</v>
      </c>
      <c r="G20" s="203">
        <f>(F20/E20)^(1/5) -1</f>
        <v>0.11793288124381229</v>
      </c>
      <c r="H20" s="198">
        <f>F20/E20</f>
        <v>1.7461383478844861</v>
      </c>
      <c r="I20" s="140"/>
      <c r="J20" s="124" t="s">
        <v>99</v>
      </c>
      <c r="K20" s="129" t="s">
        <v>100</v>
      </c>
      <c r="L20" s="129"/>
      <c r="M20" s="130">
        <v>5.2999999999999999E-2</v>
      </c>
      <c r="N20" s="127">
        <v>0.11849999999999999</v>
      </c>
      <c r="O20" s="127"/>
      <c r="P20" s="125">
        <v>-2.1899999999999999E-2</v>
      </c>
      <c r="Q20" s="131">
        <v>0.13100000000000001</v>
      </c>
      <c r="R20" s="129" t="s">
        <v>101</v>
      </c>
      <c r="S20" s="129" t="s">
        <v>103</v>
      </c>
      <c r="T20" s="148">
        <v>44599</v>
      </c>
    </row>
    <row r="21" spans="1:20" ht="17.100000000000001" customHeight="1" x14ac:dyDescent="0.25">
      <c r="A21" s="211" t="str" cm="1">
        <f t="array" ref="A21">_FV(B21,"Ticker symbol",TRUE)</f>
        <v>SAND</v>
      </c>
      <c r="B21" s="115" t="e" vm="28">
        <v>#VALUE!</v>
      </c>
      <c r="C21" s="116" t="str" cm="1">
        <f t="array" ref="C21">_FV(B21,"Industry")</f>
        <v>Metals &amp; Mining</v>
      </c>
      <c r="D21" s="195"/>
      <c r="E21" s="117" cm="1">
        <f t="array" ref="E21">_FV(B21,"Price")</f>
        <v>5.8550000000000004</v>
      </c>
      <c r="F21" s="137">
        <v>10</v>
      </c>
      <c r="G21" s="203">
        <f>(F21/E21)^(1/5) -1</f>
        <v>0.11299860529552652</v>
      </c>
      <c r="H21" s="198">
        <f>F21/E21</f>
        <v>1.7079419299743808</v>
      </c>
      <c r="I21" s="140"/>
      <c r="J21" s="124" t="s">
        <v>99</v>
      </c>
      <c r="K21" s="123" t="s">
        <v>98</v>
      </c>
      <c r="L21" s="123"/>
      <c r="M21" s="127">
        <v>0.24</v>
      </c>
      <c r="N21" s="128">
        <v>0.23469999999999999</v>
      </c>
      <c r="O21" s="132"/>
      <c r="P21" s="132">
        <v>0.99909999999999999</v>
      </c>
      <c r="Q21" s="125">
        <v>4.7E-2</v>
      </c>
      <c r="R21" s="123" t="s">
        <v>97</v>
      </c>
      <c r="S21" s="123" t="s">
        <v>94</v>
      </c>
      <c r="T21" s="147">
        <v>44584</v>
      </c>
    </row>
    <row r="22" spans="1:20" ht="17.100000000000001" customHeight="1" x14ac:dyDescent="0.25">
      <c r="A22" s="211" t="str" cm="1">
        <f t="array" ref="A22">_FV(B22,"Ticker symbol",TRUE)</f>
        <v>OPRA</v>
      </c>
      <c r="B22" s="115" t="e" vm="29">
        <v>#VALUE!</v>
      </c>
      <c r="C22" s="116" t="str" cm="1">
        <f t="array" ref="C22">_FV(B22,"Industry")</f>
        <v>Software &amp; IT Services</v>
      </c>
      <c r="D22" s="195"/>
      <c r="E22" s="117" cm="1">
        <f t="array" ref="E22">_FV(B22,"Price")</f>
        <v>6.89</v>
      </c>
      <c r="F22" s="137">
        <v>10</v>
      </c>
      <c r="G22" s="204">
        <f>(F22/E22)^(1/5) -1</f>
        <v>7.7348361810405608E-2</v>
      </c>
      <c r="H22" s="198">
        <f>F22/E22</f>
        <v>1.4513788098693761</v>
      </c>
      <c r="I22" s="136"/>
      <c r="J22" s="126" t="s">
        <v>95</v>
      </c>
      <c r="K22" s="121" t="s">
        <v>99</v>
      </c>
      <c r="L22" s="136">
        <v>0.94</v>
      </c>
      <c r="M22" s="125">
        <v>-6.3E-2</v>
      </c>
      <c r="N22" s="128">
        <v>0.13</v>
      </c>
      <c r="O22" s="173">
        <v>-0.1</v>
      </c>
      <c r="P22" s="173">
        <v>-1.72</v>
      </c>
      <c r="Q22" s="125">
        <v>2.5000000000000001E-2</v>
      </c>
      <c r="R22" s="123" t="s">
        <v>97</v>
      </c>
      <c r="S22" s="121" t="s">
        <v>128</v>
      </c>
      <c r="T22" s="147">
        <v>44694</v>
      </c>
    </row>
    <row r="23" spans="1:20" ht="17.100000000000001" customHeight="1" x14ac:dyDescent="0.25">
      <c r="A23" s="211" t="str" cm="1">
        <f t="array" ref="A23">_FV(B23,"Ticker symbol",TRUE)</f>
        <v>CROX</v>
      </c>
      <c r="B23" s="115" t="e" vm="30">
        <v>#VALUE!</v>
      </c>
      <c r="C23" s="116" t="str" cm="1">
        <f t="array" ref="C23">_FV(B23,"Industry")</f>
        <v>Textiles &amp; Apparel</v>
      </c>
      <c r="D23" s="195"/>
      <c r="E23" s="117" cm="1">
        <f t="array" ref="E23">_FV(B23,"Price")</f>
        <v>125.82</v>
      </c>
      <c r="F23" s="137">
        <v>180</v>
      </c>
      <c r="G23" s="203">
        <f>(F23/E23)^(1/5) -1</f>
        <v>7.4248027331504041E-2</v>
      </c>
      <c r="H23" s="199">
        <f>F23/E23</f>
        <v>1.4306151645207439</v>
      </c>
      <c r="I23" s="136">
        <v>0.11</v>
      </c>
      <c r="J23" s="123" t="s">
        <v>96</v>
      </c>
      <c r="K23" s="123" t="s">
        <v>98</v>
      </c>
      <c r="L23" s="168">
        <v>0.6</v>
      </c>
      <c r="M23" s="128">
        <v>0.3</v>
      </c>
      <c r="N23" s="127">
        <v>0.08</v>
      </c>
      <c r="O23" s="128">
        <v>0.25</v>
      </c>
      <c r="P23" s="128">
        <v>0.2</v>
      </c>
      <c r="Q23" s="128">
        <v>0.3</v>
      </c>
      <c r="R23" s="121" t="s">
        <v>116</v>
      </c>
      <c r="S23" s="123" t="s">
        <v>94</v>
      </c>
      <c r="T23" s="147">
        <v>44689</v>
      </c>
    </row>
    <row r="24" spans="1:20" ht="17.100000000000001" customHeight="1" x14ac:dyDescent="0.25">
      <c r="A24" s="211" t="str" cm="1">
        <f t="array" ref="A24">_FV(B24,"Ticker symbol",TRUE)</f>
        <v>ATHM</v>
      </c>
      <c r="B24" s="115" t="e" vm="31">
        <v>#VALUE!</v>
      </c>
      <c r="C24" s="116" t="str" cm="1">
        <f t="array" ref="C24">_FV(B24,"Industry")</f>
        <v>Media &amp; Publishing</v>
      </c>
      <c r="D24" s="195"/>
      <c r="E24" s="117" cm="1">
        <f t="array" ref="E24">_FV(B24,"Price")</f>
        <v>35.869999999999997</v>
      </c>
      <c r="F24" s="137">
        <v>49</v>
      </c>
      <c r="G24" s="204">
        <f>(F24/E24)^(1/5) -1</f>
        <v>6.4370773245915558E-2</v>
      </c>
      <c r="H24" s="198">
        <f>F24/E24</f>
        <v>1.3660440479509339</v>
      </c>
      <c r="I24" s="139"/>
      <c r="J24" s="121" t="s">
        <v>93</v>
      </c>
      <c r="K24" s="126" t="s">
        <v>95</v>
      </c>
      <c r="L24" s="136">
        <v>0.85</v>
      </c>
      <c r="M24" s="128">
        <v>0.35399999999999998</v>
      </c>
      <c r="N24" s="125">
        <v>0</v>
      </c>
      <c r="O24" s="125">
        <v>0.03</v>
      </c>
      <c r="P24" s="125">
        <v>-0.04</v>
      </c>
      <c r="Q24" s="131">
        <v>0.16700000000000001</v>
      </c>
      <c r="R24" s="123" t="s">
        <v>97</v>
      </c>
      <c r="S24" s="121" t="s">
        <v>128</v>
      </c>
      <c r="T24" s="147">
        <v>44694</v>
      </c>
    </row>
    <row r="25" spans="1:20" ht="17.100000000000001" customHeight="1" x14ac:dyDescent="0.25">
      <c r="A25" s="211" t="str" cm="1">
        <f t="array" ref="A25">_FV(B25,"Ticker symbol",TRUE)</f>
        <v>DNP</v>
      </c>
      <c r="B25" s="115" t="e" vm="32">
        <v>#VALUE!</v>
      </c>
      <c r="C25" s="116" t="str" cm="1">
        <f t="array" ref="C25">_FV(B25,"Industry")</f>
        <v>Food &amp; Drug Retailing</v>
      </c>
      <c r="D25" s="195"/>
      <c r="E25" s="120" cm="1">
        <f t="array" ref="E25">_FV(B25,"Price")</f>
        <v>363.5</v>
      </c>
      <c r="F25" s="137">
        <v>492</v>
      </c>
      <c r="G25" s="203">
        <f>(F25/E25)^(1/5) -1</f>
        <v>6.2409969782309282E-2</v>
      </c>
      <c r="H25" s="198">
        <f>F25/E25</f>
        <v>1.3535075653370015</v>
      </c>
      <c r="I25" s="136"/>
      <c r="J25" s="123" t="s">
        <v>96</v>
      </c>
      <c r="K25" s="123" t="s">
        <v>98</v>
      </c>
      <c r="L25" s="123"/>
      <c r="M25" s="130">
        <v>0.06</v>
      </c>
      <c r="N25" s="128">
        <v>0.3</v>
      </c>
      <c r="O25" s="132"/>
      <c r="P25" s="132">
        <v>0.25</v>
      </c>
      <c r="Q25" s="127">
        <v>0.22</v>
      </c>
      <c r="R25" s="129" t="s">
        <v>101</v>
      </c>
      <c r="S25" s="129" t="s">
        <v>103</v>
      </c>
      <c r="T25" s="147">
        <v>44631</v>
      </c>
    </row>
    <row r="26" spans="1:20" ht="17.100000000000001" customHeight="1" x14ac:dyDescent="0.25">
      <c r="A26" s="211" t="str" cm="1">
        <f t="array" ref="A26">_FV(B26,"Ticker symbol",TRUE)</f>
        <v>XPEL</v>
      </c>
      <c r="B26" s="115" t="e" vm="33">
        <v>#VALUE!</v>
      </c>
      <c r="C26" s="116" t="str" cm="1">
        <f t="array" ref="C26">_FV(B26,"Industry")</f>
        <v>Automobiles &amp; Auto Parts</v>
      </c>
      <c r="D26" s="195"/>
      <c r="E26" s="117" cm="1">
        <f t="array" ref="E26">_FV(B26,"Price")</f>
        <v>73.040000000000006</v>
      </c>
      <c r="F26" s="137">
        <v>98</v>
      </c>
      <c r="G26" s="203">
        <f>(F26/E26)^(1/5) -1</f>
        <v>6.0554673847449836E-2</v>
      </c>
      <c r="H26" s="199">
        <f>F26/E26</f>
        <v>1.3417305585980284</v>
      </c>
      <c r="I26" s="139">
        <v>0.01</v>
      </c>
      <c r="J26" s="123" t="s">
        <v>96</v>
      </c>
      <c r="K26" s="123" t="s">
        <v>98</v>
      </c>
      <c r="L26" s="130">
        <v>0.35</v>
      </c>
      <c r="M26" s="130">
        <v>0.12</v>
      </c>
      <c r="N26" s="128">
        <v>0.3</v>
      </c>
      <c r="O26" s="128">
        <v>0.3</v>
      </c>
      <c r="P26" s="128">
        <v>0.5</v>
      </c>
      <c r="Q26" s="141">
        <v>0.49</v>
      </c>
      <c r="R26" s="129" t="s">
        <v>101</v>
      </c>
      <c r="S26" s="123" t="s">
        <v>94</v>
      </c>
      <c r="T26" s="147">
        <v>44685</v>
      </c>
    </row>
    <row r="27" spans="1:20" ht="17.100000000000001" customHeight="1" x14ac:dyDescent="0.25">
      <c r="A27" s="211" t="str" cm="1">
        <f t="array" ref="A27">_FV(B27,"Ticker symbol",TRUE)</f>
        <v>1830</v>
      </c>
      <c r="B27" s="115" t="e" vm="34">
        <v>#VALUE!</v>
      </c>
      <c r="C27" s="116" t="str" cm="1">
        <f t="array" ref="C27">_FV(B27,"Industry")</f>
        <v>Personal &amp; Household Products &amp; Services</v>
      </c>
      <c r="D27" s="195"/>
      <c r="E27" s="117" cm="1">
        <f t="array" ref="E27">_FV(B27,"Price")</f>
        <v>4.4800000000000004</v>
      </c>
      <c r="F27" s="137">
        <v>6</v>
      </c>
      <c r="G27" s="203">
        <f>(F27/E27)^(1/5) -1</f>
        <v>6.0167892317174232E-2</v>
      </c>
      <c r="H27" s="198">
        <f>F27/E27</f>
        <v>1.3392857142857142</v>
      </c>
      <c r="I27" s="139"/>
      <c r="J27" s="121" t="s">
        <v>93</v>
      </c>
      <c r="K27" s="121" t="s">
        <v>99</v>
      </c>
      <c r="L27" s="124"/>
      <c r="M27" s="128">
        <v>0.26</v>
      </c>
      <c r="N27" s="128">
        <v>0.3</v>
      </c>
      <c r="O27" s="128"/>
      <c r="P27" s="128">
        <v>0.25</v>
      </c>
      <c r="Q27" s="128">
        <v>0.32</v>
      </c>
      <c r="R27" s="123" t="s">
        <v>97</v>
      </c>
      <c r="S27" s="129" t="s">
        <v>103</v>
      </c>
      <c r="T27" s="147">
        <v>44671</v>
      </c>
    </row>
    <row r="28" spans="1:20" ht="17.100000000000001" customHeight="1" x14ac:dyDescent="0.25">
      <c r="A28" s="211" t="str" cm="1">
        <f t="array" ref="A28">_FV(B28,"Ticker symbol",TRUE)</f>
        <v>SPGI</v>
      </c>
      <c r="B28" s="115" t="e" vm="35">
        <v>#VALUE!</v>
      </c>
      <c r="C28" s="116" t="str" cm="1">
        <f t="array" ref="C28">_FV(B28,"Industry")</f>
        <v>Professional &amp; Commercial Services</v>
      </c>
      <c r="D28" s="195"/>
      <c r="E28" s="117" cm="1">
        <f t="array" ref="E28">_FV(B28,"Price")</f>
        <v>366.13</v>
      </c>
      <c r="F28" s="137">
        <v>471</v>
      </c>
      <c r="G28" s="203">
        <f>(F28/E28)^(1/5) -1</f>
        <v>5.1664267985658929E-2</v>
      </c>
      <c r="H28" s="199">
        <f>F28/E28</f>
        <v>1.2864283178106137</v>
      </c>
      <c r="I28" s="136">
        <v>0.03</v>
      </c>
      <c r="J28" s="123" t="s">
        <v>96</v>
      </c>
      <c r="K28" s="123" t="s">
        <v>98</v>
      </c>
      <c r="L28" s="168">
        <v>0.73</v>
      </c>
      <c r="M28" s="128">
        <v>0.36</v>
      </c>
      <c r="N28" s="127">
        <v>0.1</v>
      </c>
      <c r="O28" s="132">
        <v>0.24</v>
      </c>
      <c r="P28" s="132">
        <v>0.2</v>
      </c>
      <c r="Q28" s="128">
        <v>0.36</v>
      </c>
      <c r="R28" s="123" t="s">
        <v>97</v>
      </c>
      <c r="S28" s="126"/>
      <c r="T28" s="147">
        <v>44694</v>
      </c>
    </row>
    <row r="29" spans="1:20" ht="17.100000000000001" customHeight="1" x14ac:dyDescent="0.25">
      <c r="A29" s="211" t="str" cm="1">
        <f t="array" ref="A29">_FV(B29,"Ticker symbol",TRUE)</f>
        <v>FLEX</v>
      </c>
      <c r="B29" s="115" t="e" vm="36">
        <v>#VALUE!</v>
      </c>
      <c r="C29" s="116" t="str" cm="1">
        <f t="array" ref="C29">_FV(B29,"Industry")</f>
        <v>Electronic Equipment &amp; Parts</v>
      </c>
      <c r="D29" s="195"/>
      <c r="E29" s="117" cm="1">
        <f t="array" ref="E29">_FV(B29,"Price")</f>
        <v>24.03</v>
      </c>
      <c r="F29" s="137">
        <v>29</v>
      </c>
      <c r="G29" s="203">
        <f>(F29/E29)^(1/5) -1</f>
        <v>3.8314324195243499E-2</v>
      </c>
      <c r="H29" s="200">
        <f>F29/E29</f>
        <v>1.2068248023304202</v>
      </c>
      <c r="I29" s="135"/>
      <c r="J29" s="126" t="s">
        <v>95</v>
      </c>
      <c r="K29" s="126" t="s">
        <v>95</v>
      </c>
      <c r="L29" s="126"/>
      <c r="M29" s="175">
        <v>2.5000000000000001E-2</v>
      </c>
      <c r="N29" s="175">
        <v>-3.5000000000000001E-3</v>
      </c>
      <c r="O29" s="125"/>
      <c r="P29" s="128">
        <v>5.9993999999999996</v>
      </c>
      <c r="Q29" s="172">
        <v>9.2999999999999999E-2</v>
      </c>
      <c r="R29" s="126" t="s">
        <v>102</v>
      </c>
      <c r="S29" s="129" t="s">
        <v>103</v>
      </c>
      <c r="T29" s="149">
        <v>44584</v>
      </c>
    </row>
    <row r="30" spans="1:20" ht="17.100000000000001" customHeight="1" x14ac:dyDescent="0.25">
      <c r="A30" s="211" t="str" cm="1">
        <f t="array" ref="A30">_FV(B30,"Ticker symbol",TRUE)</f>
        <v>MTCH</v>
      </c>
      <c r="B30" s="115" t="e" vm="37">
        <v>#VALUE!</v>
      </c>
      <c r="C30" s="116" t="str" cm="1">
        <f t="array" ref="C30">_FV(B30,"Industry")</f>
        <v>Software &amp; IT Services</v>
      </c>
      <c r="D30" s="195"/>
      <c r="E30" s="117" cm="1">
        <f t="array" ref="E30">_FV(B30,"Price")</f>
        <v>46.13</v>
      </c>
      <c r="F30" s="137">
        <v>46</v>
      </c>
      <c r="G30" s="203">
        <f>(F30/E30)^(1/5) -1</f>
        <v>-5.6426096100037348E-4</v>
      </c>
      <c r="H30" s="200">
        <f>F30/E30</f>
        <v>0.99718187730327335</v>
      </c>
      <c r="I30" s="136"/>
      <c r="J30" s="123" t="s">
        <v>96</v>
      </c>
      <c r="K30" s="123" t="s">
        <v>98</v>
      </c>
      <c r="L30" s="123"/>
      <c r="M30" s="130">
        <v>9.2999999999999999E-2</v>
      </c>
      <c r="N30" s="138">
        <v>0.24759999999999999</v>
      </c>
      <c r="O30" s="128"/>
      <c r="P30" s="132">
        <v>1.1601999999999999</v>
      </c>
      <c r="Q30" s="131">
        <v>0.108</v>
      </c>
      <c r="R30" s="129" t="s">
        <v>101</v>
      </c>
      <c r="S30" s="126" t="s">
        <v>95</v>
      </c>
      <c r="T30" s="149">
        <v>44631</v>
      </c>
    </row>
    <row r="31" spans="1:20" ht="17.100000000000001" customHeight="1" x14ac:dyDescent="0.25">
      <c r="A31" s="211" t="str" cm="1">
        <f t="array" ref="A31">_FV(B31,"Ticker symbol",TRUE)</f>
        <v>GMWKF</v>
      </c>
      <c r="B31" s="115" t="e" vm="38">
        <v>#VALUE!</v>
      </c>
      <c r="C31" s="116" t="str" cm="1">
        <f t="array" ref="C31">_FV(B31,"Industry")</f>
        <v>Leisure Products</v>
      </c>
      <c r="D31" s="195"/>
      <c r="E31" s="117" cm="1">
        <f t="array" ref="E31">_FV(B31,"Price")</f>
        <v>114.5</v>
      </c>
      <c r="F31" s="137">
        <v>101</v>
      </c>
      <c r="G31" s="203">
        <f>(F31/E31)^(1/5) -1</f>
        <v>-2.4778701804655467E-2</v>
      </c>
      <c r="H31" s="200">
        <f>F31/E31</f>
        <v>0.88209606986899558</v>
      </c>
      <c r="I31" s="169"/>
      <c r="J31" s="123" t="s">
        <v>96</v>
      </c>
      <c r="K31" s="123" t="s">
        <v>98</v>
      </c>
      <c r="L31" s="123"/>
      <c r="M31" s="128">
        <v>0.33</v>
      </c>
      <c r="N31" s="128">
        <v>0.3</v>
      </c>
      <c r="O31" s="128"/>
      <c r="P31" s="132">
        <v>0.6</v>
      </c>
      <c r="Q31" s="128">
        <v>0.52</v>
      </c>
      <c r="R31" s="123" t="s">
        <v>97</v>
      </c>
      <c r="S31" s="123" t="s">
        <v>94</v>
      </c>
      <c r="T31" s="149">
        <v>44583</v>
      </c>
    </row>
    <row r="32" spans="1:20" ht="17.100000000000001" customHeight="1" x14ac:dyDescent="0.25">
      <c r="A32" s="211" t="str" cm="1">
        <f t="array" ref="A32">_FV(B32,"Ticker symbol",TRUE)</f>
        <v>MAD</v>
      </c>
      <c r="B32" s="115" t="e" vm="39">
        <v>#VALUE!</v>
      </c>
      <c r="C32" s="116" t="str" cm="1">
        <f t="array" ref="C32">_FV(B32,"Industry")</f>
        <v>Professional &amp; Commercial Services</v>
      </c>
      <c r="D32" s="195"/>
      <c r="E32" s="117" cm="1">
        <f t="array" ref="E32">_FV(B32,"Price")</f>
        <v>3.69</v>
      </c>
      <c r="F32" s="137">
        <v>3</v>
      </c>
      <c r="G32" s="203">
        <f>(F32/E32)^(1/5) -1</f>
        <v>-4.0557443874002841E-2</v>
      </c>
      <c r="H32" s="200">
        <f>F32/E32</f>
        <v>0.81300813008130079</v>
      </c>
      <c r="I32" s="169"/>
      <c r="J32" s="123" t="s">
        <v>96</v>
      </c>
      <c r="K32" s="126" t="s">
        <v>95</v>
      </c>
      <c r="L32" s="126"/>
      <c r="M32" s="125">
        <v>0.03</v>
      </c>
      <c r="N32" s="128">
        <v>0.3</v>
      </c>
      <c r="O32" s="128"/>
      <c r="P32" s="132">
        <v>0.2</v>
      </c>
      <c r="Q32" s="138">
        <v>0.25</v>
      </c>
      <c r="R32" s="126" t="s">
        <v>102</v>
      </c>
      <c r="S32" s="197" t="s">
        <v>94</v>
      </c>
      <c r="T32" s="149">
        <v>44653</v>
      </c>
    </row>
    <row r="33" spans="1:20" ht="17.100000000000001" customHeight="1" x14ac:dyDescent="0.25">
      <c r="A33" s="213" t="str" cm="1">
        <f t="array" ref="A33">_FV(B33,"Ticker symbol",TRUE)</f>
        <v>DOCS</v>
      </c>
      <c r="B33" s="156" t="e" vm="40">
        <v>#VALUE!</v>
      </c>
      <c r="C33" s="156" t="str" cm="1">
        <f t="array" ref="C33">_FV(B33,"Industry")</f>
        <v>Textiles &amp; Apparel</v>
      </c>
      <c r="D33" s="214"/>
      <c r="E33" s="157" cm="1">
        <f t="array" ref="E33">_FV(B33,"Price")/100</f>
        <v>2.1</v>
      </c>
      <c r="F33" s="158"/>
      <c r="G33" s="201">
        <f>(F33/E33)^(1/5) -1</f>
        <v>-1</v>
      </c>
      <c r="H33" s="200">
        <f>F33/E33</f>
        <v>0</v>
      </c>
      <c r="I33" s="140"/>
      <c r="J33" s="124" t="s">
        <v>99</v>
      </c>
      <c r="K33" s="123" t="s">
        <v>98</v>
      </c>
      <c r="L33" s="123"/>
      <c r="M33" s="123"/>
      <c r="N33" s="159"/>
      <c r="O33" s="159"/>
      <c r="P33" s="160"/>
      <c r="Q33" s="159"/>
      <c r="R33" s="159"/>
      <c r="S33" s="161"/>
      <c r="T33" s="148">
        <v>44677</v>
      </c>
    </row>
    <row r="34" spans="1:20" ht="15.75" x14ac:dyDescent="0.25">
      <c r="A34" s="151" t="s">
        <v>127</v>
      </c>
      <c r="B34" s="152">
        <f>SUBTOTAL(103,Tabla1[Nombre])</f>
        <v>32</v>
      </c>
      <c r="C34" s="152"/>
      <c r="D34" s="152"/>
      <c r="E34" s="153"/>
      <c r="F34" s="154"/>
      <c r="G34" s="154"/>
      <c r="H34" s="155">
        <f>MEDIAN(H2:H33)</f>
        <v>2.553824170038963</v>
      </c>
      <c r="I34" s="162">
        <f>SUBTOTAL(101,Tabla1[FCF Yield])</f>
        <v>4.5999999999999999E-2</v>
      </c>
      <c r="J34" s="165"/>
      <c r="K34" s="163"/>
      <c r="L34" s="170">
        <f>SUBTOTAL(101,Tabla1[M. Bruto])</f>
        <v>0.73142857142857132</v>
      </c>
      <c r="M34" s="166">
        <f>SUBTOTAL(101,Tabla1[M. Neto])</f>
        <v>-0.48324137931034505</v>
      </c>
      <c r="N34" s="164">
        <f>SUBTOTAL(101,Tabla1[Δ Rev.])</f>
        <v>0.56784482758620691</v>
      </c>
      <c r="O34" s="164">
        <f>SUBTOTAL(101,Tabla1[Δ FCF])</f>
        <v>0.18666666666666668</v>
      </c>
      <c r="P34" s="164">
        <f>SUBTOTAL(101,Tabla1[Δ EPS])</f>
        <v>0.62870357142857147</v>
      </c>
      <c r="Q34" s="166">
        <f>SUBTOTAL(101,Tabla1[CFROIC])</f>
        <v>0.27494137931034485</v>
      </c>
      <c r="R34" s="165"/>
      <c r="S34" s="167"/>
      <c r="T34" s="150">
        <f>SUBTOTAL(105,Tabla1[Last Modified])</f>
        <v>44199</v>
      </c>
    </row>
  </sheetData>
  <conditionalFormatting sqref="H35:H36 H1:H33 H38:H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F2:Q38"/>
  <sheetViews>
    <sheetView workbookViewId="0">
      <selection activeCell="B20" sqref="B20"/>
    </sheetView>
  </sheetViews>
  <sheetFormatPr baseColWidth="10" defaultRowHeight="15" x14ac:dyDescent="0.25"/>
  <cols>
    <col min="1" max="5" width="11.42578125" style="8"/>
    <col min="6" max="6" width="11.42578125" style="8" customWidth="1"/>
    <col min="7" max="7" width="2.28515625" style="8" customWidth="1"/>
    <col min="8" max="8" width="19.42578125" style="8" bestFit="1" customWidth="1"/>
    <col min="9" max="15" width="11.42578125" style="8"/>
    <col min="16" max="16" width="21.5703125" style="8" customWidth="1"/>
    <col min="17" max="17" width="2.140625" style="8" customWidth="1"/>
    <col min="18" max="16384" width="11.42578125" style="8"/>
  </cols>
  <sheetData>
    <row r="2" spans="6:17" x14ac:dyDescent="0.25">
      <c r="G2" s="91"/>
      <c r="H2" s="57"/>
      <c r="I2" s="57"/>
      <c r="J2" s="57"/>
      <c r="K2" s="57"/>
      <c r="L2" s="57"/>
      <c r="M2" s="57"/>
      <c r="N2" s="57"/>
      <c r="O2" s="57"/>
      <c r="P2" s="57"/>
      <c r="Q2" s="59"/>
    </row>
    <row r="3" spans="6:17" x14ac:dyDescent="0.25">
      <c r="G3" s="37"/>
      <c r="H3" s="92" t="s">
        <v>68</v>
      </c>
      <c r="I3" s="92" t="s">
        <v>71</v>
      </c>
      <c r="J3" s="92"/>
      <c r="K3" s="92"/>
      <c r="L3" s="92"/>
      <c r="M3" s="92"/>
      <c r="N3" s="92"/>
      <c r="O3" s="92"/>
      <c r="P3" s="92"/>
      <c r="Q3" s="38"/>
    </row>
    <row r="4" spans="6:17" x14ac:dyDescent="0.25">
      <c r="G4" s="37"/>
      <c r="H4" s="92" t="s">
        <v>69</v>
      </c>
      <c r="I4" s="92" t="s">
        <v>70</v>
      </c>
      <c r="J4" s="92"/>
      <c r="K4" s="92"/>
      <c r="L4" s="92"/>
      <c r="M4" s="92"/>
      <c r="N4" s="92"/>
      <c r="O4" s="92"/>
      <c r="P4" s="92"/>
      <c r="Q4" s="38"/>
    </row>
    <row r="5" spans="6:17" x14ac:dyDescent="0.25">
      <c r="G5" s="37"/>
      <c r="H5" s="92" t="s">
        <v>72</v>
      </c>
      <c r="I5" s="92" t="s">
        <v>73</v>
      </c>
      <c r="J5" s="92"/>
      <c r="K5" s="92"/>
      <c r="L5" s="92"/>
      <c r="M5" s="92"/>
      <c r="N5" s="92"/>
      <c r="O5" s="92"/>
      <c r="P5" s="92"/>
      <c r="Q5" s="38"/>
    </row>
    <row r="6" spans="6:17" x14ac:dyDescent="0.25">
      <c r="G6" s="37"/>
      <c r="H6" s="92" t="s">
        <v>74</v>
      </c>
      <c r="I6" s="92" t="s">
        <v>75</v>
      </c>
      <c r="J6" s="92"/>
      <c r="K6" s="92"/>
      <c r="L6" s="92"/>
      <c r="M6" s="92"/>
      <c r="N6" s="92"/>
      <c r="O6" s="92"/>
      <c r="P6" s="92"/>
      <c r="Q6" s="38"/>
    </row>
    <row r="7" spans="6:17" x14ac:dyDescent="0.25">
      <c r="G7" s="37"/>
      <c r="H7" s="92" t="s">
        <v>78</v>
      </c>
      <c r="I7" s="92" t="s">
        <v>79</v>
      </c>
      <c r="J7" s="92"/>
      <c r="K7" s="92"/>
      <c r="L7" s="92"/>
      <c r="M7" s="92"/>
      <c r="N7" s="92"/>
      <c r="O7" s="92"/>
      <c r="P7" s="92"/>
      <c r="Q7" s="38"/>
    </row>
    <row r="8" spans="6:17" x14ac:dyDescent="0.25">
      <c r="F8" s="90"/>
      <c r="G8" s="37"/>
      <c r="H8" s="92"/>
      <c r="I8" s="92"/>
      <c r="J8" s="92"/>
      <c r="K8" s="92"/>
      <c r="L8" s="92"/>
      <c r="M8" s="92"/>
      <c r="N8" s="92"/>
      <c r="O8" s="92"/>
      <c r="P8" s="92"/>
      <c r="Q8" s="38"/>
    </row>
    <row r="9" spans="6:17" x14ac:dyDescent="0.25">
      <c r="G9" s="37"/>
      <c r="H9" s="92"/>
      <c r="I9" s="92"/>
      <c r="J9" s="92"/>
      <c r="K9" s="92"/>
      <c r="L9" s="92"/>
      <c r="M9" s="92"/>
      <c r="N9" s="92"/>
      <c r="O9" s="92"/>
      <c r="P9" s="92"/>
      <c r="Q9" s="38"/>
    </row>
    <row r="10" spans="6:17" x14ac:dyDescent="0.25">
      <c r="G10" s="37"/>
      <c r="H10" s="92"/>
      <c r="I10" s="92"/>
      <c r="J10" s="92"/>
      <c r="K10" s="92"/>
      <c r="L10" s="92"/>
      <c r="M10" s="92"/>
      <c r="N10" s="92"/>
      <c r="O10" s="92"/>
      <c r="P10" s="92"/>
      <c r="Q10" s="38"/>
    </row>
    <row r="11" spans="6:17" x14ac:dyDescent="0.25">
      <c r="G11" s="37"/>
      <c r="H11" s="92"/>
      <c r="I11" s="92"/>
      <c r="J11" s="92"/>
      <c r="K11" s="92"/>
      <c r="L11" s="92"/>
      <c r="M11" s="92"/>
      <c r="N11" s="92"/>
      <c r="O11" s="92"/>
      <c r="P11" s="92"/>
      <c r="Q11" s="38"/>
    </row>
    <row r="12" spans="6:17" x14ac:dyDescent="0.25">
      <c r="G12" s="37"/>
      <c r="H12" s="92"/>
      <c r="I12" s="92"/>
      <c r="J12" s="92"/>
      <c r="K12" s="92"/>
      <c r="L12" s="92"/>
      <c r="M12" s="92"/>
      <c r="N12" s="92"/>
      <c r="O12" s="92"/>
      <c r="P12" s="92"/>
      <c r="Q12" s="38"/>
    </row>
    <row r="13" spans="6:17" x14ac:dyDescent="0.25">
      <c r="G13" s="37"/>
      <c r="H13" s="92"/>
      <c r="I13" s="92"/>
      <c r="J13" s="92"/>
      <c r="K13" s="92"/>
      <c r="L13" s="92"/>
      <c r="M13" s="92"/>
      <c r="N13" s="92"/>
      <c r="O13" s="92"/>
      <c r="P13" s="92"/>
      <c r="Q13" s="38"/>
    </row>
    <row r="14" spans="6:17" x14ac:dyDescent="0.25">
      <c r="G14" s="37"/>
      <c r="H14" s="92"/>
      <c r="I14" s="92"/>
      <c r="J14" s="92"/>
      <c r="K14" s="92"/>
      <c r="L14" s="92"/>
      <c r="M14" s="92"/>
      <c r="N14" s="92"/>
      <c r="O14" s="92"/>
      <c r="P14" s="92"/>
      <c r="Q14" s="38"/>
    </row>
    <row r="15" spans="6:17" x14ac:dyDescent="0.25">
      <c r="G15" s="37"/>
      <c r="H15" s="92"/>
      <c r="I15" s="92"/>
      <c r="J15" s="92"/>
      <c r="K15" s="92"/>
      <c r="L15" s="92"/>
      <c r="M15" s="92"/>
      <c r="N15" s="92"/>
      <c r="O15" s="92"/>
      <c r="P15" s="92"/>
      <c r="Q15" s="38"/>
    </row>
    <row r="16" spans="6:17" x14ac:dyDescent="0.25">
      <c r="G16" s="37"/>
      <c r="H16" s="92"/>
      <c r="I16" s="92"/>
      <c r="J16" s="92"/>
      <c r="K16" s="92"/>
      <c r="L16" s="92"/>
      <c r="M16" s="92"/>
      <c r="N16" s="92"/>
      <c r="O16" s="92"/>
      <c r="P16" s="92"/>
      <c r="Q16" s="38"/>
    </row>
    <row r="17" spans="7:17" x14ac:dyDescent="0.25">
      <c r="G17" s="37"/>
      <c r="H17" s="92"/>
      <c r="I17" s="92"/>
      <c r="J17" s="92"/>
      <c r="K17" s="92"/>
      <c r="L17" s="92"/>
      <c r="M17" s="92"/>
      <c r="N17" s="92"/>
      <c r="O17" s="92"/>
      <c r="P17" s="92"/>
      <c r="Q17" s="38"/>
    </row>
    <row r="18" spans="7:17" x14ac:dyDescent="0.25">
      <c r="G18" s="37"/>
      <c r="Q18" s="38"/>
    </row>
    <row r="19" spans="7:17" x14ac:dyDescent="0.25">
      <c r="G19" s="37"/>
      <c r="Q19" s="38"/>
    </row>
    <row r="20" spans="7:17" x14ac:dyDescent="0.25">
      <c r="G20" s="37"/>
      <c r="Q20" s="38"/>
    </row>
    <row r="21" spans="7:17" x14ac:dyDescent="0.25">
      <c r="G21" s="37"/>
      <c r="Q21" s="38"/>
    </row>
    <row r="22" spans="7:17" x14ac:dyDescent="0.25">
      <c r="G22" s="37"/>
      <c r="Q22" s="38"/>
    </row>
    <row r="23" spans="7:17" x14ac:dyDescent="0.25">
      <c r="G23" s="37"/>
      <c r="Q23" s="38"/>
    </row>
    <row r="24" spans="7:17" x14ac:dyDescent="0.25">
      <c r="G24" s="37"/>
      <c r="Q24" s="38"/>
    </row>
    <row r="25" spans="7:17" x14ac:dyDescent="0.25">
      <c r="G25" s="37"/>
      <c r="Q25" s="38"/>
    </row>
    <row r="26" spans="7:17" x14ac:dyDescent="0.25">
      <c r="G26" s="37"/>
      <c r="Q26" s="38"/>
    </row>
    <row r="27" spans="7:17" x14ac:dyDescent="0.25">
      <c r="G27" s="37"/>
      <c r="Q27" s="38"/>
    </row>
    <row r="28" spans="7:17" x14ac:dyDescent="0.25">
      <c r="G28" s="37"/>
      <c r="Q28" s="38"/>
    </row>
    <row r="29" spans="7:17" x14ac:dyDescent="0.25">
      <c r="G29" s="37"/>
      <c r="Q29" s="38"/>
    </row>
    <row r="30" spans="7:17" x14ac:dyDescent="0.25">
      <c r="G30" s="37"/>
      <c r="Q30" s="38"/>
    </row>
    <row r="31" spans="7:17" x14ac:dyDescent="0.25">
      <c r="G31" s="37"/>
      <c r="Q31" s="38"/>
    </row>
    <row r="32" spans="7:17" x14ac:dyDescent="0.25">
      <c r="G32" s="37"/>
      <c r="Q32" s="38"/>
    </row>
    <row r="33" spans="7:17" x14ac:dyDescent="0.25">
      <c r="G33" s="37"/>
      <c r="Q33" s="38"/>
    </row>
    <row r="34" spans="7:17" x14ac:dyDescent="0.25">
      <c r="G34" s="37"/>
      <c r="Q34" s="38"/>
    </row>
    <row r="35" spans="7:17" x14ac:dyDescent="0.25">
      <c r="G35" s="37"/>
      <c r="Q35" s="38"/>
    </row>
    <row r="36" spans="7:17" x14ac:dyDescent="0.25">
      <c r="G36" s="37"/>
      <c r="Q36" s="38"/>
    </row>
    <row r="37" spans="7:17" x14ac:dyDescent="0.25">
      <c r="G37" s="37"/>
      <c r="Q37" s="38"/>
    </row>
    <row r="38" spans="7:17" x14ac:dyDescent="0.25">
      <c r="G38" s="39"/>
      <c r="H38" s="40"/>
      <c r="I38" s="40"/>
      <c r="J38" s="40"/>
      <c r="K38" s="40"/>
      <c r="L38" s="40"/>
      <c r="M38" s="40"/>
      <c r="N38" s="40"/>
      <c r="O38" s="40"/>
      <c r="P38" s="40"/>
      <c r="Q38" s="4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P5"/>
  <sheetViews>
    <sheetView workbookViewId="0">
      <selection activeCell="C4" sqref="C4"/>
    </sheetView>
  </sheetViews>
  <sheetFormatPr baseColWidth="10" defaultColWidth="9.140625" defaultRowHeight="15" x14ac:dyDescent="0.25"/>
  <cols>
    <col min="1" max="2" width="12" bestFit="1" customWidth="1"/>
  </cols>
  <sheetData>
    <row r="1" spans="1:16" x14ac:dyDescent="0.25">
      <c r="A1" t="s">
        <v>19</v>
      </c>
      <c r="B1" s="1">
        <v>1000000</v>
      </c>
      <c r="M1" s="105"/>
      <c r="N1" s="106"/>
      <c r="O1" s="106"/>
      <c r="P1" s="107"/>
    </row>
    <row r="2" spans="1:16" x14ac:dyDescent="0.25">
      <c r="B2" s="31"/>
      <c r="M2" s="108"/>
      <c r="N2" s="104"/>
      <c r="O2" s="104"/>
      <c r="P2" s="109"/>
    </row>
    <row r="3" spans="1:16" x14ac:dyDescent="0.25">
      <c r="A3" t="s">
        <v>41</v>
      </c>
      <c r="B3">
        <v>16.600000000000001</v>
      </c>
      <c r="M3" s="108"/>
      <c r="N3" s="104"/>
      <c r="O3" s="104"/>
      <c r="P3" s="109"/>
    </row>
    <row r="4" spans="1:16" x14ac:dyDescent="0.25">
      <c r="B4" s="93"/>
      <c r="M4" s="108"/>
      <c r="N4" s="104"/>
      <c r="O4" s="104"/>
      <c r="P4" s="109"/>
    </row>
    <row r="5" spans="1:16" ht="15.75" thickBot="1" x14ac:dyDescent="0.3">
      <c r="M5" s="110"/>
      <c r="N5" s="111"/>
      <c r="O5" s="111"/>
      <c r="P5"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r_dump">
                <anchor moveWithCells="1" sizeWithCells="1">
                  <from>
                    <xdr:col>12</xdr:col>
                    <xdr:colOff>381000</xdr:colOff>
                    <xdr:row>1</xdr:row>
                    <xdr:rowOff>0</xdr:rowOff>
                  </from>
                  <to>
                    <xdr:col>15</xdr:col>
                    <xdr:colOff>85725</xdr:colOff>
                    <xdr:row>3</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16</xdr:col>
                    <xdr:colOff>514350</xdr:colOff>
                    <xdr:row>0</xdr:row>
                    <xdr:rowOff>104775</xdr:rowOff>
                  </from>
                  <to>
                    <xdr:col>19</xdr:col>
                    <xdr:colOff>457200</xdr:colOff>
                    <xdr:row>4</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EE10E-7495-41AE-A723-126470A1D59C}">
  <sheetPr codeName="Hoja4"/>
  <dimension ref="A27:A93"/>
  <sheetViews>
    <sheetView workbookViewId="0">
      <selection sqref="A1:K104"/>
    </sheetView>
  </sheetViews>
  <sheetFormatPr baseColWidth="10" defaultColWidth="9.140625" defaultRowHeight="15" x14ac:dyDescent="0.25"/>
  <cols>
    <col min="1" max="1" width="43.140625" bestFit="1" customWidth="1"/>
    <col min="12" max="12" width="12" bestFit="1" customWidth="1"/>
  </cols>
  <sheetData>
    <row r="27" s="80" customFormat="1" x14ac:dyDescent="0.25"/>
    <row r="65" s="80" customFormat="1" x14ac:dyDescent="0.25"/>
    <row r="93" s="80" customFormat="1"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50652-9312-4958-804D-0A571A73AC46}">
  <sheetPr codeName="Hoja5"/>
  <dimension ref="A1:AL104"/>
  <sheetViews>
    <sheetView tabSelected="1" workbookViewId="0">
      <selection activeCell="L13" sqref="L13"/>
    </sheetView>
  </sheetViews>
  <sheetFormatPr baseColWidth="10" defaultColWidth="9.140625" defaultRowHeight="15" x14ac:dyDescent="0.25"/>
  <cols>
    <col min="1" max="1" width="43.140625" bestFit="1" customWidth="1"/>
    <col min="2" max="9" width="11" bestFit="1" customWidth="1"/>
    <col min="10" max="10" width="11.7109375" bestFit="1" customWidth="1"/>
    <col min="11" max="12" width="12" bestFit="1" customWidth="1"/>
    <col min="13" max="13" width="12.140625" bestFit="1" customWidth="1"/>
    <col min="14" max="14" width="12" bestFit="1" customWidth="1"/>
    <col min="15" max="33" width="12.7109375" bestFit="1" customWidth="1"/>
    <col min="34" max="34" width="12" bestFit="1" customWidth="1"/>
    <col min="35" max="37" width="12.7109375" bestFit="1" customWidth="1"/>
  </cols>
  <sheetData>
    <row r="1" spans="1:38" x14ac:dyDescent="0.25">
      <c r="A1" s="44" t="s">
        <v>217</v>
      </c>
      <c r="B1" s="45">
        <v>2012</v>
      </c>
      <c r="C1" s="45">
        <v>2013</v>
      </c>
      <c r="D1" s="45">
        <v>2014</v>
      </c>
      <c r="E1" s="45">
        <v>2015</v>
      </c>
      <c r="F1" s="45">
        <v>2016</v>
      </c>
      <c r="G1" s="45">
        <v>2017</v>
      </c>
      <c r="H1" s="45">
        <v>2018</v>
      </c>
      <c r="I1" s="45">
        <v>2019</v>
      </c>
      <c r="J1" s="45">
        <v>2020</v>
      </c>
      <c r="K1" s="45">
        <v>2021</v>
      </c>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row>
    <row r="2" spans="1:38" x14ac:dyDescent="0.25">
      <c r="A2" s="45" t="s">
        <v>131</v>
      </c>
      <c r="B2" s="45" t="s">
        <v>0</v>
      </c>
      <c r="C2" s="45" t="s">
        <v>0</v>
      </c>
      <c r="D2" s="45" t="s">
        <v>0</v>
      </c>
      <c r="E2" s="45" t="s">
        <v>0</v>
      </c>
      <c r="F2" s="45" t="s">
        <v>0</v>
      </c>
      <c r="G2" s="45" t="s">
        <v>0</v>
      </c>
      <c r="H2" s="45" t="s">
        <v>0</v>
      </c>
      <c r="I2" s="45" t="s">
        <v>0</v>
      </c>
      <c r="J2" s="45" t="s">
        <v>0</v>
      </c>
      <c r="K2" s="45" t="s">
        <v>0</v>
      </c>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row>
    <row r="3" spans="1:38" x14ac:dyDescent="0.25">
      <c r="A3" s="45" t="s">
        <v>1</v>
      </c>
      <c r="B3" s="45">
        <v>31273941</v>
      </c>
      <c r="C3" s="45">
        <v>38770283</v>
      </c>
      <c r="D3" s="45">
        <v>48531553</v>
      </c>
      <c r="E3" s="45">
        <v>76359000</v>
      </c>
      <c r="F3" s="45">
        <v>115461000</v>
      </c>
      <c r="G3" s="45">
        <v>178385000</v>
      </c>
      <c r="H3" s="45">
        <v>245418000</v>
      </c>
      <c r="I3" s="45">
        <v>365752000</v>
      </c>
      <c r="J3" s="45">
        <v>561134000</v>
      </c>
      <c r="K3" s="45">
        <v>1068777000</v>
      </c>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row>
    <row r="4" spans="1:38" x14ac:dyDescent="0.25">
      <c r="A4" s="45" t="s">
        <v>132</v>
      </c>
      <c r="B4" s="45">
        <v>12431481</v>
      </c>
      <c r="C4" s="45">
        <v>16318257</v>
      </c>
      <c r="D4" s="45">
        <v>18683310</v>
      </c>
      <c r="E4" s="45" t="s">
        <v>133</v>
      </c>
      <c r="F4" s="45" t="s">
        <v>133</v>
      </c>
      <c r="G4" s="45" t="s">
        <v>133</v>
      </c>
      <c r="H4" s="45" t="s">
        <v>133</v>
      </c>
      <c r="I4" s="45" t="s">
        <v>133</v>
      </c>
      <c r="J4" s="45" t="s">
        <v>133</v>
      </c>
      <c r="K4" s="45">
        <v>163565000</v>
      </c>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row>
    <row r="5" spans="1:38" x14ac:dyDescent="0.25">
      <c r="A5" s="45" t="s">
        <v>2</v>
      </c>
      <c r="B5" s="45">
        <v>18842460</v>
      </c>
      <c r="C5" s="45">
        <v>22452026</v>
      </c>
      <c r="D5" s="45">
        <v>29848243</v>
      </c>
      <c r="E5" s="45" t="s">
        <v>133</v>
      </c>
      <c r="F5" s="45" t="s">
        <v>133</v>
      </c>
      <c r="G5" s="45" t="s">
        <v>133</v>
      </c>
      <c r="H5" s="45" t="s">
        <v>133</v>
      </c>
      <c r="I5" s="45" t="s">
        <v>133</v>
      </c>
      <c r="J5" s="45" t="s">
        <v>133</v>
      </c>
      <c r="K5" s="45">
        <v>905212000</v>
      </c>
      <c r="L5" s="45"/>
      <c r="M5" s="45"/>
      <c r="N5" s="45"/>
      <c r="O5" s="45"/>
      <c r="P5" s="45"/>
      <c r="Q5" s="45"/>
      <c r="R5" s="45"/>
      <c r="S5" s="45"/>
      <c r="T5" s="45"/>
      <c r="U5" s="45"/>
      <c r="V5" s="45"/>
      <c r="W5" s="45"/>
      <c r="X5" s="45"/>
      <c r="Y5" s="45"/>
      <c r="Z5" s="45"/>
      <c r="AA5" s="45"/>
      <c r="AB5" s="45"/>
      <c r="AC5" s="45"/>
      <c r="AD5" s="45"/>
      <c r="AE5" s="45"/>
      <c r="AF5" s="45"/>
      <c r="AG5" s="45"/>
      <c r="AH5" s="45"/>
      <c r="AI5" s="45"/>
      <c r="AJ5" s="45"/>
      <c r="AK5" s="45"/>
      <c r="AL5" s="45"/>
    </row>
    <row r="6" spans="1:38" x14ac:dyDescent="0.25">
      <c r="A6" s="45" t="s">
        <v>134</v>
      </c>
      <c r="B6" s="45">
        <v>0.60250000000000004</v>
      </c>
      <c r="C6" s="45">
        <v>0.57909999999999995</v>
      </c>
      <c r="D6" s="45">
        <v>0.61499999999999999</v>
      </c>
      <c r="E6" s="45" t="s">
        <v>133</v>
      </c>
      <c r="F6" s="45" t="s">
        <v>133</v>
      </c>
      <c r="G6" s="45" t="s">
        <v>133</v>
      </c>
      <c r="H6" s="45" t="s">
        <v>133</v>
      </c>
      <c r="I6" s="45" t="s">
        <v>133</v>
      </c>
      <c r="J6" s="45" t="s">
        <v>133</v>
      </c>
      <c r="K6" s="45">
        <v>0.84699999999999998</v>
      </c>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row>
    <row r="7" spans="1:38" x14ac:dyDescent="0.25">
      <c r="A7" s="45" t="s">
        <v>135</v>
      </c>
      <c r="B7" s="45" t="s">
        <v>133</v>
      </c>
      <c r="C7" s="45" t="s">
        <v>133</v>
      </c>
      <c r="D7" s="45" t="s">
        <v>133</v>
      </c>
      <c r="E7" s="45" t="s">
        <v>133</v>
      </c>
      <c r="F7" s="45" t="s">
        <v>133</v>
      </c>
      <c r="G7" s="45" t="s">
        <v>133</v>
      </c>
      <c r="H7" s="45" t="s">
        <v>133</v>
      </c>
      <c r="I7" s="45" t="s">
        <v>133</v>
      </c>
      <c r="J7" s="45" t="s">
        <v>133</v>
      </c>
      <c r="K7" s="45" t="s">
        <v>133</v>
      </c>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row>
    <row r="8" spans="1:38" x14ac:dyDescent="0.25">
      <c r="A8" s="45" t="s">
        <v>136</v>
      </c>
      <c r="B8" s="45" t="s">
        <v>133</v>
      </c>
      <c r="C8" s="45" t="s">
        <v>133</v>
      </c>
      <c r="D8" s="45" t="s">
        <v>133</v>
      </c>
      <c r="E8" s="45" t="s">
        <v>133</v>
      </c>
      <c r="F8" s="45" t="s">
        <v>133</v>
      </c>
      <c r="G8" s="45" t="s">
        <v>133</v>
      </c>
      <c r="H8" s="45" t="s">
        <v>133</v>
      </c>
      <c r="I8" s="45" t="s">
        <v>133</v>
      </c>
      <c r="J8" s="45" t="s">
        <v>133</v>
      </c>
      <c r="K8" s="45" t="s">
        <v>133</v>
      </c>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row>
    <row r="9" spans="1:38" x14ac:dyDescent="0.25">
      <c r="A9" s="45" t="s">
        <v>137</v>
      </c>
      <c r="B9" s="45" t="s">
        <v>133</v>
      </c>
      <c r="C9" s="45" t="s">
        <v>133</v>
      </c>
      <c r="D9" s="45" t="s">
        <v>133</v>
      </c>
      <c r="E9" s="45" t="s">
        <v>133</v>
      </c>
      <c r="F9" s="45" t="s">
        <v>133</v>
      </c>
      <c r="G9" s="45" t="s">
        <v>133</v>
      </c>
      <c r="H9" s="45" t="s">
        <v>133</v>
      </c>
      <c r="I9" s="45" t="s">
        <v>133</v>
      </c>
      <c r="J9" s="45" t="s">
        <v>133</v>
      </c>
      <c r="K9" s="45" t="s">
        <v>133</v>
      </c>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row>
    <row r="10" spans="1:38" x14ac:dyDescent="0.25">
      <c r="A10" s="45" t="s">
        <v>138</v>
      </c>
      <c r="B10" s="45" t="s">
        <v>133</v>
      </c>
      <c r="C10" s="45" t="s">
        <v>133</v>
      </c>
      <c r="D10" s="45" t="s">
        <v>133</v>
      </c>
      <c r="E10" s="45" t="s">
        <v>133</v>
      </c>
      <c r="F10" s="45" t="s">
        <v>133</v>
      </c>
      <c r="G10" s="45" t="s">
        <v>133</v>
      </c>
      <c r="H10" s="45" t="s">
        <v>133</v>
      </c>
      <c r="I10" s="45" t="s">
        <v>133</v>
      </c>
      <c r="J10" s="45" t="s">
        <v>133</v>
      </c>
      <c r="K10" s="45" t="s">
        <v>133</v>
      </c>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row>
    <row r="11" spans="1:38" x14ac:dyDescent="0.25">
      <c r="A11" s="45" t="s">
        <v>139</v>
      </c>
      <c r="B11" s="45">
        <v>9399304</v>
      </c>
      <c r="C11" s="45">
        <v>13821098</v>
      </c>
      <c r="D11" s="45">
        <v>16757058</v>
      </c>
      <c r="E11" s="45">
        <v>55276000</v>
      </c>
      <c r="F11" s="45">
        <v>80597000</v>
      </c>
      <c r="G11" s="45">
        <v>111504000</v>
      </c>
      <c r="H11" s="45">
        <v>155934000</v>
      </c>
      <c r="I11" s="45">
        <v>208280000</v>
      </c>
      <c r="J11" s="45">
        <v>261434000</v>
      </c>
      <c r="K11" s="45">
        <v>251208000</v>
      </c>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row>
    <row r="12" spans="1:38" x14ac:dyDescent="0.25">
      <c r="A12" s="45" t="s">
        <v>140</v>
      </c>
      <c r="B12" s="45">
        <v>9399304</v>
      </c>
      <c r="C12" s="45">
        <v>13821098</v>
      </c>
      <c r="D12" s="45">
        <v>16757058</v>
      </c>
      <c r="E12" s="45">
        <v>55276000</v>
      </c>
      <c r="F12" s="45">
        <v>80597000</v>
      </c>
      <c r="G12" s="45">
        <v>111504000</v>
      </c>
      <c r="H12" s="45">
        <v>155934000</v>
      </c>
      <c r="I12" s="45">
        <v>208280000</v>
      </c>
      <c r="J12" s="45">
        <v>261434000</v>
      </c>
      <c r="K12" s="45">
        <v>251208000</v>
      </c>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row>
    <row r="13" spans="1:38" x14ac:dyDescent="0.25">
      <c r="A13" s="45" t="s">
        <v>141</v>
      </c>
      <c r="B13" s="45">
        <v>21830785</v>
      </c>
      <c r="C13" s="45">
        <v>30139355</v>
      </c>
      <c r="D13" s="45">
        <v>35440368</v>
      </c>
      <c r="E13" s="45">
        <v>55276000</v>
      </c>
      <c r="F13" s="45">
        <v>80597000</v>
      </c>
      <c r="G13" s="45">
        <v>111504000</v>
      </c>
      <c r="H13" s="45">
        <v>155934000</v>
      </c>
      <c r="I13" s="45">
        <v>208280000</v>
      </c>
      <c r="J13" s="45">
        <v>261434000</v>
      </c>
      <c r="K13" s="45">
        <v>414773000</v>
      </c>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row>
    <row r="14" spans="1:38" x14ac:dyDescent="0.25">
      <c r="A14" s="45" t="s">
        <v>142</v>
      </c>
      <c r="B14" s="45">
        <v>5941</v>
      </c>
      <c r="C14" s="45">
        <v>19195</v>
      </c>
      <c r="D14" s="45">
        <v>9541</v>
      </c>
      <c r="E14" s="45">
        <v>6000</v>
      </c>
      <c r="F14" s="45">
        <v>10000</v>
      </c>
      <c r="G14" s="45">
        <v>6000</v>
      </c>
      <c r="H14" s="45">
        <v>13000</v>
      </c>
      <c r="I14" s="45">
        <v>45000</v>
      </c>
      <c r="J14" s="45">
        <v>47000</v>
      </c>
      <c r="K14" s="45">
        <v>230000</v>
      </c>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row>
    <row r="15" spans="1:38" x14ac:dyDescent="0.25">
      <c r="A15" s="45" t="s">
        <v>143</v>
      </c>
      <c r="B15" s="45" t="s">
        <v>133</v>
      </c>
      <c r="C15" s="45" t="s">
        <v>133</v>
      </c>
      <c r="D15" s="45" t="s">
        <v>133</v>
      </c>
      <c r="E15" s="45">
        <v>1000</v>
      </c>
      <c r="F15" s="45">
        <v>227000</v>
      </c>
      <c r="G15" s="45">
        <v>182000</v>
      </c>
      <c r="H15" s="45">
        <v>159000</v>
      </c>
      <c r="I15" s="45">
        <v>218000</v>
      </c>
      <c r="J15" s="45">
        <v>1065000</v>
      </c>
      <c r="K15" s="45">
        <v>2800000</v>
      </c>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row>
    <row r="16" spans="1:38" x14ac:dyDescent="0.25">
      <c r="A16" s="45" t="s">
        <v>144</v>
      </c>
      <c r="B16" s="45">
        <v>1651254</v>
      </c>
      <c r="C16" s="45">
        <v>3467671</v>
      </c>
      <c r="D16" s="45">
        <v>3892846</v>
      </c>
      <c r="E16" s="45">
        <v>5945000</v>
      </c>
      <c r="F16" s="45">
        <v>9760000</v>
      </c>
      <c r="G16" s="45">
        <v>13754000</v>
      </c>
      <c r="H16" s="45">
        <v>18197000</v>
      </c>
      <c r="I16" s="45">
        <v>25476000</v>
      </c>
      <c r="J16" s="45">
        <v>32513000</v>
      </c>
      <c r="K16" s="45">
        <v>80646000</v>
      </c>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row>
    <row r="17" spans="1:38" x14ac:dyDescent="0.25">
      <c r="A17" s="45" t="s">
        <v>3</v>
      </c>
      <c r="B17" s="45">
        <v>11098972</v>
      </c>
      <c r="C17" s="45">
        <v>11344391</v>
      </c>
      <c r="D17" s="45">
        <v>16993368</v>
      </c>
      <c r="E17" s="45">
        <v>27021000</v>
      </c>
      <c r="F17" s="45">
        <v>44617000</v>
      </c>
      <c r="G17" s="45">
        <v>80600000</v>
      </c>
      <c r="H17" s="45">
        <v>107682000</v>
      </c>
      <c r="I17" s="45">
        <v>182966000</v>
      </c>
      <c r="J17" s="45">
        <v>332260000</v>
      </c>
      <c r="K17" s="45">
        <v>730937000</v>
      </c>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row>
    <row r="18" spans="1:38" x14ac:dyDescent="0.25">
      <c r="A18" s="45" t="s">
        <v>145</v>
      </c>
      <c r="B18" s="45">
        <v>0.35489999999999999</v>
      </c>
      <c r="C18" s="45">
        <v>0.29260000000000003</v>
      </c>
      <c r="D18" s="45">
        <v>0.35020000000000001</v>
      </c>
      <c r="E18" s="45">
        <v>0.35389999999999999</v>
      </c>
      <c r="F18" s="45">
        <v>0.38640000000000002</v>
      </c>
      <c r="G18" s="45">
        <v>0.45179999999999998</v>
      </c>
      <c r="H18" s="45">
        <v>0.43880000000000002</v>
      </c>
      <c r="I18" s="45">
        <v>0.50019999999999998</v>
      </c>
      <c r="J18" s="45">
        <v>0.59209999999999996</v>
      </c>
      <c r="K18" s="45">
        <v>0.68389999999999995</v>
      </c>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row>
    <row r="19" spans="1:38" x14ac:dyDescent="0.25">
      <c r="A19" s="45" t="s">
        <v>4</v>
      </c>
      <c r="B19" s="45">
        <v>9443156</v>
      </c>
      <c r="C19" s="45">
        <v>8630928</v>
      </c>
      <c r="D19" s="45">
        <v>13091185</v>
      </c>
      <c r="E19" s="45">
        <v>21083000</v>
      </c>
      <c r="F19" s="45">
        <v>34864000</v>
      </c>
      <c r="G19" s="45">
        <v>66881000</v>
      </c>
      <c r="H19" s="45">
        <v>89484000</v>
      </c>
      <c r="I19" s="45">
        <v>157472000</v>
      </c>
      <c r="J19" s="45">
        <v>299700000</v>
      </c>
      <c r="K19" s="45">
        <v>654004000</v>
      </c>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row>
    <row r="20" spans="1:38" x14ac:dyDescent="0.25">
      <c r="A20" s="45" t="s">
        <v>146</v>
      </c>
      <c r="B20" s="45">
        <v>0.3019</v>
      </c>
      <c r="C20" s="45">
        <v>0.22259999999999999</v>
      </c>
      <c r="D20" s="45">
        <v>0.2697</v>
      </c>
      <c r="E20" s="45">
        <v>0.27610000000000001</v>
      </c>
      <c r="F20" s="45">
        <v>0.30199999999999999</v>
      </c>
      <c r="G20" s="45">
        <v>0.37490000000000001</v>
      </c>
      <c r="H20" s="45">
        <v>0.36459999999999998</v>
      </c>
      <c r="I20" s="45">
        <v>0.43049999999999999</v>
      </c>
      <c r="J20" s="45">
        <v>0.53410000000000002</v>
      </c>
      <c r="K20" s="45">
        <v>0.6119</v>
      </c>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row>
    <row r="21" spans="1:38" x14ac:dyDescent="0.25">
      <c r="A21" s="45" t="s">
        <v>147</v>
      </c>
      <c r="B21" s="45">
        <v>4562</v>
      </c>
      <c r="C21" s="45">
        <v>-754208</v>
      </c>
      <c r="D21" s="45">
        <v>9337</v>
      </c>
      <c r="E21" s="45">
        <v>-7000</v>
      </c>
      <c r="F21" s="45">
        <v>-234000</v>
      </c>
      <c r="G21" s="45">
        <v>-217000</v>
      </c>
      <c r="H21" s="45">
        <v>-158000</v>
      </c>
      <c r="I21" s="45">
        <v>-200000</v>
      </c>
      <c r="J21" s="45">
        <v>-1018000</v>
      </c>
      <c r="K21" s="45">
        <v>-6513000</v>
      </c>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row>
    <row r="22" spans="1:38" x14ac:dyDescent="0.25">
      <c r="A22" s="45" t="s">
        <v>148</v>
      </c>
      <c r="B22" s="45">
        <v>9447718</v>
      </c>
      <c r="C22" s="45">
        <v>7876720</v>
      </c>
      <c r="D22" s="45">
        <v>13100522</v>
      </c>
      <c r="E22" s="45">
        <v>21076000</v>
      </c>
      <c r="F22" s="45">
        <v>34630000</v>
      </c>
      <c r="G22" s="45">
        <v>66664000</v>
      </c>
      <c r="H22" s="45">
        <v>89326000</v>
      </c>
      <c r="I22" s="45">
        <v>157272000</v>
      </c>
      <c r="J22" s="45">
        <v>298682000</v>
      </c>
      <c r="K22" s="45">
        <v>647491000</v>
      </c>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row>
    <row r="23" spans="1:38" x14ac:dyDescent="0.25">
      <c r="A23" s="45" t="s">
        <v>149</v>
      </c>
      <c r="B23" s="45">
        <v>0.30209999999999998</v>
      </c>
      <c r="C23" s="45">
        <v>0.20319999999999999</v>
      </c>
      <c r="D23" s="45">
        <v>0.26989999999999997</v>
      </c>
      <c r="E23" s="45">
        <v>0.27600000000000002</v>
      </c>
      <c r="F23" s="45">
        <v>0.2999</v>
      </c>
      <c r="G23" s="45">
        <v>0.37369999999999998</v>
      </c>
      <c r="H23" s="45">
        <v>0.36399999999999999</v>
      </c>
      <c r="I23" s="45">
        <v>0.43</v>
      </c>
      <c r="J23" s="45">
        <v>0.5323</v>
      </c>
      <c r="K23" s="45">
        <v>0.60580000000000001</v>
      </c>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row>
    <row r="24" spans="1:38" x14ac:dyDescent="0.25">
      <c r="A24" s="45" t="s">
        <v>150</v>
      </c>
      <c r="B24" s="45">
        <v>738721</v>
      </c>
      <c r="C24" s="45">
        <v>708932</v>
      </c>
      <c r="D24" s="45">
        <v>1003137</v>
      </c>
      <c r="E24" s="45">
        <v>1047000</v>
      </c>
      <c r="F24" s="45">
        <v>2890000</v>
      </c>
      <c r="G24" s="45">
        <v>4535000</v>
      </c>
      <c r="H24" s="45">
        <v>5866000</v>
      </c>
      <c r="I24" s="45">
        <v>7546000</v>
      </c>
      <c r="J24" s="45">
        <v>14060000</v>
      </c>
      <c r="K24" s="45">
        <v>42056000</v>
      </c>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row>
    <row r="25" spans="1:38" x14ac:dyDescent="0.25">
      <c r="A25" s="45" t="s">
        <v>5</v>
      </c>
      <c r="B25" s="45">
        <v>8708997</v>
      </c>
      <c r="C25" s="45">
        <v>7167788</v>
      </c>
      <c r="D25" s="45">
        <v>12097385</v>
      </c>
      <c r="E25" s="45">
        <v>20028000</v>
      </c>
      <c r="F25" s="45">
        <v>31740000</v>
      </c>
      <c r="G25" s="45">
        <v>62129000</v>
      </c>
      <c r="H25" s="45">
        <v>83460000</v>
      </c>
      <c r="I25" s="45">
        <v>149726000</v>
      </c>
      <c r="J25" s="45">
        <v>284622000</v>
      </c>
      <c r="K25" s="45">
        <v>605435000</v>
      </c>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row>
    <row r="26" spans="1:38" x14ac:dyDescent="0.25">
      <c r="A26" s="45" t="s">
        <v>151</v>
      </c>
      <c r="B26" s="45">
        <v>0.27850000000000003</v>
      </c>
      <c r="C26" s="45">
        <v>0.18490000000000001</v>
      </c>
      <c r="D26" s="45">
        <v>0.24929999999999999</v>
      </c>
      <c r="E26" s="45">
        <v>0.26229999999999998</v>
      </c>
      <c r="F26" s="45">
        <v>0.27489999999999998</v>
      </c>
      <c r="G26" s="45">
        <v>0.3483</v>
      </c>
      <c r="H26" s="45">
        <v>0.34010000000000001</v>
      </c>
      <c r="I26" s="45">
        <v>0.40939999999999999</v>
      </c>
      <c r="J26" s="45">
        <v>0.50719999999999998</v>
      </c>
      <c r="K26" s="45">
        <v>0.5665</v>
      </c>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row>
    <row r="27" spans="1:38" x14ac:dyDescent="0.25">
      <c r="A27" s="45" t="s">
        <v>6</v>
      </c>
      <c r="B27" s="45">
        <v>0.05</v>
      </c>
      <c r="C27" s="45">
        <v>0.04</v>
      </c>
      <c r="D27" s="45">
        <v>7.0000000000000007E-2</v>
      </c>
      <c r="E27" s="45">
        <v>0.11</v>
      </c>
      <c r="F27" s="45">
        <v>0.18</v>
      </c>
      <c r="G27" s="45">
        <v>0.35</v>
      </c>
      <c r="H27" s="45">
        <v>0.46</v>
      </c>
      <c r="I27" s="45">
        <v>0.83</v>
      </c>
      <c r="J27" s="45">
        <v>1.55</v>
      </c>
      <c r="K27" s="45">
        <v>3.29</v>
      </c>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row>
    <row r="28" spans="1:38" x14ac:dyDescent="0.25">
      <c r="A28" s="45" t="s">
        <v>152</v>
      </c>
      <c r="B28" s="45">
        <v>0.05</v>
      </c>
      <c r="C28" s="45">
        <v>0.04</v>
      </c>
      <c r="D28" s="45">
        <v>7.0000000000000007E-2</v>
      </c>
      <c r="E28" s="45">
        <v>0.11</v>
      </c>
      <c r="F28" s="45">
        <v>0.18</v>
      </c>
      <c r="G28" s="45">
        <v>0.34</v>
      </c>
      <c r="H28" s="45">
        <v>0.46</v>
      </c>
      <c r="I28" s="45">
        <v>0.82</v>
      </c>
      <c r="J28" s="45">
        <v>1.51</v>
      </c>
      <c r="K28" s="45">
        <v>3.2</v>
      </c>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row>
    <row r="29" spans="1:38" x14ac:dyDescent="0.25">
      <c r="A29" s="45" t="s">
        <v>153</v>
      </c>
      <c r="B29" s="45">
        <v>179851885</v>
      </c>
      <c r="C29" s="45">
        <v>179851885</v>
      </c>
      <c r="D29" s="45">
        <v>179851885</v>
      </c>
      <c r="E29" s="45">
        <v>179523070</v>
      </c>
      <c r="F29" s="45">
        <v>179851885</v>
      </c>
      <c r="G29" s="45">
        <v>179851885</v>
      </c>
      <c r="H29" s="45">
        <v>179851885</v>
      </c>
      <c r="I29" s="45">
        <v>180737305</v>
      </c>
      <c r="J29" s="45">
        <v>183927915</v>
      </c>
      <c r="K29" s="45">
        <v>183927915</v>
      </c>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row>
    <row r="30" spans="1:38" x14ac:dyDescent="0.25">
      <c r="A30" s="45" t="s">
        <v>154</v>
      </c>
      <c r="B30" s="45">
        <v>179851885</v>
      </c>
      <c r="C30" s="45">
        <v>179851885</v>
      </c>
      <c r="D30" s="45">
        <v>179851885</v>
      </c>
      <c r="E30" s="45">
        <v>179523070</v>
      </c>
      <c r="F30" s="45">
        <v>180764595</v>
      </c>
      <c r="G30" s="45">
        <v>181685230</v>
      </c>
      <c r="H30" s="45">
        <v>182625245</v>
      </c>
      <c r="I30" s="45">
        <v>183387341</v>
      </c>
      <c r="J30" s="45">
        <v>189021346</v>
      </c>
      <c r="K30" s="45">
        <v>189021346</v>
      </c>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row>
    <row r="31" spans="1:38" x14ac:dyDescent="0.25">
      <c r="A31" s="45" t="s">
        <v>155</v>
      </c>
      <c r="B31" s="45" t="s">
        <v>133</v>
      </c>
      <c r="C31" s="45" t="s">
        <v>133</v>
      </c>
      <c r="D31" s="45" t="s">
        <v>133</v>
      </c>
      <c r="E31" s="45" t="s">
        <v>133</v>
      </c>
      <c r="F31" s="45" t="s">
        <v>133</v>
      </c>
      <c r="G31" s="45" t="s">
        <v>133</v>
      </c>
      <c r="H31" s="45" t="s">
        <v>133</v>
      </c>
      <c r="I31" s="45" t="s">
        <v>133</v>
      </c>
      <c r="J31" s="45" t="s">
        <v>133</v>
      </c>
      <c r="K31" s="45" t="s">
        <v>133</v>
      </c>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row>
    <row r="32" spans="1:38" x14ac:dyDescent="0.25">
      <c r="A32" s="45" t="s">
        <v>156</v>
      </c>
      <c r="B32" s="45" t="s">
        <v>0</v>
      </c>
      <c r="C32" s="45" t="s">
        <v>0</v>
      </c>
      <c r="D32" s="45" t="s">
        <v>0</v>
      </c>
      <c r="E32" s="45" t="s">
        <v>0</v>
      </c>
      <c r="F32" s="45" t="s">
        <v>0</v>
      </c>
      <c r="G32" s="45" t="s">
        <v>0</v>
      </c>
      <c r="H32" s="45" t="s">
        <v>0</v>
      </c>
      <c r="I32" s="45" t="s">
        <v>0</v>
      </c>
      <c r="J32" s="45" t="s">
        <v>0</v>
      </c>
      <c r="K32" s="45" t="s">
        <v>0</v>
      </c>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row>
    <row r="33" spans="1:38" x14ac:dyDescent="0.25">
      <c r="A33" s="45" t="s">
        <v>157</v>
      </c>
      <c r="B33" s="45">
        <v>5287528</v>
      </c>
      <c r="C33" s="45">
        <v>5602174</v>
      </c>
      <c r="D33" s="45">
        <v>8295043</v>
      </c>
      <c r="E33" s="45">
        <v>19930000</v>
      </c>
      <c r="F33" s="45">
        <v>26188000</v>
      </c>
      <c r="G33" s="45">
        <v>49272000</v>
      </c>
      <c r="H33" s="45">
        <v>84951000</v>
      </c>
      <c r="I33" s="45">
        <v>182520000</v>
      </c>
      <c r="J33" s="45">
        <v>221675000</v>
      </c>
      <c r="K33" s="45">
        <v>421432000</v>
      </c>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row>
    <row r="34" spans="1:38" x14ac:dyDescent="0.25">
      <c r="A34" s="45" t="s">
        <v>7</v>
      </c>
      <c r="B34" s="45" t="s">
        <v>133</v>
      </c>
      <c r="C34" s="45" t="s">
        <v>133</v>
      </c>
      <c r="D34" s="45" t="s">
        <v>133</v>
      </c>
      <c r="E34" s="45" t="s">
        <v>133</v>
      </c>
      <c r="F34" s="45" t="s">
        <v>133</v>
      </c>
      <c r="G34" s="45" t="s">
        <v>133</v>
      </c>
      <c r="H34" s="45" t="s">
        <v>133</v>
      </c>
      <c r="I34" s="45" t="s">
        <v>133</v>
      </c>
      <c r="J34" s="45" t="s">
        <v>133</v>
      </c>
      <c r="K34" s="45" t="s">
        <v>133</v>
      </c>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row>
    <row r="35" spans="1:38" x14ac:dyDescent="0.25">
      <c r="A35" s="45" t="s">
        <v>8</v>
      </c>
      <c r="B35" s="45">
        <v>5287528</v>
      </c>
      <c r="C35" s="45">
        <v>5602174</v>
      </c>
      <c r="D35" s="45">
        <v>8295043</v>
      </c>
      <c r="E35" s="45">
        <v>19930000</v>
      </c>
      <c r="F35" s="45">
        <v>26188000</v>
      </c>
      <c r="G35" s="45">
        <v>49272000</v>
      </c>
      <c r="H35" s="45">
        <v>84951000</v>
      </c>
      <c r="I35" s="45">
        <v>182520000</v>
      </c>
      <c r="J35" s="45">
        <v>221675000</v>
      </c>
      <c r="K35" s="45">
        <v>421432000</v>
      </c>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row>
    <row r="36" spans="1:38" x14ac:dyDescent="0.25">
      <c r="A36" s="45" t="s">
        <v>158</v>
      </c>
      <c r="B36" s="45" t="s">
        <v>133</v>
      </c>
      <c r="C36" s="45" t="s">
        <v>133</v>
      </c>
      <c r="D36" s="45" t="s">
        <v>133</v>
      </c>
      <c r="E36" s="45" t="s">
        <v>133</v>
      </c>
      <c r="F36" s="45" t="s">
        <v>133</v>
      </c>
      <c r="G36" s="45" t="s">
        <v>133</v>
      </c>
      <c r="H36" s="45" t="s">
        <v>133</v>
      </c>
      <c r="I36" s="45" t="s">
        <v>133</v>
      </c>
      <c r="J36" s="45" t="s">
        <v>133</v>
      </c>
      <c r="K36" s="45" t="s">
        <v>133</v>
      </c>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row>
    <row r="37" spans="1:38" x14ac:dyDescent="0.25">
      <c r="A37" s="45" t="s">
        <v>159</v>
      </c>
      <c r="B37" s="45" t="s">
        <v>133</v>
      </c>
      <c r="C37" s="45" t="s">
        <v>133</v>
      </c>
      <c r="D37" s="45" t="s">
        <v>133</v>
      </c>
      <c r="E37" s="45" t="s">
        <v>133</v>
      </c>
      <c r="F37" s="45" t="s">
        <v>133</v>
      </c>
      <c r="G37" s="45" t="s">
        <v>133</v>
      </c>
      <c r="H37" s="45">
        <v>845000</v>
      </c>
      <c r="I37" s="45">
        <v>1395000</v>
      </c>
      <c r="J37" s="45">
        <v>1475000</v>
      </c>
      <c r="K37" s="45">
        <v>3524000</v>
      </c>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row>
    <row r="38" spans="1:38" x14ac:dyDescent="0.25">
      <c r="A38" s="45" t="s">
        <v>160</v>
      </c>
      <c r="B38" s="45">
        <v>7011304</v>
      </c>
      <c r="C38" s="45">
        <v>8101414</v>
      </c>
      <c r="D38" s="45">
        <v>12074085</v>
      </c>
      <c r="E38" s="45">
        <v>21369000</v>
      </c>
      <c r="F38" s="45">
        <v>37266000</v>
      </c>
      <c r="G38" s="45">
        <v>69526000</v>
      </c>
      <c r="H38" s="45">
        <v>92766000</v>
      </c>
      <c r="I38" s="45">
        <v>145254000</v>
      </c>
      <c r="J38" s="45">
        <v>276079000</v>
      </c>
      <c r="K38" s="45">
        <v>384456000</v>
      </c>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row>
    <row r="39" spans="1:38" x14ac:dyDescent="0.25">
      <c r="A39" s="45" t="s">
        <v>161</v>
      </c>
      <c r="B39" s="45">
        <v>12298832</v>
      </c>
      <c r="C39" s="45">
        <v>13703588</v>
      </c>
      <c r="D39" s="45">
        <v>20369128</v>
      </c>
      <c r="E39" s="45">
        <v>41299000</v>
      </c>
      <c r="F39" s="45">
        <v>63454000</v>
      </c>
      <c r="G39" s="45">
        <v>118798000</v>
      </c>
      <c r="H39" s="45">
        <v>178562000</v>
      </c>
      <c r="I39" s="45">
        <v>329169000</v>
      </c>
      <c r="J39" s="45">
        <v>499229000</v>
      </c>
      <c r="K39" s="45">
        <v>809412000</v>
      </c>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row>
    <row r="40" spans="1:38" x14ac:dyDescent="0.25">
      <c r="A40" s="45" t="s">
        <v>162</v>
      </c>
      <c r="B40" s="45">
        <v>2702958</v>
      </c>
      <c r="C40" s="45">
        <v>4912023</v>
      </c>
      <c r="D40" s="45">
        <v>4834910</v>
      </c>
      <c r="E40" s="45">
        <v>7343000</v>
      </c>
      <c r="F40" s="45">
        <v>24340000</v>
      </c>
      <c r="G40" s="45">
        <v>29463000</v>
      </c>
      <c r="H40" s="45">
        <v>39619000</v>
      </c>
      <c r="I40" s="45">
        <v>67489000</v>
      </c>
      <c r="J40" s="45">
        <v>106365000</v>
      </c>
      <c r="K40" s="45">
        <v>134467000</v>
      </c>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row>
    <row r="41" spans="1:38" x14ac:dyDescent="0.25">
      <c r="A41" s="45" t="s">
        <v>163</v>
      </c>
      <c r="B41" s="45" t="s">
        <v>133</v>
      </c>
      <c r="C41" s="45" t="s">
        <v>133</v>
      </c>
      <c r="D41" s="45" t="s">
        <v>133</v>
      </c>
      <c r="E41" s="45" t="s">
        <v>133</v>
      </c>
      <c r="F41" s="45" t="s">
        <v>133</v>
      </c>
      <c r="G41" s="45" t="s">
        <v>133</v>
      </c>
      <c r="H41" s="45" t="s">
        <v>133</v>
      </c>
      <c r="I41" s="45">
        <v>12485000</v>
      </c>
      <c r="J41" s="45">
        <v>1834333000</v>
      </c>
      <c r="K41" s="45">
        <v>2188482000</v>
      </c>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row>
    <row r="42" spans="1:38" x14ac:dyDescent="0.25">
      <c r="A42" s="45" t="s">
        <v>164</v>
      </c>
      <c r="B42" s="45">
        <v>3449590</v>
      </c>
      <c r="C42" s="45">
        <v>4398641</v>
      </c>
      <c r="D42" s="45">
        <v>6550092</v>
      </c>
      <c r="E42" s="45">
        <v>10032000</v>
      </c>
      <c r="F42" s="45">
        <v>14452000</v>
      </c>
      <c r="G42" s="45">
        <v>16567000</v>
      </c>
      <c r="H42" s="45">
        <v>21344000</v>
      </c>
      <c r="I42" s="45">
        <v>23743000</v>
      </c>
      <c r="J42" s="45">
        <v>723187000</v>
      </c>
      <c r="K42" s="45">
        <v>757250000</v>
      </c>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row>
    <row r="43" spans="1:38" x14ac:dyDescent="0.25">
      <c r="A43" s="45" t="s">
        <v>164</v>
      </c>
      <c r="B43" s="45">
        <v>3449590</v>
      </c>
      <c r="C43" s="45">
        <v>4398641</v>
      </c>
      <c r="D43" s="45">
        <v>6550092</v>
      </c>
      <c r="E43" s="45">
        <v>10032000</v>
      </c>
      <c r="F43" s="45">
        <v>14452000</v>
      </c>
      <c r="G43" s="45">
        <v>16567000</v>
      </c>
      <c r="H43" s="45">
        <v>21344000</v>
      </c>
      <c r="I43" s="45">
        <v>36228000</v>
      </c>
      <c r="J43" s="45">
        <v>2557520000</v>
      </c>
      <c r="K43" s="45">
        <v>2945732000</v>
      </c>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row>
    <row r="44" spans="1:38" x14ac:dyDescent="0.25">
      <c r="A44" s="45" t="s">
        <v>165</v>
      </c>
      <c r="B44" s="45" t="s">
        <v>133</v>
      </c>
      <c r="C44" s="45" t="s">
        <v>133</v>
      </c>
      <c r="D44" s="45" t="s">
        <v>133</v>
      </c>
      <c r="E44" s="45" t="s">
        <v>133</v>
      </c>
      <c r="F44" s="45" t="s">
        <v>133</v>
      </c>
      <c r="G44" s="45" t="s">
        <v>133</v>
      </c>
      <c r="H44" s="45" t="s">
        <v>133</v>
      </c>
      <c r="I44" s="45" t="s">
        <v>133</v>
      </c>
      <c r="J44" s="45" t="s">
        <v>133</v>
      </c>
      <c r="K44" s="45" t="s">
        <v>133</v>
      </c>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row>
    <row r="45" spans="1:38" x14ac:dyDescent="0.25">
      <c r="A45" s="45" t="s">
        <v>166</v>
      </c>
      <c r="B45" s="45" t="s">
        <v>133</v>
      </c>
      <c r="C45" s="45" t="s">
        <v>133</v>
      </c>
      <c r="D45" s="45" t="s">
        <v>133</v>
      </c>
      <c r="E45" s="45">
        <v>617000</v>
      </c>
      <c r="F45" s="45">
        <v>550000</v>
      </c>
      <c r="G45" s="45">
        <v>78000</v>
      </c>
      <c r="H45" s="45">
        <v>180000</v>
      </c>
      <c r="I45" s="45">
        <v>156000</v>
      </c>
      <c r="J45" s="45">
        <v>2696000</v>
      </c>
      <c r="K45" s="45">
        <v>2360000</v>
      </c>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row>
    <row r="46" spans="1:38" x14ac:dyDescent="0.25">
      <c r="A46" s="45" t="s">
        <v>167</v>
      </c>
      <c r="B46" s="45">
        <v>34312</v>
      </c>
      <c r="C46" s="45">
        <v>49659</v>
      </c>
      <c r="D46" s="45">
        <v>44618</v>
      </c>
      <c r="E46" s="45">
        <v>320000</v>
      </c>
      <c r="F46" s="45">
        <v>522000</v>
      </c>
      <c r="G46" s="45">
        <v>2431000</v>
      </c>
      <c r="H46" s="45">
        <v>952000</v>
      </c>
      <c r="I46" s="45">
        <v>1118000</v>
      </c>
      <c r="J46" s="45">
        <v>3302000</v>
      </c>
      <c r="K46" s="45">
        <v>11096000</v>
      </c>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row>
    <row r="47" spans="1:38" x14ac:dyDescent="0.25">
      <c r="A47" s="45" t="s">
        <v>168</v>
      </c>
      <c r="B47" s="45">
        <v>6186860</v>
      </c>
      <c r="C47" s="45">
        <v>9360323</v>
      </c>
      <c r="D47" s="45">
        <v>11429620</v>
      </c>
      <c r="E47" s="45">
        <v>18312000</v>
      </c>
      <c r="F47" s="45">
        <v>39864000</v>
      </c>
      <c r="G47" s="45">
        <v>48539000</v>
      </c>
      <c r="H47" s="45">
        <v>62095000</v>
      </c>
      <c r="I47" s="45">
        <v>104991000</v>
      </c>
      <c r="J47" s="45">
        <v>2669883000</v>
      </c>
      <c r="K47" s="45">
        <v>3093655000</v>
      </c>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row>
    <row r="48" spans="1:38" x14ac:dyDescent="0.25">
      <c r="A48" s="45" t="s">
        <v>169</v>
      </c>
      <c r="B48" s="45" t="s">
        <v>133</v>
      </c>
      <c r="C48" s="45" t="s">
        <v>133</v>
      </c>
      <c r="D48" s="45" t="s">
        <v>133</v>
      </c>
      <c r="E48" s="45" t="s">
        <v>133</v>
      </c>
      <c r="F48" s="45" t="s">
        <v>133</v>
      </c>
      <c r="G48" s="45" t="s">
        <v>133</v>
      </c>
      <c r="H48" s="45" t="s">
        <v>133</v>
      </c>
      <c r="I48" s="45" t="s">
        <v>133</v>
      </c>
      <c r="J48" s="45" t="s">
        <v>133</v>
      </c>
      <c r="K48" s="45" t="s">
        <v>133</v>
      </c>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row>
    <row r="49" spans="1:38" x14ac:dyDescent="0.25">
      <c r="A49" s="45" t="s">
        <v>170</v>
      </c>
      <c r="B49" s="45">
        <v>18485692</v>
      </c>
      <c r="C49" s="45">
        <v>23063911</v>
      </c>
      <c r="D49" s="45">
        <v>31798748</v>
      </c>
      <c r="E49" s="45">
        <v>59611000</v>
      </c>
      <c r="F49" s="45">
        <v>103318000</v>
      </c>
      <c r="G49" s="45">
        <v>167337000</v>
      </c>
      <c r="H49" s="45">
        <v>240657000</v>
      </c>
      <c r="I49" s="45">
        <v>434160000</v>
      </c>
      <c r="J49" s="45">
        <v>3169112000</v>
      </c>
      <c r="K49" s="45">
        <v>3903067000</v>
      </c>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row>
    <row r="50" spans="1:38" x14ac:dyDescent="0.25">
      <c r="A50" s="45" t="s">
        <v>171</v>
      </c>
      <c r="B50" s="45">
        <v>434771</v>
      </c>
      <c r="C50" s="45">
        <v>754972</v>
      </c>
      <c r="D50" s="45">
        <v>607549</v>
      </c>
      <c r="E50" s="45">
        <v>2293000</v>
      </c>
      <c r="F50" s="45">
        <v>2169000</v>
      </c>
      <c r="G50" s="45">
        <v>3951000</v>
      </c>
      <c r="H50" s="45">
        <v>3190000</v>
      </c>
      <c r="I50" s="45">
        <v>5300000</v>
      </c>
      <c r="J50" s="45">
        <v>15335000</v>
      </c>
      <c r="K50" s="45">
        <v>8578000</v>
      </c>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row>
    <row r="51" spans="1:38" x14ac:dyDescent="0.25">
      <c r="A51" s="45" t="s">
        <v>9</v>
      </c>
      <c r="B51" s="45" t="s">
        <v>133</v>
      </c>
      <c r="C51" s="45" t="s">
        <v>133</v>
      </c>
      <c r="D51" s="45" t="s">
        <v>133</v>
      </c>
      <c r="E51" s="45" t="s">
        <v>133</v>
      </c>
      <c r="F51" s="45">
        <v>1130000</v>
      </c>
      <c r="G51" s="45">
        <v>950000</v>
      </c>
      <c r="H51" s="45">
        <v>950000</v>
      </c>
      <c r="I51" s="45">
        <v>9555000</v>
      </c>
      <c r="J51" s="45">
        <v>11891000</v>
      </c>
      <c r="K51" s="45">
        <v>14639000</v>
      </c>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row>
    <row r="52" spans="1:38" x14ac:dyDescent="0.25">
      <c r="A52" s="45" t="s">
        <v>172</v>
      </c>
      <c r="B52" s="45">
        <v>3306076</v>
      </c>
      <c r="C52" s="45">
        <v>2629451</v>
      </c>
      <c r="D52" s="45">
        <v>4545108</v>
      </c>
      <c r="E52" s="45">
        <v>7227000</v>
      </c>
      <c r="F52" s="45">
        <v>18695000</v>
      </c>
      <c r="G52" s="45">
        <v>31898000</v>
      </c>
      <c r="H52" s="45">
        <v>49939000</v>
      </c>
      <c r="I52" s="45">
        <v>81524000</v>
      </c>
      <c r="J52" s="45">
        <v>164082000</v>
      </c>
      <c r="K52" s="45">
        <v>189053000</v>
      </c>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row>
    <row r="53" spans="1:38" x14ac:dyDescent="0.25">
      <c r="A53" s="45" t="s">
        <v>173</v>
      </c>
      <c r="B53" s="45" t="s">
        <v>133</v>
      </c>
      <c r="C53" s="45" t="s">
        <v>133</v>
      </c>
      <c r="D53" s="45" t="s">
        <v>133</v>
      </c>
      <c r="E53" s="45" t="s">
        <v>133</v>
      </c>
      <c r="F53" s="45" t="s">
        <v>133</v>
      </c>
      <c r="G53" s="45" t="s">
        <v>133</v>
      </c>
      <c r="H53" s="45" t="s">
        <v>133</v>
      </c>
      <c r="I53" s="45" t="s">
        <v>133</v>
      </c>
      <c r="J53" s="45" t="s">
        <v>133</v>
      </c>
      <c r="K53" s="45" t="s">
        <v>133</v>
      </c>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row>
    <row r="54" spans="1:38" x14ac:dyDescent="0.25">
      <c r="A54" s="45" t="s">
        <v>174</v>
      </c>
      <c r="B54" s="45">
        <v>1264255</v>
      </c>
      <c r="C54" s="45">
        <v>5450466</v>
      </c>
      <c r="D54" s="45">
        <v>2738928</v>
      </c>
      <c r="E54" s="45">
        <v>5957000</v>
      </c>
      <c r="F54" s="45">
        <v>9257000</v>
      </c>
      <c r="G54" s="45">
        <v>13399000</v>
      </c>
      <c r="H54" s="45">
        <v>18689000</v>
      </c>
      <c r="I54" s="45">
        <v>41332000</v>
      </c>
      <c r="J54" s="45">
        <v>176889000</v>
      </c>
      <c r="K54" s="45">
        <v>157860000</v>
      </c>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row>
    <row r="55" spans="1:38" x14ac:dyDescent="0.25">
      <c r="A55" s="45" t="s">
        <v>175</v>
      </c>
      <c r="B55" s="45">
        <v>5005102</v>
      </c>
      <c r="C55" s="45">
        <v>8834889</v>
      </c>
      <c r="D55" s="45">
        <v>7891585</v>
      </c>
      <c r="E55" s="45">
        <v>15477000</v>
      </c>
      <c r="F55" s="45">
        <v>31251000</v>
      </c>
      <c r="G55" s="45">
        <v>50198000</v>
      </c>
      <c r="H55" s="45">
        <v>72768000</v>
      </c>
      <c r="I55" s="45">
        <v>137711000</v>
      </c>
      <c r="J55" s="45">
        <v>368197000</v>
      </c>
      <c r="K55" s="45">
        <v>370130000</v>
      </c>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row>
    <row r="56" spans="1:38" x14ac:dyDescent="0.25">
      <c r="A56" s="45" t="s">
        <v>10</v>
      </c>
      <c r="B56" s="45" t="s">
        <v>133</v>
      </c>
      <c r="C56" s="45" t="s">
        <v>133</v>
      </c>
      <c r="D56" s="45" t="s">
        <v>133</v>
      </c>
      <c r="E56" s="45" t="s">
        <v>133</v>
      </c>
      <c r="F56" s="45">
        <v>7441000</v>
      </c>
      <c r="G56" s="45">
        <v>6693000</v>
      </c>
      <c r="H56" s="45">
        <v>5619000</v>
      </c>
      <c r="I56" s="45">
        <v>15483000</v>
      </c>
      <c r="J56" s="45">
        <v>38078000</v>
      </c>
      <c r="K56" s="45">
        <v>53171000</v>
      </c>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row>
    <row r="57" spans="1:38" x14ac:dyDescent="0.25">
      <c r="A57" s="45" t="s">
        <v>173</v>
      </c>
      <c r="B57" s="45" t="s">
        <v>133</v>
      </c>
      <c r="C57" s="45" t="s">
        <v>133</v>
      </c>
      <c r="D57" s="45" t="s">
        <v>133</v>
      </c>
      <c r="E57" s="45" t="s">
        <v>133</v>
      </c>
      <c r="F57" s="45" t="s">
        <v>133</v>
      </c>
      <c r="G57" s="45" t="s">
        <v>133</v>
      </c>
      <c r="H57" s="45" t="s">
        <v>133</v>
      </c>
      <c r="I57" s="45" t="s">
        <v>133</v>
      </c>
      <c r="J57" s="45" t="s">
        <v>133</v>
      </c>
      <c r="K57" s="45" t="s">
        <v>133</v>
      </c>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row>
    <row r="58" spans="1:38" x14ac:dyDescent="0.25">
      <c r="A58" s="45" t="s">
        <v>176</v>
      </c>
      <c r="B58" s="45">
        <v>83119</v>
      </c>
      <c r="C58" s="45">
        <v>174646</v>
      </c>
      <c r="D58" s="45">
        <v>192129</v>
      </c>
      <c r="E58" s="45">
        <v>324000</v>
      </c>
      <c r="F58" s="45">
        <v>729000</v>
      </c>
      <c r="G58" s="45">
        <v>565000</v>
      </c>
      <c r="H58" s="45" t="s">
        <v>133</v>
      </c>
      <c r="I58" s="45">
        <v>69000</v>
      </c>
      <c r="J58" s="45">
        <v>36666000</v>
      </c>
      <c r="K58" s="45">
        <v>58816000</v>
      </c>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row>
    <row r="59" spans="1:38" x14ac:dyDescent="0.25">
      <c r="A59" s="45" t="s">
        <v>177</v>
      </c>
      <c r="B59" s="45" t="s">
        <v>133</v>
      </c>
      <c r="C59" s="45" t="s">
        <v>133</v>
      </c>
      <c r="D59" s="45" t="s">
        <v>133</v>
      </c>
      <c r="E59" s="45" t="s">
        <v>133</v>
      </c>
      <c r="F59" s="45">
        <v>1000</v>
      </c>
      <c r="G59" s="45" t="s">
        <v>133</v>
      </c>
      <c r="H59" s="45" t="s">
        <v>133</v>
      </c>
      <c r="I59" s="45" t="s">
        <v>133</v>
      </c>
      <c r="J59" s="45" t="s">
        <v>133</v>
      </c>
      <c r="K59" s="45">
        <v>230000000</v>
      </c>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row>
    <row r="60" spans="1:38" x14ac:dyDescent="0.25">
      <c r="A60" s="45" t="s">
        <v>178</v>
      </c>
      <c r="B60" s="45">
        <v>83119</v>
      </c>
      <c r="C60" s="45">
        <v>174646</v>
      </c>
      <c r="D60" s="45">
        <v>192129</v>
      </c>
      <c r="E60" s="45">
        <v>324000</v>
      </c>
      <c r="F60" s="45">
        <v>8171000</v>
      </c>
      <c r="G60" s="45">
        <v>7258000</v>
      </c>
      <c r="H60" s="45">
        <v>5619000</v>
      </c>
      <c r="I60" s="45">
        <v>15552000</v>
      </c>
      <c r="J60" s="45">
        <v>74744000</v>
      </c>
      <c r="K60" s="45">
        <v>341987000</v>
      </c>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x14ac:dyDescent="0.25">
      <c r="A61" s="45" t="s">
        <v>179</v>
      </c>
      <c r="B61" s="45" t="s">
        <v>133</v>
      </c>
      <c r="C61" s="45" t="s">
        <v>133</v>
      </c>
      <c r="D61" s="45" t="s">
        <v>133</v>
      </c>
      <c r="E61" s="45" t="s">
        <v>133</v>
      </c>
      <c r="F61" s="45" t="s">
        <v>133</v>
      </c>
      <c r="G61" s="45" t="s">
        <v>133</v>
      </c>
      <c r="H61" s="45" t="s">
        <v>133</v>
      </c>
      <c r="I61" s="45" t="s">
        <v>133</v>
      </c>
      <c r="J61" s="45" t="s">
        <v>133</v>
      </c>
      <c r="K61" s="45" t="s">
        <v>133</v>
      </c>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1:38" x14ac:dyDescent="0.25">
      <c r="A62" s="45" t="s">
        <v>180</v>
      </c>
      <c r="B62" s="45" t="s">
        <v>133</v>
      </c>
      <c r="C62" s="45" t="s">
        <v>133</v>
      </c>
      <c r="D62" s="45" t="s">
        <v>133</v>
      </c>
      <c r="E62" s="45" t="s">
        <v>133</v>
      </c>
      <c r="F62" s="45" t="s">
        <v>133</v>
      </c>
      <c r="G62" s="45" t="s">
        <v>133</v>
      </c>
      <c r="H62" s="45" t="s">
        <v>133</v>
      </c>
      <c r="I62" s="45">
        <v>19419000</v>
      </c>
      <c r="J62" s="45">
        <v>49969000</v>
      </c>
      <c r="K62" s="45">
        <v>67810000</v>
      </c>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row>
    <row r="63" spans="1:38" x14ac:dyDescent="0.25">
      <c r="A63" s="45" t="s">
        <v>181</v>
      </c>
      <c r="B63" s="45">
        <v>5088221</v>
      </c>
      <c r="C63" s="45">
        <v>9009535</v>
      </c>
      <c r="D63" s="45">
        <v>8083714</v>
      </c>
      <c r="E63" s="45">
        <v>15801000</v>
      </c>
      <c r="F63" s="45">
        <v>39422000</v>
      </c>
      <c r="G63" s="45">
        <v>57456000</v>
      </c>
      <c r="H63" s="45">
        <v>78387000</v>
      </c>
      <c r="I63" s="45">
        <v>153263000</v>
      </c>
      <c r="J63" s="45">
        <v>442941000</v>
      </c>
      <c r="K63" s="45">
        <v>712117000</v>
      </c>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row>
    <row r="64" spans="1:38" x14ac:dyDescent="0.25">
      <c r="A64" s="45" t="s">
        <v>182</v>
      </c>
      <c r="B64" s="45" t="s">
        <v>133</v>
      </c>
      <c r="C64" s="45" t="s">
        <v>133</v>
      </c>
      <c r="D64" s="45" t="s">
        <v>133</v>
      </c>
      <c r="E64" s="45" t="s">
        <v>133</v>
      </c>
      <c r="F64" s="45" t="s">
        <v>133</v>
      </c>
      <c r="G64" s="45" t="s">
        <v>133</v>
      </c>
      <c r="H64" s="45" t="s">
        <v>133</v>
      </c>
      <c r="I64" s="45" t="s">
        <v>133</v>
      </c>
      <c r="J64" s="45" t="s">
        <v>133</v>
      </c>
      <c r="K64" s="45" t="s">
        <v>133</v>
      </c>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row>
    <row r="65" spans="1:38" x14ac:dyDescent="0.25">
      <c r="A65" s="45" t="s">
        <v>183</v>
      </c>
      <c r="B65" s="45">
        <v>2658</v>
      </c>
      <c r="C65" s="45">
        <v>2658</v>
      </c>
      <c r="D65" s="45">
        <v>525540</v>
      </c>
      <c r="E65" s="45">
        <v>540000</v>
      </c>
      <c r="F65" s="45">
        <v>540000</v>
      </c>
      <c r="G65" s="45">
        <v>540000</v>
      </c>
      <c r="H65" s="45">
        <v>540000</v>
      </c>
      <c r="I65" s="45">
        <v>545000</v>
      </c>
      <c r="J65" s="45">
        <v>638000</v>
      </c>
      <c r="K65" s="45">
        <v>647000</v>
      </c>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row>
    <row r="66" spans="1:38" x14ac:dyDescent="0.25">
      <c r="A66" s="45" t="s">
        <v>184</v>
      </c>
      <c r="B66" s="45">
        <v>8634522</v>
      </c>
      <c r="C66" s="45">
        <v>9302310</v>
      </c>
      <c r="D66" s="45">
        <v>18376813</v>
      </c>
      <c r="E66" s="45">
        <v>38405000</v>
      </c>
      <c r="F66" s="45">
        <v>58667000</v>
      </c>
      <c r="G66" s="45">
        <v>104688000</v>
      </c>
      <c r="H66" s="45">
        <v>155971000</v>
      </c>
      <c r="I66" s="45">
        <v>262823000</v>
      </c>
      <c r="J66" s="45">
        <v>462168000</v>
      </c>
      <c r="K66" s="45">
        <v>802967000</v>
      </c>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row>
    <row r="67" spans="1:38" x14ac:dyDescent="0.25">
      <c r="A67" s="45" t="s">
        <v>185</v>
      </c>
      <c r="B67" s="45" t="s">
        <v>133</v>
      </c>
      <c r="C67" s="45" t="s">
        <v>133</v>
      </c>
      <c r="D67" s="45" t="s">
        <v>133</v>
      </c>
      <c r="E67" s="45" t="s">
        <v>133</v>
      </c>
      <c r="F67" s="45" t="s">
        <v>133</v>
      </c>
      <c r="G67" s="45" t="s">
        <v>133</v>
      </c>
      <c r="H67" s="45" t="s">
        <v>133</v>
      </c>
      <c r="I67" s="45" t="s">
        <v>133</v>
      </c>
      <c r="J67" s="45" t="s">
        <v>133</v>
      </c>
      <c r="K67" s="45" t="s">
        <v>133</v>
      </c>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row>
    <row r="68" spans="1:38" x14ac:dyDescent="0.25">
      <c r="A68" s="45" t="s">
        <v>186</v>
      </c>
      <c r="B68" s="45">
        <v>4760294</v>
      </c>
      <c r="C68" s="45">
        <v>4749408</v>
      </c>
      <c r="D68" s="45">
        <v>4812680</v>
      </c>
      <c r="E68" s="45">
        <v>4867000</v>
      </c>
      <c r="F68" s="45">
        <v>4689000</v>
      </c>
      <c r="G68" s="45">
        <v>4653000</v>
      </c>
      <c r="H68" s="45">
        <v>5759000</v>
      </c>
      <c r="I68" s="45">
        <v>17529000</v>
      </c>
      <c r="J68" s="45">
        <v>2263365000</v>
      </c>
      <c r="K68" s="45">
        <v>2387336000</v>
      </c>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row>
    <row r="69" spans="1:38" x14ac:dyDescent="0.25">
      <c r="A69" s="45" t="s">
        <v>187</v>
      </c>
      <c r="B69" s="45">
        <v>13397474</v>
      </c>
      <c r="C69" s="45">
        <v>14054376</v>
      </c>
      <c r="D69" s="45">
        <v>23715033</v>
      </c>
      <c r="E69" s="45">
        <v>43812000</v>
      </c>
      <c r="F69" s="45">
        <v>63896000</v>
      </c>
      <c r="G69" s="45">
        <v>109881000</v>
      </c>
      <c r="H69" s="45">
        <v>162270000</v>
      </c>
      <c r="I69" s="45">
        <v>280897000</v>
      </c>
      <c r="J69" s="45">
        <v>2726171000</v>
      </c>
      <c r="K69" s="45">
        <v>3190950000</v>
      </c>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row>
    <row r="70" spans="1:38" x14ac:dyDescent="0.25">
      <c r="A70" s="45" t="s">
        <v>188</v>
      </c>
      <c r="B70" s="45">
        <v>18485695</v>
      </c>
      <c r="C70" s="45">
        <v>23063911</v>
      </c>
      <c r="D70" s="45">
        <v>31798747</v>
      </c>
      <c r="E70" s="45">
        <v>59613000</v>
      </c>
      <c r="F70" s="45">
        <v>103318000</v>
      </c>
      <c r="G70" s="45">
        <v>167337000</v>
      </c>
      <c r="H70" s="45">
        <v>240657000</v>
      </c>
      <c r="I70" s="45">
        <v>434160000</v>
      </c>
      <c r="J70" s="45">
        <v>3169112000</v>
      </c>
      <c r="K70" s="45">
        <v>3903067000</v>
      </c>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row>
    <row r="71" spans="1:38" x14ac:dyDescent="0.25">
      <c r="A71" s="45" t="s">
        <v>189</v>
      </c>
      <c r="B71" s="45">
        <v>-3</v>
      </c>
      <c r="C71" s="45" t="s">
        <v>133</v>
      </c>
      <c r="D71" s="45">
        <v>1</v>
      </c>
      <c r="E71" s="45">
        <v>-2000</v>
      </c>
      <c r="F71" s="45" t="s">
        <v>133</v>
      </c>
      <c r="G71" s="45" t="s">
        <v>133</v>
      </c>
      <c r="H71" s="45" t="s">
        <v>133</v>
      </c>
      <c r="I71" s="45" t="s">
        <v>133</v>
      </c>
      <c r="J71" s="45" t="s">
        <v>133</v>
      </c>
      <c r="K71" s="45" t="s">
        <v>133</v>
      </c>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row>
    <row r="72" spans="1:38" x14ac:dyDescent="0.25">
      <c r="A72" s="45" t="s">
        <v>190</v>
      </c>
      <c r="B72" s="45">
        <v>18485692</v>
      </c>
      <c r="C72" s="45">
        <v>23063911</v>
      </c>
      <c r="D72" s="45">
        <v>31798748</v>
      </c>
      <c r="E72" s="45">
        <v>59611000</v>
      </c>
      <c r="F72" s="45">
        <v>103318000</v>
      </c>
      <c r="G72" s="45">
        <v>167337000</v>
      </c>
      <c r="H72" s="45">
        <v>240657000</v>
      </c>
      <c r="I72" s="45">
        <v>434160000</v>
      </c>
      <c r="J72" s="45">
        <v>3169112000</v>
      </c>
      <c r="K72" s="45">
        <v>3903067000</v>
      </c>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row>
    <row r="73" spans="1:38" x14ac:dyDescent="0.25">
      <c r="A73" s="45" t="s">
        <v>155</v>
      </c>
      <c r="B73" s="45" t="s">
        <v>133</v>
      </c>
      <c r="C73" s="45" t="s">
        <v>133</v>
      </c>
      <c r="D73" s="45" t="s">
        <v>133</v>
      </c>
      <c r="E73" s="45" t="s">
        <v>133</v>
      </c>
      <c r="F73" s="45" t="s">
        <v>133</v>
      </c>
      <c r="G73" s="45" t="s">
        <v>133</v>
      </c>
      <c r="H73" s="45" t="s">
        <v>133</v>
      </c>
      <c r="I73" s="45" t="s">
        <v>133</v>
      </c>
      <c r="J73" s="45" t="s">
        <v>133</v>
      </c>
      <c r="K73" s="45" t="s">
        <v>133</v>
      </c>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row>
    <row r="74" spans="1:38" x14ac:dyDescent="0.25">
      <c r="A74" s="45" t="s">
        <v>191</v>
      </c>
      <c r="B74" s="45" t="s">
        <v>0</v>
      </c>
      <c r="C74" s="45" t="s">
        <v>0</v>
      </c>
      <c r="D74" s="45" t="s">
        <v>0</v>
      </c>
      <c r="E74" s="45" t="s">
        <v>0</v>
      </c>
      <c r="F74" s="45" t="s">
        <v>0</v>
      </c>
      <c r="G74" s="45" t="s">
        <v>0</v>
      </c>
      <c r="H74" s="45" t="s">
        <v>0</v>
      </c>
      <c r="I74" s="45" t="s">
        <v>0</v>
      </c>
      <c r="J74" s="45" t="s">
        <v>0</v>
      </c>
      <c r="K74" s="45" t="s">
        <v>0</v>
      </c>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row>
    <row r="75" spans="1:38" x14ac:dyDescent="0.25">
      <c r="A75" s="45" t="s">
        <v>5</v>
      </c>
      <c r="B75" s="45">
        <v>8708997</v>
      </c>
      <c r="C75" s="45">
        <v>7167788</v>
      </c>
      <c r="D75" s="45">
        <v>12097385</v>
      </c>
      <c r="E75" s="45">
        <v>20028000</v>
      </c>
      <c r="F75" s="45">
        <v>31740000</v>
      </c>
      <c r="G75" s="45">
        <v>62129000</v>
      </c>
      <c r="H75" s="45">
        <v>83460000</v>
      </c>
      <c r="I75" s="45">
        <v>149726000</v>
      </c>
      <c r="J75" s="45">
        <v>284622000</v>
      </c>
      <c r="K75" s="45">
        <v>605435000</v>
      </c>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row>
    <row r="76" spans="1:38" x14ac:dyDescent="0.25">
      <c r="A76" s="45" t="s">
        <v>144</v>
      </c>
      <c r="B76" s="45">
        <v>1651254</v>
      </c>
      <c r="C76" s="45">
        <v>3467671</v>
      </c>
      <c r="D76" s="45">
        <v>3892846</v>
      </c>
      <c r="E76" s="45">
        <v>5945000</v>
      </c>
      <c r="F76" s="45">
        <v>9760000</v>
      </c>
      <c r="G76" s="45">
        <v>13754000</v>
      </c>
      <c r="H76" s="45">
        <v>18197000</v>
      </c>
      <c r="I76" s="45">
        <v>25476000</v>
      </c>
      <c r="J76" s="45">
        <v>32513000</v>
      </c>
      <c r="K76" s="45">
        <v>80646000</v>
      </c>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row>
    <row r="77" spans="1:38" x14ac:dyDescent="0.25">
      <c r="A77" s="45" t="s">
        <v>192</v>
      </c>
      <c r="B77" s="45" t="s">
        <v>133</v>
      </c>
      <c r="C77" s="45" t="s">
        <v>133</v>
      </c>
      <c r="D77" s="45" t="s">
        <v>133</v>
      </c>
      <c r="E77" s="45" t="s">
        <v>133</v>
      </c>
      <c r="F77" s="45" t="s">
        <v>133</v>
      </c>
      <c r="G77" s="45" t="s">
        <v>133</v>
      </c>
      <c r="H77" s="45" t="s">
        <v>133</v>
      </c>
      <c r="I77" s="45" t="s">
        <v>133</v>
      </c>
      <c r="J77" s="45" t="s">
        <v>133</v>
      </c>
      <c r="K77" s="45" t="s">
        <v>133</v>
      </c>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row>
    <row r="78" spans="1:38" x14ac:dyDescent="0.25">
      <c r="A78" s="45" t="s">
        <v>193</v>
      </c>
      <c r="B78" s="45" t="s">
        <v>133</v>
      </c>
      <c r="C78" s="45" t="s">
        <v>133</v>
      </c>
      <c r="D78" s="45" t="s">
        <v>133</v>
      </c>
      <c r="E78" s="45" t="s">
        <v>133</v>
      </c>
      <c r="F78" s="45" t="s">
        <v>133</v>
      </c>
      <c r="G78" s="45" t="s">
        <v>133</v>
      </c>
      <c r="H78" s="45" t="s">
        <v>133</v>
      </c>
      <c r="I78" s="45" t="s">
        <v>133</v>
      </c>
      <c r="J78" s="45" t="s">
        <v>133</v>
      </c>
      <c r="K78" s="45" t="s">
        <v>133</v>
      </c>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row>
    <row r="79" spans="1:38" x14ac:dyDescent="0.25">
      <c r="A79" s="45" t="s">
        <v>194</v>
      </c>
      <c r="B79" s="45">
        <v>-959000</v>
      </c>
      <c r="C79" s="45">
        <v>26742</v>
      </c>
      <c r="D79" s="45">
        <v>-2051205</v>
      </c>
      <c r="E79" s="45">
        <v>-2082000</v>
      </c>
      <c r="F79" s="45">
        <v>-3835000</v>
      </c>
      <c r="G79" s="45">
        <v>-15039000</v>
      </c>
      <c r="H79" s="45">
        <v>-5136000</v>
      </c>
      <c r="I79" s="45">
        <v>-2863000</v>
      </c>
      <c r="J79" s="45">
        <v>-34893000</v>
      </c>
      <c r="K79" s="45">
        <v>-95283000</v>
      </c>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row>
    <row r="80" spans="1:38" x14ac:dyDescent="0.25">
      <c r="A80" s="45" t="s">
        <v>195</v>
      </c>
      <c r="B80" s="45" t="s">
        <v>133</v>
      </c>
      <c r="C80" s="45" t="s">
        <v>133</v>
      </c>
      <c r="D80" s="45" t="s">
        <v>133</v>
      </c>
      <c r="E80" s="45" t="s">
        <v>133</v>
      </c>
      <c r="F80" s="45" t="s">
        <v>133</v>
      </c>
      <c r="G80" s="45" t="s">
        <v>133</v>
      </c>
      <c r="H80" s="45" t="s">
        <v>133</v>
      </c>
      <c r="I80" s="45" t="s">
        <v>133</v>
      </c>
      <c r="J80" s="45" t="s">
        <v>133</v>
      </c>
      <c r="K80" s="45" t="s">
        <v>133</v>
      </c>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row>
    <row r="81" spans="1:38" x14ac:dyDescent="0.25">
      <c r="A81" s="45" t="s">
        <v>159</v>
      </c>
      <c r="B81" s="45" t="s">
        <v>133</v>
      </c>
      <c r="C81" s="45" t="s">
        <v>133</v>
      </c>
      <c r="D81" s="45" t="s">
        <v>133</v>
      </c>
      <c r="E81" s="45" t="s">
        <v>133</v>
      </c>
      <c r="F81" s="45" t="s">
        <v>133</v>
      </c>
      <c r="G81" s="45" t="s">
        <v>133</v>
      </c>
      <c r="H81" s="45" t="s">
        <v>133</v>
      </c>
      <c r="I81" s="45" t="s">
        <v>133</v>
      </c>
      <c r="J81" s="45" t="s">
        <v>133</v>
      </c>
      <c r="K81" s="45" t="s">
        <v>133</v>
      </c>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row>
    <row r="82" spans="1:38" x14ac:dyDescent="0.25">
      <c r="A82" s="45" t="s">
        <v>171</v>
      </c>
      <c r="B82" s="45" t="s">
        <v>133</v>
      </c>
      <c r="C82" s="45" t="s">
        <v>133</v>
      </c>
      <c r="D82" s="45" t="s">
        <v>133</v>
      </c>
      <c r="E82" s="45" t="s">
        <v>133</v>
      </c>
      <c r="F82" s="45" t="s">
        <v>133</v>
      </c>
      <c r="G82" s="45" t="s">
        <v>133</v>
      </c>
      <c r="H82" s="45" t="s">
        <v>133</v>
      </c>
      <c r="I82" s="45" t="s">
        <v>133</v>
      </c>
      <c r="J82" s="45" t="s">
        <v>133</v>
      </c>
      <c r="K82" s="45" t="s">
        <v>133</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row>
    <row r="83" spans="1:38" x14ac:dyDescent="0.25">
      <c r="A83" s="45" t="s">
        <v>196</v>
      </c>
      <c r="B83" s="45" t="s">
        <v>133</v>
      </c>
      <c r="C83" s="45" t="s">
        <v>133</v>
      </c>
      <c r="D83" s="45" t="s">
        <v>133</v>
      </c>
      <c r="E83" s="45" t="s">
        <v>133</v>
      </c>
      <c r="F83" s="45" t="s">
        <v>133</v>
      </c>
      <c r="G83" s="45" t="s">
        <v>133</v>
      </c>
      <c r="H83" s="45" t="s">
        <v>133</v>
      </c>
      <c r="I83" s="45" t="s">
        <v>133</v>
      </c>
      <c r="J83" s="45" t="s">
        <v>133</v>
      </c>
      <c r="K83" s="45" t="s">
        <v>133</v>
      </c>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row>
    <row r="84" spans="1:38" x14ac:dyDescent="0.25">
      <c r="A84" s="45" t="s">
        <v>197</v>
      </c>
      <c r="B84" s="45">
        <v>401125</v>
      </c>
      <c r="C84" s="45">
        <v>-197120</v>
      </c>
      <c r="D84" s="45">
        <v>279264</v>
      </c>
      <c r="E84" s="45">
        <v>-3000</v>
      </c>
      <c r="F84" s="45">
        <v>2362000</v>
      </c>
      <c r="G84" s="45">
        <v>1640000</v>
      </c>
      <c r="H84" s="45">
        <v>3515000</v>
      </c>
      <c r="I84" s="45">
        <v>3447000</v>
      </c>
      <c r="J84" s="45">
        <v>33809000</v>
      </c>
      <c r="K84" s="45">
        <v>8097000</v>
      </c>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row>
    <row r="85" spans="1:38" x14ac:dyDescent="0.25">
      <c r="A85" s="45" t="s">
        <v>198</v>
      </c>
      <c r="B85" s="45">
        <v>9802376</v>
      </c>
      <c r="C85" s="45">
        <v>10465081</v>
      </c>
      <c r="D85" s="45">
        <v>14218290</v>
      </c>
      <c r="E85" s="45">
        <v>23888000</v>
      </c>
      <c r="F85" s="45">
        <v>40027000</v>
      </c>
      <c r="G85" s="45">
        <v>62484000</v>
      </c>
      <c r="H85" s="45">
        <v>100036000</v>
      </c>
      <c r="I85" s="45">
        <v>175786000</v>
      </c>
      <c r="J85" s="45">
        <v>316051000</v>
      </c>
      <c r="K85" s="45">
        <v>598895000</v>
      </c>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row>
    <row r="86" spans="1:38" x14ac:dyDescent="0.25">
      <c r="A86" s="45" t="s">
        <v>199</v>
      </c>
      <c r="B86" s="45">
        <v>-3932029</v>
      </c>
      <c r="C86" s="45">
        <v>-6625630</v>
      </c>
      <c r="D86" s="45">
        <v>-5967182</v>
      </c>
      <c r="E86" s="45">
        <v>-11936000</v>
      </c>
      <c r="F86" s="45">
        <v>-31182000</v>
      </c>
      <c r="G86" s="45">
        <v>-20949000</v>
      </c>
      <c r="H86" s="45">
        <v>-33130000</v>
      </c>
      <c r="I86" s="45">
        <v>-30108000</v>
      </c>
      <c r="J86" s="45">
        <v>-36886000</v>
      </c>
      <c r="K86" s="45">
        <v>-61592000</v>
      </c>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row>
    <row r="87" spans="1:38" x14ac:dyDescent="0.25">
      <c r="A87" s="45" t="s">
        <v>200</v>
      </c>
      <c r="B87" s="45" t="s">
        <v>133</v>
      </c>
      <c r="C87" s="45" t="s">
        <v>133</v>
      </c>
      <c r="D87" s="45" t="s">
        <v>133</v>
      </c>
      <c r="E87" s="45" t="s">
        <v>133</v>
      </c>
      <c r="F87" s="45" t="s">
        <v>133</v>
      </c>
      <c r="G87" s="45" t="s">
        <v>133</v>
      </c>
      <c r="H87" s="45">
        <v>1480000</v>
      </c>
      <c r="I87" s="45">
        <v>-11812000</v>
      </c>
      <c r="J87" s="45">
        <v>46085000</v>
      </c>
      <c r="K87" s="45">
        <v>-92230000</v>
      </c>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row>
    <row r="88" spans="1:38" x14ac:dyDescent="0.25">
      <c r="A88" s="45" t="s">
        <v>201</v>
      </c>
      <c r="B88" s="45" t="s">
        <v>133</v>
      </c>
      <c r="C88" s="45" t="s">
        <v>133</v>
      </c>
      <c r="D88" s="45" t="s">
        <v>133</v>
      </c>
      <c r="E88" s="45" t="s">
        <v>133</v>
      </c>
      <c r="F88" s="45">
        <v>-202000</v>
      </c>
      <c r="G88" s="45" t="s">
        <v>133</v>
      </c>
      <c r="H88" s="45" t="s">
        <v>133</v>
      </c>
      <c r="I88" s="45" t="s">
        <v>133</v>
      </c>
      <c r="J88" s="45" t="s">
        <v>133</v>
      </c>
      <c r="K88" s="45" t="s">
        <v>133</v>
      </c>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row>
    <row r="89" spans="1:38" x14ac:dyDescent="0.25">
      <c r="A89" s="45" t="s">
        <v>202</v>
      </c>
      <c r="B89" s="45" t="s">
        <v>133</v>
      </c>
      <c r="C89" s="45" t="s">
        <v>133</v>
      </c>
      <c r="D89" s="45" t="s">
        <v>133</v>
      </c>
      <c r="E89" s="45" t="s">
        <v>133</v>
      </c>
      <c r="F89" s="45" t="s">
        <v>133</v>
      </c>
      <c r="G89" s="45" t="s">
        <v>133</v>
      </c>
      <c r="H89" s="45">
        <v>1480000</v>
      </c>
      <c r="I89" s="45" t="s">
        <v>133</v>
      </c>
      <c r="J89" s="45" t="s">
        <v>133</v>
      </c>
      <c r="K89" s="45" t="s">
        <v>133</v>
      </c>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row>
    <row r="90" spans="1:38" x14ac:dyDescent="0.25">
      <c r="A90" s="45" t="s">
        <v>203</v>
      </c>
      <c r="B90" s="45">
        <v>-2164722</v>
      </c>
      <c r="C90" s="45">
        <v>-3243677</v>
      </c>
      <c r="D90" s="45">
        <v>-4252217</v>
      </c>
      <c r="E90" s="45">
        <v>-7156000</v>
      </c>
      <c r="F90" s="45">
        <v>-10209000</v>
      </c>
      <c r="G90" s="45">
        <v>-11996000</v>
      </c>
      <c r="H90" s="45">
        <v>-16742000</v>
      </c>
      <c r="I90" s="45">
        <v>-11762000</v>
      </c>
      <c r="J90" s="45">
        <v>-16013000</v>
      </c>
      <c r="K90" s="45">
        <v>-29415000</v>
      </c>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row>
    <row r="91" spans="1:38" x14ac:dyDescent="0.25">
      <c r="A91" s="45" t="s">
        <v>204</v>
      </c>
      <c r="B91" s="45">
        <v>-3932030</v>
      </c>
      <c r="C91" s="45">
        <v>-6625630</v>
      </c>
      <c r="D91" s="45">
        <v>-5967182</v>
      </c>
      <c r="E91" s="45">
        <v>-11936000</v>
      </c>
      <c r="F91" s="45">
        <v>-31384000</v>
      </c>
      <c r="G91" s="45">
        <v>-22387000</v>
      </c>
      <c r="H91" s="45">
        <v>-31650000</v>
      </c>
      <c r="I91" s="45">
        <v>-42524000</v>
      </c>
      <c r="J91" s="45">
        <v>6821000</v>
      </c>
      <c r="K91" s="45">
        <v>-154952000</v>
      </c>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row>
    <row r="92" spans="1:38" x14ac:dyDescent="0.25">
      <c r="A92" s="45" t="s">
        <v>205</v>
      </c>
      <c r="B92" s="45" t="s">
        <v>133</v>
      </c>
      <c r="C92" s="45" t="s">
        <v>133</v>
      </c>
      <c r="D92" s="45" t="s">
        <v>133</v>
      </c>
      <c r="E92" s="45">
        <v>-276000</v>
      </c>
      <c r="F92" s="45">
        <v>-729000</v>
      </c>
      <c r="G92" s="45">
        <v>-748000</v>
      </c>
      <c r="H92" s="45">
        <v>-1074000</v>
      </c>
      <c r="I92" s="45">
        <v>-950000</v>
      </c>
      <c r="J92" s="45">
        <v>-190351000</v>
      </c>
      <c r="K92" s="45" t="s">
        <v>133</v>
      </c>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row>
    <row r="93" spans="1:38" x14ac:dyDescent="0.25">
      <c r="A93" s="45" t="s">
        <v>206</v>
      </c>
      <c r="B93" s="45">
        <v>-1428</v>
      </c>
      <c r="C93" s="45">
        <v>1428</v>
      </c>
      <c r="D93" s="45" t="s">
        <v>133</v>
      </c>
      <c r="E93" s="45">
        <v>13000</v>
      </c>
      <c r="F93" s="45">
        <v>376000</v>
      </c>
      <c r="G93" s="45" t="s">
        <v>133</v>
      </c>
      <c r="H93" s="45">
        <v>803000</v>
      </c>
      <c r="I93" s="45">
        <v>11568000</v>
      </c>
      <c r="J93" s="45">
        <v>4504000</v>
      </c>
      <c r="K93" s="45">
        <v>32015000</v>
      </c>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row>
    <row r="94" spans="1:38" x14ac:dyDescent="0.25">
      <c r="A94" s="45" t="s">
        <v>207</v>
      </c>
      <c r="B94" s="45" t="s">
        <v>133</v>
      </c>
      <c r="C94" s="45" t="s">
        <v>133</v>
      </c>
      <c r="D94" s="45" t="s">
        <v>133</v>
      </c>
      <c r="E94" s="45" t="s">
        <v>133</v>
      </c>
      <c r="F94" s="45" t="s">
        <v>133</v>
      </c>
      <c r="G94" s="45" t="s">
        <v>133</v>
      </c>
      <c r="H94" s="45" t="s">
        <v>133</v>
      </c>
      <c r="I94" s="45" t="s">
        <v>133</v>
      </c>
      <c r="J94" s="45">
        <v>-12864000</v>
      </c>
      <c r="K94" s="45">
        <v>-123315000</v>
      </c>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row>
    <row r="95" spans="1:38" x14ac:dyDescent="0.25">
      <c r="A95" s="45" t="s">
        <v>208</v>
      </c>
      <c r="B95" s="45">
        <v>-1500000</v>
      </c>
      <c r="C95" s="45">
        <v>-3500000</v>
      </c>
      <c r="D95" s="45">
        <v>-5500000</v>
      </c>
      <c r="E95" s="45" t="s">
        <v>133</v>
      </c>
      <c r="F95" s="45">
        <v>-11510000</v>
      </c>
      <c r="G95" s="45">
        <v>-16187000</v>
      </c>
      <c r="H95" s="45">
        <v>-32373000</v>
      </c>
      <c r="I95" s="45">
        <v>-43164000</v>
      </c>
      <c r="J95" s="45">
        <v>-76140000</v>
      </c>
      <c r="K95" s="45">
        <v>-144382000</v>
      </c>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row>
    <row r="96" spans="1:38" x14ac:dyDescent="0.25">
      <c r="A96" s="45" t="s">
        <v>209</v>
      </c>
      <c r="B96" s="45">
        <v>26274</v>
      </c>
      <c r="C96" s="45">
        <v>-15347</v>
      </c>
      <c r="D96" s="45">
        <v>5038</v>
      </c>
      <c r="E96" s="45">
        <v>1000</v>
      </c>
      <c r="F96" s="45">
        <v>9300000</v>
      </c>
      <c r="G96" s="45" t="s">
        <v>133</v>
      </c>
      <c r="H96" s="45" t="s">
        <v>133</v>
      </c>
      <c r="I96" s="45">
        <v>-3508000</v>
      </c>
      <c r="J96" s="45">
        <v>-5059000</v>
      </c>
      <c r="K96" s="45">
        <v>-12834000</v>
      </c>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row>
    <row r="97" spans="1:38" x14ac:dyDescent="0.25">
      <c r="A97" s="45" t="s">
        <v>210</v>
      </c>
      <c r="B97" s="45">
        <v>-1475154</v>
      </c>
      <c r="C97" s="45">
        <v>-3513919</v>
      </c>
      <c r="D97" s="45">
        <v>-5494962</v>
      </c>
      <c r="E97" s="45">
        <v>-262000</v>
      </c>
      <c r="F97" s="45">
        <v>-2563000</v>
      </c>
      <c r="G97" s="45">
        <v>-16935000</v>
      </c>
      <c r="H97" s="45">
        <v>-32644000</v>
      </c>
      <c r="I97" s="45">
        <v>-36054000</v>
      </c>
      <c r="J97" s="45">
        <v>-279910000</v>
      </c>
      <c r="K97" s="45">
        <v>-248516000</v>
      </c>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row>
    <row r="98" spans="1:38" x14ac:dyDescent="0.25">
      <c r="A98" s="45" t="s">
        <v>211</v>
      </c>
      <c r="B98" s="45">
        <v>13398</v>
      </c>
      <c r="C98" s="45">
        <v>-10886</v>
      </c>
      <c r="D98" s="45">
        <v>-63276</v>
      </c>
      <c r="E98" s="45">
        <v>-55000</v>
      </c>
      <c r="F98" s="45">
        <v>177000</v>
      </c>
      <c r="G98" s="45">
        <v>-78000</v>
      </c>
      <c r="H98" s="45">
        <v>-63000</v>
      </c>
      <c r="I98" s="45">
        <v>361000</v>
      </c>
      <c r="J98" s="45">
        <v>-3807000</v>
      </c>
      <c r="K98" s="45">
        <v>4330000</v>
      </c>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row>
    <row r="99" spans="1:38" x14ac:dyDescent="0.25">
      <c r="A99" s="45" t="s">
        <v>212</v>
      </c>
      <c r="B99" s="45">
        <v>4408591</v>
      </c>
      <c r="C99" s="45">
        <v>314646</v>
      </c>
      <c r="D99" s="45">
        <v>2692870</v>
      </c>
      <c r="E99" s="45">
        <v>11635000</v>
      </c>
      <c r="F99" s="45">
        <v>6258000</v>
      </c>
      <c r="G99" s="45">
        <v>23084000</v>
      </c>
      <c r="H99" s="45">
        <v>35679000</v>
      </c>
      <c r="I99" s="45">
        <v>97569000</v>
      </c>
      <c r="J99" s="45">
        <v>39155000</v>
      </c>
      <c r="K99" s="45">
        <v>199757000</v>
      </c>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row>
    <row r="100" spans="1:38" x14ac:dyDescent="0.25">
      <c r="A100" s="45" t="s">
        <v>213</v>
      </c>
      <c r="B100" s="45">
        <v>5287528</v>
      </c>
      <c r="C100" s="45">
        <v>5602174</v>
      </c>
      <c r="D100" s="45">
        <v>8295044</v>
      </c>
      <c r="E100" s="45">
        <v>19930000</v>
      </c>
      <c r="F100" s="45">
        <v>26188000</v>
      </c>
      <c r="G100" s="45">
        <v>49272000</v>
      </c>
      <c r="H100" s="45">
        <v>84951000</v>
      </c>
      <c r="I100" s="45">
        <v>182520000</v>
      </c>
      <c r="J100" s="45">
        <v>221675000</v>
      </c>
      <c r="K100" s="45">
        <v>421432000</v>
      </c>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row>
    <row r="101" spans="1:38" x14ac:dyDescent="0.25">
      <c r="A101" s="45" t="s">
        <v>214</v>
      </c>
      <c r="B101" s="45">
        <v>878937</v>
      </c>
      <c r="C101" s="45">
        <v>5287528</v>
      </c>
      <c r="D101" s="45">
        <v>5602174</v>
      </c>
      <c r="E101" s="45">
        <v>8295000</v>
      </c>
      <c r="F101" s="45">
        <v>19930000</v>
      </c>
      <c r="G101" s="45">
        <v>26188000</v>
      </c>
      <c r="H101" s="45">
        <v>49272000</v>
      </c>
      <c r="I101" s="45">
        <v>84951000</v>
      </c>
      <c r="J101" s="45">
        <v>182520000</v>
      </c>
      <c r="K101" s="45">
        <v>221675000</v>
      </c>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row>
    <row r="102" spans="1:38" x14ac:dyDescent="0.25">
      <c r="A102" s="45" t="s">
        <v>11</v>
      </c>
      <c r="B102" s="45">
        <v>5870347</v>
      </c>
      <c r="C102" s="45">
        <v>3839451</v>
      </c>
      <c r="D102" s="45">
        <v>8251108</v>
      </c>
      <c r="E102" s="45">
        <v>11952000</v>
      </c>
      <c r="F102" s="45">
        <v>8845000</v>
      </c>
      <c r="G102" s="45">
        <v>41535000</v>
      </c>
      <c r="H102" s="45">
        <v>66906000</v>
      </c>
      <c r="I102" s="45">
        <v>145678000</v>
      </c>
      <c r="J102" s="45">
        <v>279165000</v>
      </c>
      <c r="K102" s="45">
        <v>537303000</v>
      </c>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row>
    <row r="103" spans="1:38" x14ac:dyDescent="0.25">
      <c r="A103" s="45" t="s">
        <v>155</v>
      </c>
      <c r="B103" s="45" t="s">
        <v>133</v>
      </c>
      <c r="C103" s="45" t="s">
        <v>133</v>
      </c>
      <c r="D103" s="45" t="s">
        <v>133</v>
      </c>
      <c r="E103" s="45" t="s">
        <v>133</v>
      </c>
      <c r="F103" s="45" t="s">
        <v>133</v>
      </c>
      <c r="G103" s="45" t="s">
        <v>133</v>
      </c>
      <c r="H103" s="45" t="s">
        <v>133</v>
      </c>
      <c r="I103" s="45" t="s">
        <v>133</v>
      </c>
      <c r="J103" s="45" t="s">
        <v>133</v>
      </c>
      <c r="K103" s="45" t="s">
        <v>133</v>
      </c>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row>
    <row r="104" spans="1:38" x14ac:dyDescent="0.25">
      <c r="A104" s="45" t="s">
        <v>215</v>
      </c>
      <c r="B104" s="45">
        <v>1.3193999999999999</v>
      </c>
      <c r="C104" s="45">
        <v>1.3745000000000001</v>
      </c>
      <c r="D104" s="45">
        <v>1.2097</v>
      </c>
      <c r="E104" s="45">
        <v>1.0860000000000001</v>
      </c>
      <c r="F104" s="45">
        <v>1.0512999999999999</v>
      </c>
      <c r="G104" s="45">
        <v>1.1996</v>
      </c>
      <c r="H104" s="45">
        <v>1.1469</v>
      </c>
      <c r="I104" s="45">
        <v>1.121</v>
      </c>
      <c r="J104" s="45">
        <v>1.2213000000000001</v>
      </c>
      <c r="K104" s="45">
        <v>1.1368</v>
      </c>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Financials</vt:lpstr>
      <vt:lpstr>Tracking</vt:lpstr>
      <vt:lpstr>Bible</vt:lpstr>
      <vt:lpstr>Options</vt:lpstr>
      <vt:lpstr>Processed</vt:lpstr>
      <vt:lpstr>Dump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2023-01-14T12:24:43Z</dcterms:modified>
</cp:coreProperties>
</file>