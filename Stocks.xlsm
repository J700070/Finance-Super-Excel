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juani\Documents\Coding Projects\Python Projects\Excel_python\Finance-Super-Excel\"/>
    </mc:Choice>
  </mc:AlternateContent>
  <xr:revisionPtr revIDLastSave="0" documentId="13_ncr:1_{B8A6AF8B-FE07-470D-B043-E99D335D294E}" xr6:coauthVersionLast="47" xr6:coauthVersionMax="47" xr10:uidLastSave="{00000000-0000-0000-0000-000000000000}"/>
  <bookViews>
    <workbookView xWindow="-120" yWindow="-120" windowWidth="28110" windowHeight="16440" xr2:uid="{00000000-000D-0000-FFFF-FFFF00000000}"/>
  </bookViews>
  <sheets>
    <sheet name="Financials" sheetId="4" r:id="rId1"/>
    <sheet name="Tracking" sheetId="7" r:id="rId2"/>
    <sheet name="Options" sheetId="5" r:id="rId3"/>
    <sheet name="IncomeStatement" sheetId="10" r:id="rId4"/>
    <sheet name="BalanceSheet" sheetId="11" r:id="rId5"/>
    <sheet name="CashFlow" sheetId="12" r:id="rId6"/>
    <sheet name="Ratios" sheetId="13" r:id="rId7"/>
    <sheet name="Bible" sheetId="6" r:id="rId8"/>
  </sheets>
  <calcPr calcId="191029"/>
  <extLst>
    <ext xmlns:x14="http://schemas.microsoft.com/office/spreadsheetml/2009/9/main" uri="{8193D73E-4604-4355-AFF4-8A2333D13BE4}">
      <x14:definedNames>
        <x14:definedName name="clean_pages">
          <x14:argumentDescriptions count="1">
            <x14:argumentDescription index="0">Positional argument 1</x14:argumentDescription>
          </x14:argumentDescriptions>
        </x14:definedName>
        <x14:definedName name="double_sum">
          <x14:argumentDescriptions count="2">
            <x14:argumentDescription index="0">Positional argument 1</x14:argumentDescription>
            <x14:argumentDescription index="1">Positional argument 2</x14:argumentDescription>
          </x14:argumentDescriptions>
        </x14:definedName>
        <x14:definedName name="printX">
          <x14:argumentDescriptions count="1">
            <x14:argumentDescription index="0">Positional argument 1</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71" i="4" l="1"/>
  <c r="M68" i="4"/>
  <c r="K68" i="4"/>
  <c r="G71" i="4"/>
  <c r="G68" i="4"/>
  <c r="E73" i="4"/>
  <c r="E72" i="4"/>
  <c r="E74" i="4" s="1"/>
  <c r="E70" i="4"/>
  <c r="E69" i="4"/>
  <c r="E68" i="4"/>
  <c r="E67" i="4"/>
  <c r="R37" i="4"/>
  <c r="S37" i="4"/>
  <c r="T37" i="4"/>
  <c r="U37" i="4"/>
  <c r="J82" i="4" a="1"/>
  <c r="F82" i="4" a="1"/>
  <c r="H82" i="4" a="1"/>
  <c r="N82" i="4" a="1"/>
  <c r="K82" i="4" a="1"/>
  <c r="M82" i="4" a="1"/>
  <c r="E82" i="4" a="1"/>
  <c r="G82" i="4" a="1"/>
  <c r="I82" i="4" a="1"/>
  <c r="L82" i="4" a="1"/>
  <c r="J81" i="4" a="1"/>
  <c r="F81" i="4" a="1"/>
  <c r="K81" i="4" a="1"/>
  <c r="N81" i="4" a="1"/>
  <c r="I81" i="4" a="1"/>
  <c r="E81" i="4" a="1"/>
  <c r="M81" i="4" a="1"/>
  <c r="L81" i="4" a="1"/>
  <c r="G81" i="4" a="1"/>
  <c r="H81" i="4" a="1"/>
  <c r="N80" i="4" a="1"/>
  <c r="J80" i="4" a="1"/>
  <c r="F80" i="4" a="1"/>
  <c r="I80" i="4" a="1"/>
  <c r="E80" i="4" a="1"/>
  <c r="M80" i="4" a="1"/>
  <c r="K80" i="4" a="1"/>
  <c r="L80" i="4" a="1"/>
  <c r="H80" i="4" a="1"/>
  <c r="G80" i="4" a="1"/>
  <c r="E79" i="4" a="1"/>
  <c r="F79" i="4" a="1"/>
  <c r="G79" i="4" a="1"/>
  <c r="H79" i="4" a="1"/>
  <c r="I79" i="4" a="1"/>
  <c r="J79" i="4" a="1"/>
  <c r="K79" i="4" a="1"/>
  <c r="L79" i="4" a="1"/>
  <c r="M79" i="4" a="1"/>
  <c r="N79" i="4" a="1"/>
  <c r="E86" i="4" a="1"/>
  <c r="F86" i="4" a="1"/>
  <c r="G86" i="4" a="1"/>
  <c r="H86" i="4" a="1"/>
  <c r="I86" i="4" a="1"/>
  <c r="J86" i="4" a="1"/>
  <c r="K86" i="4" a="1"/>
  <c r="L86" i="4" a="1"/>
  <c r="M86" i="4" a="1"/>
  <c r="N86" i="4" a="1"/>
  <c r="E85" i="4" a="1"/>
  <c r="F85" i="4" a="1"/>
  <c r="G85" i="4" a="1"/>
  <c r="H85" i="4" a="1"/>
  <c r="I85" i="4" a="1"/>
  <c r="J85" i="4" a="1"/>
  <c r="K85" i="4" a="1"/>
  <c r="L85" i="4" a="1"/>
  <c r="M85" i="4" a="1"/>
  <c r="N85" i="4" a="1"/>
  <c r="I56" i="4" a="1"/>
  <c r="M58" i="4" a="1"/>
  <c r="I58" i="4" a="1"/>
  <c r="E58" i="4" a="1"/>
  <c r="F58" i="4" a="1"/>
  <c r="L58" i="4" a="1"/>
  <c r="H58" i="4" a="1"/>
  <c r="J58" i="4" a="1"/>
  <c r="K58" i="4" a="1"/>
  <c r="G58" i="4" a="1"/>
  <c r="N58" i="4" a="1"/>
  <c r="N57" i="4" a="1"/>
  <c r="J57" i="4" a="1"/>
  <c r="F57" i="4" a="1"/>
  <c r="I57" i="4" a="1"/>
  <c r="E57" i="4" a="1"/>
  <c r="H57" i="4" a="1"/>
  <c r="M57" i="4" a="1"/>
  <c r="L57" i="4" a="1"/>
  <c r="K57" i="4" a="1"/>
  <c r="G57" i="4" a="1"/>
  <c r="E56" i="4" a="1"/>
  <c r="F56" i="4" a="1"/>
  <c r="G56" i="4" a="1"/>
  <c r="H56" i="4" a="1"/>
  <c r="J56" i="4" a="1"/>
  <c r="K56" i="4" a="1"/>
  <c r="L56" i="4" a="1"/>
  <c r="M56" i="4" a="1"/>
  <c r="N56" i="4" a="1"/>
  <c r="I40" i="4" a="1"/>
  <c r="J40" i="4" a="1"/>
  <c r="H29" i="4" a="1"/>
  <c r="M28" i="4" a="1"/>
  <c r="K28" i="4" a="1"/>
  <c r="L27" i="4" a="1"/>
  <c r="K39" i="4" a="1"/>
  <c r="L26" i="4" a="1"/>
  <c r="J28" i="4" a="1"/>
  <c r="G26" i="4" a="1"/>
  <c r="K40" i="4" a="1"/>
  <c r="I29" i="4" a="1"/>
  <c r="I28" i="4" a="1"/>
  <c r="J27" i="4" a="1"/>
  <c r="H27" i="4" a="1"/>
  <c r="M39" i="4" a="1"/>
  <c r="N26" i="4" a="1"/>
  <c r="L39" i="4" a="1"/>
  <c r="J39" i="4" a="1"/>
  <c r="E39" i="4" a="1"/>
  <c r="L40" i="4" a="1"/>
  <c r="J29" i="4" a="1"/>
  <c r="E28" i="4" a="1"/>
  <c r="F27" i="4" a="1"/>
  <c r="K27" i="4" a="1"/>
  <c r="K26" i="4" a="1"/>
  <c r="N27" i="4" a="1"/>
  <c r="E40" i="4" a="1"/>
  <c r="M40" i="4" a="1"/>
  <c r="K29" i="4" a="1"/>
  <c r="G28" i="4" a="1"/>
  <c r="G27" i="4" a="1"/>
  <c r="N39" i="4" a="1"/>
  <c r="H39" i="4" a="1"/>
  <c r="F26" i="4" a="1"/>
  <c r="N40" i="4" a="1"/>
  <c r="L29" i="4" a="1"/>
  <c r="G39" i="4" a="1"/>
  <c r="F40" i="4" a="1"/>
  <c r="G40" i="4" a="1"/>
  <c r="E29" i="4" a="1"/>
  <c r="M29" i="4" a="1"/>
  <c r="L28" i="4" a="1"/>
  <c r="M27" i="4" a="1"/>
  <c r="F39" i="4" a="1"/>
  <c r="H26" i="4" a="1"/>
  <c r="J26" i="4" a="1"/>
  <c r="M26" i="4" a="1"/>
  <c r="G29" i="4" a="1"/>
  <c r="F28" i="4" a="1"/>
  <c r="E26" i="4" a="1"/>
  <c r="H40" i="4" a="1"/>
  <c r="F29" i="4" a="1"/>
  <c r="N29" i="4" a="1"/>
  <c r="H28" i="4" a="1"/>
  <c r="E27" i="4" a="1"/>
  <c r="I39" i="4" a="1"/>
  <c r="I26" i="4" a="1"/>
  <c r="N28" i="4" a="1"/>
  <c r="I27" i="4" a="1"/>
  <c r="E71" i="4" l="1"/>
  <c r="L82" i="4"/>
  <c r="I82" i="4"/>
  <c r="G82" i="4"/>
  <c r="E82" i="4"/>
  <c r="M82" i="4"/>
  <c r="K82" i="4"/>
  <c r="N82" i="4"/>
  <c r="H82" i="4"/>
  <c r="F82" i="4"/>
  <c r="J82" i="4"/>
  <c r="H81" i="4"/>
  <c r="G81" i="4"/>
  <c r="L81" i="4"/>
  <c r="M81" i="4"/>
  <c r="E81" i="4"/>
  <c r="I81" i="4"/>
  <c r="N81" i="4"/>
  <c r="K81" i="4"/>
  <c r="F81" i="4"/>
  <c r="J81" i="4"/>
  <c r="G80" i="4"/>
  <c r="H80" i="4"/>
  <c r="L80" i="4"/>
  <c r="K80" i="4"/>
  <c r="M80" i="4"/>
  <c r="E80" i="4"/>
  <c r="I80" i="4"/>
  <c r="F80" i="4"/>
  <c r="J80" i="4"/>
  <c r="N80" i="4"/>
  <c r="E75" i="4"/>
  <c r="E76" i="4" s="1"/>
  <c r="E79" i="4"/>
  <c r="F79" i="4"/>
  <c r="G79" i="4"/>
  <c r="H79" i="4"/>
  <c r="I79" i="4"/>
  <c r="J79" i="4"/>
  <c r="K79" i="4"/>
  <c r="L79" i="4"/>
  <c r="M79" i="4"/>
  <c r="N79" i="4"/>
  <c r="E86" i="4"/>
  <c r="F86" i="4"/>
  <c r="G86" i="4"/>
  <c r="H86" i="4"/>
  <c r="I86" i="4"/>
  <c r="J86" i="4"/>
  <c r="K86" i="4"/>
  <c r="L86" i="4"/>
  <c r="M86" i="4"/>
  <c r="N86" i="4"/>
  <c r="E85" i="4"/>
  <c r="F85" i="4"/>
  <c r="G85" i="4"/>
  <c r="H85" i="4"/>
  <c r="I85" i="4"/>
  <c r="J85" i="4"/>
  <c r="K85" i="4"/>
  <c r="L85" i="4"/>
  <c r="M85" i="4"/>
  <c r="N85" i="4"/>
  <c r="I56" i="4"/>
  <c r="N58" i="4"/>
  <c r="G58" i="4"/>
  <c r="K58" i="4"/>
  <c r="J58" i="4"/>
  <c r="H58" i="4"/>
  <c r="L58" i="4"/>
  <c r="F58" i="4"/>
  <c r="E58" i="4"/>
  <c r="I58" i="4"/>
  <c r="M58" i="4"/>
  <c r="G57" i="4"/>
  <c r="K57" i="4"/>
  <c r="L57" i="4"/>
  <c r="M57" i="4"/>
  <c r="H57" i="4"/>
  <c r="E57" i="4"/>
  <c r="I57" i="4"/>
  <c r="F57" i="4"/>
  <c r="J57" i="4"/>
  <c r="N57" i="4"/>
  <c r="E56" i="4"/>
  <c r="F56" i="4"/>
  <c r="G56" i="4"/>
  <c r="H56" i="4"/>
  <c r="J56" i="4"/>
  <c r="K56" i="4"/>
  <c r="L56" i="4"/>
  <c r="M56" i="4"/>
  <c r="N56" i="4"/>
  <c r="E40" i="4"/>
  <c r="F40" i="4"/>
  <c r="G40" i="4"/>
  <c r="H40" i="4"/>
  <c r="I40" i="4"/>
  <c r="J40" i="4"/>
  <c r="K40" i="4"/>
  <c r="L40" i="4"/>
  <c r="M40" i="4"/>
  <c r="N40" i="4"/>
  <c r="E29" i="4"/>
  <c r="F29" i="4"/>
  <c r="G29" i="4"/>
  <c r="H29" i="4"/>
  <c r="I29" i="4"/>
  <c r="J29" i="4"/>
  <c r="K29" i="4"/>
  <c r="L29" i="4"/>
  <c r="M29" i="4"/>
  <c r="N29" i="4"/>
  <c r="K28" i="4"/>
  <c r="F28" i="4"/>
  <c r="H28" i="4"/>
  <c r="L28" i="4"/>
  <c r="J28" i="4"/>
  <c r="G28" i="4"/>
  <c r="E28" i="4"/>
  <c r="I28" i="4"/>
  <c r="M28" i="4"/>
  <c r="N28" i="4"/>
  <c r="K27" i="4"/>
  <c r="H27" i="4"/>
  <c r="L27" i="4"/>
  <c r="I27" i="4"/>
  <c r="E27" i="4"/>
  <c r="M27" i="4"/>
  <c r="N27" i="4"/>
  <c r="G27" i="4"/>
  <c r="F27" i="4"/>
  <c r="J27" i="4"/>
  <c r="G39" i="4"/>
  <c r="H39" i="4"/>
  <c r="L39" i="4"/>
  <c r="M39" i="4"/>
  <c r="K39" i="4"/>
  <c r="E39" i="4"/>
  <c r="I39" i="4"/>
  <c r="F39" i="4"/>
  <c r="J39" i="4"/>
  <c r="N39" i="4"/>
  <c r="M26" i="4"/>
  <c r="J26" i="4"/>
  <c r="G26" i="4"/>
  <c r="F26" i="4"/>
  <c r="K26" i="4"/>
  <c r="N26" i="4"/>
  <c r="L26" i="4"/>
  <c r="E26" i="4"/>
  <c r="I26" i="4"/>
  <c r="H26" i="4"/>
  <c r="R27" i="4" l="1"/>
  <c r="T27" i="4"/>
  <c r="U57" i="4"/>
  <c r="T57" i="4"/>
  <c r="S57" i="4"/>
  <c r="R57" i="4"/>
  <c r="T58" i="4"/>
  <c r="U58" i="4"/>
  <c r="S58" i="4"/>
  <c r="R58" i="4"/>
  <c r="R39" i="4"/>
  <c r="S39" i="4"/>
  <c r="T39" i="4"/>
  <c r="U39" i="4"/>
  <c r="S40" i="4"/>
  <c r="T40" i="4"/>
  <c r="R40" i="4"/>
  <c r="U40" i="4"/>
  <c r="U29" i="4"/>
  <c r="T29" i="4"/>
  <c r="R29" i="4"/>
  <c r="S29" i="4"/>
  <c r="R26" i="4"/>
  <c r="U26" i="4"/>
  <c r="S26" i="4"/>
  <c r="T26" i="4"/>
  <c r="R28" i="4"/>
  <c r="U28" i="4"/>
  <c r="S28" i="4"/>
  <c r="T28" i="4"/>
  <c r="U27" i="4"/>
  <c r="S27" i="4"/>
  <c r="D34" i="7"/>
  <c r="H20" i="4" a="1"/>
  <c r="F38" i="4" a="1"/>
  <c r="K38" i="4" a="1"/>
  <c r="I20" i="4" a="1"/>
  <c r="G38" i="4" a="1"/>
  <c r="L25" i="4" a="1"/>
  <c r="J22" i="4" a="1"/>
  <c r="I22" i="4" a="1"/>
  <c r="K23" i="4" a="1"/>
  <c r="F25" i="4" a="1"/>
  <c r="I25" i="4" a="1"/>
  <c r="G22" i="4" a="1"/>
  <c r="F22" i="4" a="1"/>
  <c r="L24" i="4" a="1"/>
  <c r="N23" i="4" a="1"/>
  <c r="H21" i="4" a="1"/>
  <c r="K20" i="4" a="1"/>
  <c r="I38" i="4" a="1"/>
  <c r="N24" i="4" a="1"/>
  <c r="K21" i="4" a="1"/>
  <c r="L22" i="4" a="1"/>
  <c r="E22" i="4" a="1"/>
  <c r="H24" i="4" a="1"/>
  <c r="K24" i="4" a="1"/>
  <c r="L20" i="4" a="1"/>
  <c r="H38" i="4" a="1"/>
  <c r="J24" i="4" a="1"/>
  <c r="G21" i="4" a="1"/>
  <c r="G24" i="4" a="1"/>
  <c r="M23" i="4" a="1"/>
  <c r="E20" i="4" a="1"/>
  <c r="M20" i="4" a="1"/>
  <c r="M38" i="4" a="1"/>
  <c r="H22" i="4" a="1"/>
  <c r="F20" i="4" a="1"/>
  <c r="N20" i="4" a="1"/>
  <c r="E38" i="4" a="1"/>
  <c r="L23" i="4" a="1"/>
  <c r="G25" i="4" a="1"/>
  <c r="K25" i="4" a="1"/>
  <c r="E21" i="4" a="1"/>
  <c r="F23" i="4" a="1"/>
  <c r="I23" i="4" a="1"/>
  <c r="M21" i="4" a="1"/>
  <c r="N22" i="4" a="1"/>
  <c r="I24" i="4" a="1"/>
  <c r="J25" i="4" a="1"/>
  <c r="M25" i="4" a="1"/>
  <c r="H25" i="4" a="1"/>
  <c r="M22" i="4" a="1"/>
  <c r="N21" i="4" a="1"/>
  <c r="F21" i="4" a="1"/>
  <c r="F24" i="4" a="1"/>
  <c r="J23" i="4" a="1"/>
  <c r="G20" i="4" a="1"/>
  <c r="J38" i="4" a="1"/>
  <c r="L38" i="4" a="1"/>
  <c r="H23" i="4" a="1"/>
  <c r="E24" i="4" a="1"/>
  <c r="M24" i="4" a="1"/>
  <c r="N25" i="4" a="1"/>
  <c r="E23" i="4" a="1"/>
  <c r="G23" i="4" a="1"/>
  <c r="K22" i="4" a="1"/>
  <c r="J20" i="4" a="1"/>
  <c r="N38" i="4" a="1"/>
  <c r="J21" i="4" a="1"/>
  <c r="E25" i="4" a="1"/>
  <c r="I21" i="4" a="1"/>
  <c r="L21" i="4" a="1"/>
  <c r="E20" i="4" l="1"/>
  <c r="E78" i="4" s="1"/>
  <c r="F20" i="4"/>
  <c r="F78" i="4" s="1"/>
  <c r="G20" i="4"/>
  <c r="G78" i="4" s="1"/>
  <c r="H20" i="4"/>
  <c r="H78" i="4" s="1"/>
  <c r="I20" i="4"/>
  <c r="I78" i="4" s="1"/>
  <c r="J20" i="4"/>
  <c r="J78" i="4" s="1"/>
  <c r="K20" i="4"/>
  <c r="K78" i="4" s="1"/>
  <c r="L20" i="4"/>
  <c r="L78" i="4" s="1"/>
  <c r="M20" i="4"/>
  <c r="M78" i="4" s="1"/>
  <c r="N20" i="4"/>
  <c r="N78" i="4" s="1"/>
  <c r="K38" i="4"/>
  <c r="L38" i="4"/>
  <c r="E38" i="4"/>
  <c r="M38" i="4"/>
  <c r="H38" i="4"/>
  <c r="I38" i="4"/>
  <c r="N38" i="4"/>
  <c r="G38" i="4"/>
  <c r="F38" i="4"/>
  <c r="J38" i="4"/>
  <c r="G22" i="4"/>
  <c r="K22" i="4"/>
  <c r="E23" i="4"/>
  <c r="I23" i="4"/>
  <c r="M23" i="4"/>
  <c r="G24" i="4"/>
  <c r="K24" i="4"/>
  <c r="E25" i="4"/>
  <c r="I25" i="4"/>
  <c r="M25" i="4"/>
  <c r="M21" i="4"/>
  <c r="F23" i="4"/>
  <c r="J23" i="4"/>
  <c r="N23" i="4"/>
  <c r="H24" i="4"/>
  <c r="L24" i="4"/>
  <c r="F25" i="4"/>
  <c r="J25" i="4"/>
  <c r="N25" i="4"/>
  <c r="E21" i="4"/>
  <c r="H22" i="4"/>
  <c r="F21" i="4"/>
  <c r="E22" i="4"/>
  <c r="M22" i="4"/>
  <c r="K23" i="4"/>
  <c r="I24" i="4"/>
  <c r="M24" i="4"/>
  <c r="K25" i="4"/>
  <c r="H21" i="4"/>
  <c r="I21" i="4"/>
  <c r="L22" i="4"/>
  <c r="J21" i="4"/>
  <c r="I22" i="4"/>
  <c r="G23" i="4"/>
  <c r="E24" i="4"/>
  <c r="G25" i="4"/>
  <c r="L21" i="4"/>
  <c r="G21" i="4"/>
  <c r="K21" i="4"/>
  <c r="F22" i="4"/>
  <c r="J22" i="4"/>
  <c r="N22" i="4"/>
  <c r="H23" i="4"/>
  <c r="L23" i="4"/>
  <c r="F24" i="4"/>
  <c r="J24" i="4"/>
  <c r="N24" i="4"/>
  <c r="H25" i="4"/>
  <c r="L25" i="4"/>
  <c r="N21" i="4"/>
  <c r="AE16" i="4"/>
  <c r="E28" i="7" a="1"/>
  <c r="E28" i="7" s="1"/>
  <c r="C28" i="7" a="1"/>
  <c r="C28" i="7" s="1"/>
  <c r="A28" i="7" a="1"/>
  <c r="A28" i="7" s="1"/>
  <c r="E3" i="7" a="1"/>
  <c r="E3" i="7" s="1"/>
  <c r="E23" i="7" a="1"/>
  <c r="E23" i="7" s="1"/>
  <c r="C23" i="7" a="1"/>
  <c r="C23" i="7" s="1"/>
  <c r="A23" i="7" a="1"/>
  <c r="A23" i="7" s="1"/>
  <c r="E19" i="7" a="1"/>
  <c r="E19" i="7" s="1"/>
  <c r="C19" i="7" a="1"/>
  <c r="C19" i="7" s="1"/>
  <c r="A19" i="7" a="1"/>
  <c r="A19" i="7" s="1"/>
  <c r="S34" i="7"/>
  <c r="P34" i="7"/>
  <c r="O34" i="7"/>
  <c r="N34" i="7"/>
  <c r="M34" i="7"/>
  <c r="L34" i="7"/>
  <c r="K34" i="7"/>
  <c r="H34" i="7"/>
  <c r="B34" i="7"/>
  <c r="E26" i="7" a="1"/>
  <c r="E26" i="7" s="1"/>
  <c r="C26" i="7" a="1"/>
  <c r="C26" i="7" s="1"/>
  <c r="A26" i="7" a="1"/>
  <c r="A26" i="7" s="1"/>
  <c r="E59" i="4" a="1"/>
  <c r="F59" i="4" a="1"/>
  <c r="G59" i="4" a="1"/>
  <c r="H59" i="4" a="1"/>
  <c r="E60" i="4" a="1"/>
  <c r="F60" i="4" a="1"/>
  <c r="G60" i="4" a="1"/>
  <c r="H60" i="4" a="1"/>
  <c r="I60" i="4" a="1"/>
  <c r="J60" i="4" a="1"/>
  <c r="K60" i="4" a="1"/>
  <c r="L60" i="4" a="1"/>
  <c r="M60" i="4" a="1"/>
  <c r="N60" i="4" a="1"/>
  <c r="G51" i="4"/>
  <c r="E49" i="4"/>
  <c r="K47" i="4"/>
  <c r="H46" i="4" a="1"/>
  <c r="F45" i="4" a="1"/>
  <c r="J46" i="4" a="1"/>
  <c r="N47" i="4"/>
  <c r="L51" i="4"/>
  <c r="E46" i="4" a="1"/>
  <c r="K45" i="4" a="1"/>
  <c r="M51" i="4"/>
  <c r="N46" i="4" a="1"/>
  <c r="F51" i="4"/>
  <c r="M45" i="4" a="1"/>
  <c r="H51" i="4"/>
  <c r="F49" i="4"/>
  <c r="N49" i="4"/>
  <c r="L47" i="4"/>
  <c r="I46" i="4" a="1"/>
  <c r="G45" i="4" a="1"/>
  <c r="F47" i="4"/>
  <c r="K59" i="4" a="1"/>
  <c r="I51" i="4"/>
  <c r="G49" i="4"/>
  <c r="E47" i="4"/>
  <c r="H45" i="4" a="1"/>
  <c r="K46" i="4" a="1"/>
  <c r="I45" i="4" a="1"/>
  <c r="J49" i="4"/>
  <c r="M46" i="4" a="1"/>
  <c r="K49" i="4"/>
  <c r="L45" i="4" a="1"/>
  <c r="L49" i="4"/>
  <c r="G46" i="4" a="1"/>
  <c r="L59" i="4" a="1"/>
  <c r="J51" i="4"/>
  <c r="H49" i="4"/>
  <c r="H47" i="4"/>
  <c r="I47" i="4"/>
  <c r="J47" i="4"/>
  <c r="K51" i="4"/>
  <c r="I49" i="4"/>
  <c r="G47" i="4"/>
  <c r="N45" i="4" a="1"/>
  <c r="L46" i="4" a="1"/>
  <c r="J45" i="4" a="1"/>
  <c r="N59" i="4" a="1"/>
  <c r="E51" i="4"/>
  <c r="F46" i="4" a="1"/>
  <c r="N51" i="4"/>
  <c r="E45" i="4" a="1"/>
  <c r="I59" i="4" a="1"/>
  <c r="J59" i="4" a="1"/>
  <c r="M49" i="4"/>
  <c r="M59" i="4" a="1"/>
  <c r="R49" i="4" l="1"/>
  <c r="S49" i="4"/>
  <c r="U49" i="4"/>
  <c r="T49" i="4"/>
  <c r="E59" i="4"/>
  <c r="F59" i="4"/>
  <c r="G59" i="4"/>
  <c r="H59" i="4"/>
  <c r="E60" i="4"/>
  <c r="F60" i="4"/>
  <c r="G60" i="4"/>
  <c r="H60" i="4"/>
  <c r="I60" i="4"/>
  <c r="J60" i="4"/>
  <c r="K60" i="4"/>
  <c r="L60" i="4"/>
  <c r="M60" i="4"/>
  <c r="N60" i="4"/>
  <c r="I59" i="4"/>
  <c r="J59" i="4"/>
  <c r="K59" i="4"/>
  <c r="L59" i="4"/>
  <c r="M59" i="4"/>
  <c r="N59" i="4"/>
  <c r="U25" i="4"/>
  <c r="T25" i="4"/>
  <c r="R25" i="4"/>
  <c r="S25" i="4"/>
  <c r="U23" i="4"/>
  <c r="T23" i="4"/>
  <c r="R23" i="4"/>
  <c r="S23" i="4"/>
  <c r="R38" i="4"/>
  <c r="U38" i="4"/>
  <c r="S38" i="4"/>
  <c r="T38" i="4"/>
  <c r="R22" i="4"/>
  <c r="S22" i="4"/>
  <c r="T22" i="4"/>
  <c r="U22" i="4"/>
  <c r="R24" i="4"/>
  <c r="S24" i="4"/>
  <c r="U24" i="4"/>
  <c r="T24" i="4"/>
  <c r="N36" i="4"/>
  <c r="N35" i="4"/>
  <c r="K36" i="4"/>
  <c r="K35" i="4"/>
  <c r="G36" i="4"/>
  <c r="G35" i="4"/>
  <c r="N34" i="4"/>
  <c r="I36" i="4"/>
  <c r="I35" i="4"/>
  <c r="J36" i="4"/>
  <c r="J35" i="4"/>
  <c r="H36" i="4"/>
  <c r="H35" i="4"/>
  <c r="L36" i="4"/>
  <c r="L35" i="4"/>
  <c r="F36" i="4"/>
  <c r="F35" i="4"/>
  <c r="M36" i="4"/>
  <c r="M35" i="4"/>
  <c r="E36" i="4"/>
  <c r="E35" i="4"/>
  <c r="M55" i="4"/>
  <c r="N55" i="4"/>
  <c r="E42" i="4"/>
  <c r="E55" i="4"/>
  <c r="F42" i="4"/>
  <c r="F55" i="4"/>
  <c r="G42" i="4"/>
  <c r="G55" i="4"/>
  <c r="H42" i="4"/>
  <c r="H55" i="4"/>
  <c r="I42" i="4"/>
  <c r="I55" i="4"/>
  <c r="J42" i="4"/>
  <c r="J55" i="4"/>
  <c r="K42" i="4"/>
  <c r="K55" i="4"/>
  <c r="L42" i="4"/>
  <c r="L55" i="4"/>
  <c r="M42" i="4"/>
  <c r="N42" i="4"/>
  <c r="N45" i="4"/>
  <c r="E46" i="4"/>
  <c r="F46" i="4"/>
  <c r="G46" i="4"/>
  <c r="H46" i="4"/>
  <c r="I46" i="4"/>
  <c r="J46" i="4"/>
  <c r="K46" i="4"/>
  <c r="L46" i="4"/>
  <c r="M46" i="4"/>
  <c r="N46" i="4"/>
  <c r="M50" i="4"/>
  <c r="E45" i="4"/>
  <c r="E53" i="4"/>
  <c r="F45" i="4"/>
  <c r="F53" i="4"/>
  <c r="G45" i="4"/>
  <c r="G53" i="4"/>
  <c r="H45" i="4"/>
  <c r="H53" i="4"/>
  <c r="I45" i="4"/>
  <c r="I53" i="4"/>
  <c r="J45" i="4"/>
  <c r="J53" i="4"/>
  <c r="K45" i="4"/>
  <c r="K53" i="4"/>
  <c r="L45" i="4"/>
  <c r="L53" i="4"/>
  <c r="M45" i="4"/>
  <c r="M53" i="4"/>
  <c r="N53" i="4"/>
  <c r="H52" i="4"/>
  <c r="F44" i="4"/>
  <c r="L50" i="4"/>
  <c r="E52" i="4"/>
  <c r="M44" i="4"/>
  <c r="H50" i="4"/>
  <c r="F52" i="4"/>
  <c r="G52" i="4"/>
  <c r="I52" i="4"/>
  <c r="J52" i="4"/>
  <c r="K52" i="4"/>
  <c r="N52" i="4"/>
  <c r="L52" i="4"/>
  <c r="M32" i="4"/>
  <c r="M52" i="4"/>
  <c r="E50" i="4"/>
  <c r="G50" i="4"/>
  <c r="F50" i="4"/>
  <c r="K50" i="4"/>
  <c r="I50" i="4"/>
  <c r="J50" i="4"/>
  <c r="N50" i="4"/>
  <c r="E44" i="4"/>
  <c r="E48" i="4"/>
  <c r="F48" i="4"/>
  <c r="H48" i="4"/>
  <c r="G48" i="4"/>
  <c r="I48" i="4"/>
  <c r="L44" i="4"/>
  <c r="J48" i="4"/>
  <c r="K48" i="4"/>
  <c r="L48" i="4"/>
  <c r="M48" i="4"/>
  <c r="N48" i="4"/>
  <c r="G31" i="4"/>
  <c r="H44" i="4"/>
  <c r="I44" i="4"/>
  <c r="G44" i="4"/>
  <c r="J44" i="4"/>
  <c r="K44" i="4"/>
  <c r="N44" i="4"/>
  <c r="N33" i="4"/>
  <c r="E33" i="4"/>
  <c r="E34" i="4"/>
  <c r="J33" i="4"/>
  <c r="J34" i="4"/>
  <c r="L33" i="4"/>
  <c r="L34" i="4"/>
  <c r="F33" i="4"/>
  <c r="F34" i="4"/>
  <c r="K33" i="4"/>
  <c r="K34" i="4"/>
  <c r="G33" i="4"/>
  <c r="G34" i="4"/>
  <c r="M33" i="4"/>
  <c r="M34" i="4"/>
  <c r="I33" i="4"/>
  <c r="I34" i="4"/>
  <c r="H33" i="4"/>
  <c r="H34" i="4"/>
  <c r="K31" i="4"/>
  <c r="L32" i="4"/>
  <c r="N32" i="4"/>
  <c r="I30" i="4"/>
  <c r="J32" i="4"/>
  <c r="F32" i="4"/>
  <c r="M30" i="4"/>
  <c r="I31" i="4"/>
  <c r="E31" i="4"/>
  <c r="K32" i="4"/>
  <c r="H32" i="4"/>
  <c r="G32" i="4"/>
  <c r="I32" i="4"/>
  <c r="E32" i="4"/>
  <c r="H30" i="4"/>
  <c r="F31" i="4"/>
  <c r="J31" i="4"/>
  <c r="H31" i="4"/>
  <c r="L31" i="4"/>
  <c r="E30" i="4"/>
  <c r="M31" i="4"/>
  <c r="N31" i="4"/>
  <c r="F30" i="4"/>
  <c r="G30" i="4"/>
  <c r="J30" i="4"/>
  <c r="K30" i="4"/>
  <c r="L30" i="4"/>
  <c r="N30" i="4"/>
  <c r="G23" i="7"/>
  <c r="G26" i="7"/>
  <c r="G28" i="7"/>
  <c r="G19" i="7"/>
  <c r="E13" i="7" a="1"/>
  <c r="E13" i="7" s="1"/>
  <c r="C13" i="7" a="1"/>
  <c r="C13" i="7" s="1"/>
  <c r="A13" i="7" a="1"/>
  <c r="A13" i="7" s="1"/>
  <c r="E33" i="7" a="1"/>
  <c r="E33" i="7" s="1"/>
  <c r="E9" i="7" a="1"/>
  <c r="E9" i="7" s="1"/>
  <c r="E8" i="7" a="1"/>
  <c r="E8" i="7" s="1"/>
  <c r="C20" i="7" a="1"/>
  <c r="C20" i="7" s="1"/>
  <c r="C5" i="7" a="1"/>
  <c r="C5" i="7" s="1"/>
  <c r="C21" i="7" a="1"/>
  <c r="C21" i="7" s="1"/>
  <c r="C32" i="7" a="1"/>
  <c r="C32" i="7" s="1"/>
  <c r="C30" i="7" a="1"/>
  <c r="C30" i="7" s="1"/>
  <c r="C31" i="7" a="1"/>
  <c r="C31" i="7" s="1"/>
  <c r="C33" i="7" a="1"/>
  <c r="C33" i="7" s="1"/>
  <c r="C4" i="7" a="1"/>
  <c r="C4" i="7" s="1"/>
  <c r="C22" i="7" a="1"/>
  <c r="C22" i="7" s="1"/>
  <c r="C9" i="7" a="1"/>
  <c r="C9" i="7" s="1"/>
  <c r="C11" i="7" a="1"/>
  <c r="C11" i="7" s="1"/>
  <c r="C8" i="7" a="1"/>
  <c r="C8" i="7" s="1"/>
  <c r="C29" i="7" a="1"/>
  <c r="C29" i="7" s="1"/>
  <c r="C27" i="7" a="1"/>
  <c r="C27" i="7" s="1"/>
  <c r="C24" i="7" a="1"/>
  <c r="C24" i="7" s="1"/>
  <c r="A21" i="7" a="1"/>
  <c r="A21" i="7" s="1"/>
  <c r="A32" i="7" a="1"/>
  <c r="A32" i="7" s="1"/>
  <c r="A30" i="7" a="1"/>
  <c r="A30" i="7" s="1"/>
  <c r="A31" i="7" a="1"/>
  <c r="A31" i="7" s="1"/>
  <c r="A33" i="7" a="1"/>
  <c r="A33" i="7" s="1"/>
  <c r="A4" i="7" a="1"/>
  <c r="A4" i="7" s="1"/>
  <c r="A22" i="7" a="1"/>
  <c r="A22" i="7" s="1"/>
  <c r="A9" i="7" a="1"/>
  <c r="A9" i="7" s="1"/>
  <c r="A11" i="7" a="1"/>
  <c r="A11" i="7" s="1"/>
  <c r="A8" i="7" a="1"/>
  <c r="A8" i="7" s="1"/>
  <c r="A29" i="7" a="1"/>
  <c r="A29" i="7" s="1"/>
  <c r="A27" i="7" a="1"/>
  <c r="A27" i="7" s="1"/>
  <c r="A24" i="7" a="1"/>
  <c r="A24" i="7" s="1"/>
  <c r="E4" i="7" a="1"/>
  <c r="E4" i="7" s="1"/>
  <c r="E22" i="7" a="1"/>
  <c r="E22" i="7" s="1"/>
  <c r="E11" i="7" a="1"/>
  <c r="E11" i="7" s="1"/>
  <c r="E29" i="7" a="1"/>
  <c r="E29" i="7" s="1"/>
  <c r="E27" i="7" a="1"/>
  <c r="E27" i="7" s="1"/>
  <c r="E24" i="7" a="1"/>
  <c r="E24" i="7" s="1"/>
  <c r="G17" i="7"/>
  <c r="C25" i="7" a="1"/>
  <c r="C25" i="7" s="1"/>
  <c r="C2" i="7" a="1"/>
  <c r="C2" i="7" s="1"/>
  <c r="C16" i="7" a="1"/>
  <c r="C16" i="7" s="1"/>
  <c r="C14" i="7" a="1"/>
  <c r="C14" i="7" s="1"/>
  <c r="C10" i="7" a="1"/>
  <c r="C10" i="7" s="1"/>
  <c r="C12" i="7" a="1"/>
  <c r="C12" i="7" s="1"/>
  <c r="C18" i="7" a="1"/>
  <c r="C18" i="7" s="1"/>
  <c r="C7" i="7" a="1"/>
  <c r="C7" i="7" s="1"/>
  <c r="C6" i="7" a="1"/>
  <c r="C6" i="7" s="1"/>
  <c r="C15" i="7" a="1"/>
  <c r="C15" i="7" s="1"/>
  <c r="C3" i="7" a="1"/>
  <c r="C3" i="7" s="1"/>
  <c r="E5" i="7" a="1"/>
  <c r="E5" i="7" s="1"/>
  <c r="E30" i="7" a="1"/>
  <c r="E30" i="7" s="1"/>
  <c r="E32" i="7" a="1"/>
  <c r="E32" i="7" s="1"/>
  <c r="E21" i="7" a="1"/>
  <c r="E21" i="7" s="1"/>
  <c r="E31" i="7" a="1"/>
  <c r="E31" i="7" s="1"/>
  <c r="E25" i="7" a="1"/>
  <c r="E25" i="7" s="1"/>
  <c r="E20" i="7" a="1"/>
  <c r="E20" i="7" s="1"/>
  <c r="E2" i="7" a="1"/>
  <c r="E2" i="7" s="1"/>
  <c r="E16" i="7" a="1"/>
  <c r="E16" i="7" s="1"/>
  <c r="E14" i="7" a="1"/>
  <c r="E14" i="7" s="1"/>
  <c r="E10" i="7" a="1"/>
  <c r="E10" i="7" s="1"/>
  <c r="E12" i="7" a="1"/>
  <c r="E12" i="7" s="1"/>
  <c r="E18" i="7" a="1"/>
  <c r="E18" i="7" s="1"/>
  <c r="E7" i="7" a="1"/>
  <c r="E7" i="7" s="1"/>
  <c r="E6" i="7" a="1"/>
  <c r="E6" i="7" s="1"/>
  <c r="E15" i="7" a="1"/>
  <c r="E15" i="7" s="1"/>
  <c r="G3" i="7"/>
  <c r="A7" i="7" a="1"/>
  <c r="A7" i="7" s="1"/>
  <c r="A18" i="7" a="1"/>
  <c r="A18" i="7" s="1"/>
  <c r="A12" i="7" a="1"/>
  <c r="A12" i="7" s="1"/>
  <c r="A10" i="7" a="1"/>
  <c r="A10" i="7" s="1"/>
  <c r="A14" i="7" a="1"/>
  <c r="A14" i="7" s="1"/>
  <c r="A16" i="7" a="1"/>
  <c r="A16" i="7" s="1"/>
  <c r="A2" i="7" a="1"/>
  <c r="A2" i="7" s="1"/>
  <c r="A20" i="7" a="1"/>
  <c r="A20" i="7" s="1"/>
  <c r="A25" i="7" a="1"/>
  <c r="A25" i="7" s="1"/>
  <c r="A5" i="7" a="1"/>
  <c r="A5" i="7" s="1"/>
  <c r="A6" i="7" a="1"/>
  <c r="A6" i="7" s="1"/>
  <c r="A15" i="7" a="1"/>
  <c r="A15" i="7" s="1"/>
  <c r="A3" i="7" a="1"/>
  <c r="A3" i="7" s="1"/>
  <c r="R56" i="4"/>
  <c r="AD4" i="4"/>
  <c r="AD5" i="4" s="1"/>
  <c r="J5" i="4" a="1"/>
  <c r="J5" i="4" s="1"/>
  <c r="I2" i="4" s="1" a="1"/>
  <c r="I2" i="4" s="1"/>
  <c r="K9" i="4" a="1"/>
  <c r="K9" i="4" s="1"/>
  <c r="K8" i="4" a="1"/>
  <c r="K8" i="4" s="1"/>
  <c r="M6" i="4" a="1"/>
  <c r="M6" i="4" s="1"/>
  <c r="L6" i="4" a="1"/>
  <c r="L6" i="4" s="1"/>
  <c r="L2" i="4" a="1"/>
  <c r="L2" i="4" s="1"/>
  <c r="D4" i="4" a="1"/>
  <c r="D4" i="4" s="1"/>
  <c r="U21" i="4"/>
  <c r="T21" i="4"/>
  <c r="S21" i="4"/>
  <c r="R21" i="4"/>
  <c r="U56" i="4"/>
  <c r="T56" i="4"/>
  <c r="S56" i="4"/>
  <c r="U51" i="4"/>
  <c r="T51" i="4"/>
  <c r="S51" i="4"/>
  <c r="R51" i="4"/>
  <c r="U47" i="4"/>
  <c r="T47" i="4"/>
  <c r="S47" i="4"/>
  <c r="U43" i="4"/>
  <c r="T43" i="4"/>
  <c r="S43" i="4"/>
  <c r="R43" i="4"/>
  <c r="M47" i="4"/>
  <c r="S5" i="4" l="1"/>
  <c r="R5" i="4"/>
  <c r="U5" i="4" s="1"/>
  <c r="U60" i="4"/>
  <c r="S60" i="4"/>
  <c r="T60" i="4"/>
  <c r="R60" i="4"/>
  <c r="R47" i="4"/>
  <c r="R59" i="4"/>
  <c r="U33" i="4"/>
  <c r="T33" i="4"/>
  <c r="R33" i="4"/>
  <c r="S33" i="4"/>
  <c r="T35" i="4"/>
  <c r="U35" i="4"/>
  <c r="R35" i="4"/>
  <c r="S35" i="4"/>
  <c r="R36" i="4"/>
  <c r="S36" i="4"/>
  <c r="U36" i="4"/>
  <c r="T36" i="4"/>
  <c r="R32" i="4"/>
  <c r="U32" i="4"/>
  <c r="S32" i="4"/>
  <c r="T32" i="4"/>
  <c r="R30" i="4"/>
  <c r="S30" i="4"/>
  <c r="U30" i="4"/>
  <c r="T30" i="4"/>
  <c r="R34" i="4"/>
  <c r="S34" i="4"/>
  <c r="T34" i="4"/>
  <c r="U34" i="4"/>
  <c r="U31" i="4"/>
  <c r="T31" i="4"/>
  <c r="R31" i="4"/>
  <c r="S31" i="4"/>
  <c r="U46" i="4"/>
  <c r="U52" i="4"/>
  <c r="T46" i="4"/>
  <c r="R46" i="4"/>
  <c r="S46" i="4"/>
  <c r="U45" i="4"/>
  <c r="S53" i="4"/>
  <c r="R53" i="4"/>
  <c r="U53" i="4"/>
  <c r="R45" i="4"/>
  <c r="T53" i="4"/>
  <c r="S45" i="4"/>
  <c r="T45" i="4"/>
  <c r="S52" i="4"/>
  <c r="T52" i="4"/>
  <c r="R52" i="4"/>
  <c r="U50" i="4"/>
  <c r="S50" i="4"/>
  <c r="T50" i="4"/>
  <c r="U48" i="4"/>
  <c r="R50" i="4"/>
  <c r="U44" i="4"/>
  <c r="S48" i="4"/>
  <c r="T48" i="4"/>
  <c r="R48" i="4"/>
  <c r="T44" i="4"/>
  <c r="R44" i="4"/>
  <c r="S44" i="4"/>
  <c r="A19" i="5" a="1"/>
  <c r="A19" i="5" s="1"/>
  <c r="G32" i="7"/>
  <c r="G14" i="7"/>
  <c r="G30" i="7"/>
  <c r="G29" i="7"/>
  <c r="G8" i="7"/>
  <c r="G16" i="7"/>
  <c r="G5" i="7"/>
  <c r="G11" i="7"/>
  <c r="G9" i="7"/>
  <c r="G27" i="7"/>
  <c r="G15" i="7"/>
  <c r="G2" i="7"/>
  <c r="G22" i="7"/>
  <c r="G33" i="7"/>
  <c r="G10" i="7"/>
  <c r="G6" i="7"/>
  <c r="G20" i="7"/>
  <c r="G4" i="7"/>
  <c r="G25" i="7"/>
  <c r="G7" i="7"/>
  <c r="G18" i="7"/>
  <c r="G31" i="7"/>
  <c r="G12" i="7"/>
  <c r="G21" i="7"/>
  <c r="G24" i="7"/>
  <c r="G13" i="7"/>
  <c r="K17" i="4"/>
  <c r="S7" i="4" s="1"/>
  <c r="U7" i="4" s="1"/>
  <c r="U61" i="4"/>
  <c r="S61" i="4"/>
  <c r="R61" i="4"/>
  <c r="T61" i="4"/>
  <c r="U59" i="4"/>
  <c r="S59" i="4"/>
  <c r="T59" i="4"/>
  <c r="AD6" i="4"/>
  <c r="T5" i="4" l="1"/>
  <c r="R7" i="4"/>
  <c r="T7" i="4"/>
  <c r="G34" i="7"/>
  <c r="AD7" i="4"/>
  <c r="AD8" i="4" l="1"/>
  <c r="AD9" i="4" s="1"/>
  <c r="AD10" i="4" s="1"/>
  <c r="AD11" i="4" l="1"/>
  <c r="AD12" i="4" s="1"/>
  <c r="AD13" i="4" s="1"/>
  <c r="AD14" i="4" s="1"/>
  <c r="AE15" i="4" s="1"/>
  <c r="S16" i="4" s="1"/>
  <c r="U17"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J700070 Hernandx</author>
  </authors>
  <commentList>
    <comment ref="B19" authorId="0" shapeId="0" xr:uid="{73F6E724-042A-4BBB-BF56-7704FB5B1536}">
      <text>
        <r>
          <rPr>
            <sz val="9"/>
            <color indexed="81"/>
            <rFont val="Tahoma"/>
            <family val="2"/>
          </rPr>
          <t xml:space="preserve">Accounts receivable will probably not be recovered in full, but since it is trade debt and there are plenty of specialists who know how to collect it, we estimate that we can realize 85% of the stated amount. </t>
        </r>
      </text>
    </comment>
    <comment ref="B20" authorId="0" shapeId="0" xr:uid="{D1928604-BD6E-4001-8744-B04F06967F66}">
      <text>
        <r>
          <rPr>
            <sz val="9"/>
            <color indexed="81"/>
            <rFont val="Tahoma"/>
            <family val="2"/>
          </rPr>
          <t>The more commodity-like the inventory, the less discount is necessary to sell it, which implies that raw materials or items that are similar to commonly available products would retain their value better than unique or specialized items. However, it also mentions that if the inventory consists of last year's unsalable toys, the firm may have to pay someone to take it away and the estimated value of the inventory would be lower, so it would be dependent on the product, market conditions and the ability of the company to sell it.</t>
        </r>
      </text>
    </comment>
    <comment ref="B21" authorId="0" shapeId="0" xr:uid="{23F49F6B-0EC4-4B1B-B61A-DC5D651D70B5}">
      <text>
        <r>
          <rPr>
            <sz val="9"/>
            <color indexed="81"/>
            <rFont val="Tahoma"/>
            <family val="2"/>
          </rPr>
          <t>Certain broad principles apply. Generic assets such as office buildings will be worth far more, relative to their book value, than will specialized structures such as che</t>
        </r>
        <r>
          <rPr>
            <b/>
            <sz val="9"/>
            <color indexed="81"/>
            <rFont val="Tahoma"/>
            <family val="2"/>
          </rPr>
          <t xml:space="preserve">mical plants. </t>
        </r>
      </text>
    </comment>
    <comment ref="B23" authorId="0" shapeId="0" xr:uid="{5427F15D-24F5-4AB3-8EF1-A542DDAC0FC0}">
      <text>
        <r>
          <rPr>
            <sz val="9"/>
            <color indexed="81"/>
            <rFont val="Tahoma"/>
            <family val="2"/>
          </rPr>
          <t>Even if there's been no change in asset values from the most recent reporting period, broker commissions have to be factored in when liquidating the account.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2">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1"/>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futureMetadata>
  <cellMetadata count="1">
    <bk>
      <rc t="1" v="0"/>
    </bk>
  </cellMetadata>
  <valueMetadata count="3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valueMetadata>
</metadata>
</file>

<file path=xl/sharedStrings.xml><?xml version="1.0" encoding="utf-8"?>
<sst xmlns="http://schemas.openxmlformats.org/spreadsheetml/2006/main" count="822" uniqueCount="570">
  <si>
    <t xml:space="preserve"> </t>
  </si>
  <si>
    <t>Revenue</t>
  </si>
  <si>
    <t>Gross Profit</t>
  </si>
  <si>
    <t>EBITDA</t>
  </si>
  <si>
    <t>Operating Income</t>
  </si>
  <si>
    <t>Net Income</t>
  </si>
  <si>
    <t>EPS</t>
  </si>
  <si>
    <t>Short-Term Investments</t>
  </si>
  <si>
    <t>Cash and Short-Term Investments</t>
  </si>
  <si>
    <t>Short-Term Debt</t>
  </si>
  <si>
    <t>Long-Term Debt</t>
  </si>
  <si>
    <t>Free Cash Flow</t>
  </si>
  <si>
    <t>FCF per share</t>
  </si>
  <si>
    <t>Total Debt</t>
  </si>
  <si>
    <t>Net Debt</t>
  </si>
  <si>
    <t>Revenue per share</t>
  </si>
  <si>
    <t>Operating Income per share</t>
  </si>
  <si>
    <t>Dividends per share</t>
  </si>
  <si>
    <t>Units in:</t>
  </si>
  <si>
    <t>R&amp;D %</t>
  </si>
  <si>
    <t>SG&amp;A %</t>
  </si>
  <si>
    <t>Other %</t>
  </si>
  <si>
    <t>Depreciation &amp; Amortization %</t>
  </si>
  <si>
    <t>Interest Income %</t>
  </si>
  <si>
    <t>y/y</t>
  </si>
  <si>
    <t>3y. CAGR</t>
  </si>
  <si>
    <t>5y. CAGR</t>
  </si>
  <si>
    <t>9y. CAGR</t>
  </si>
  <si>
    <t>Shares Diluted</t>
  </si>
  <si>
    <t>Revenue %</t>
  </si>
  <si>
    <t>Return on Assets %</t>
  </si>
  <si>
    <t>Return on Equity %</t>
  </si>
  <si>
    <t>Return on Invested Capital %</t>
  </si>
  <si>
    <t>Price</t>
  </si>
  <si>
    <t>Industry:</t>
  </si>
  <si>
    <t>Change:</t>
  </si>
  <si>
    <t>Billions</t>
  </si>
  <si>
    <t>52 W. High:</t>
  </si>
  <si>
    <t>52 W. Low:</t>
  </si>
  <si>
    <t>Market Cap:</t>
  </si>
  <si>
    <t>Valuation Summary</t>
  </si>
  <si>
    <t>Dividend Yield:</t>
  </si>
  <si>
    <t>Dividend Payout:</t>
  </si>
  <si>
    <t>Institutional Ownership</t>
  </si>
  <si>
    <t>Insider Ownership</t>
  </si>
  <si>
    <t>PER</t>
  </si>
  <si>
    <t>P/FCF</t>
  </si>
  <si>
    <t>PEG</t>
  </si>
  <si>
    <t>Earnings Yield</t>
  </si>
  <si>
    <t>Enterprise Value</t>
  </si>
  <si>
    <t>Cash &amp; Investments</t>
  </si>
  <si>
    <t>Net Debt w/Investments</t>
  </si>
  <si>
    <t>Cash &amp; Cash Equivalents</t>
  </si>
  <si>
    <t>Cash &amp; Short-Term Investments</t>
  </si>
  <si>
    <t>Long-Term Investements</t>
  </si>
  <si>
    <t>B</t>
  </si>
  <si>
    <t>EV/FCF</t>
  </si>
  <si>
    <t>EV/E</t>
  </si>
  <si>
    <t>EV/FCF/G</t>
  </si>
  <si>
    <t>FCF Yield</t>
  </si>
  <si>
    <t>Growth 1-5 years:</t>
  </si>
  <si>
    <t>Growth 6-10 years:</t>
  </si>
  <si>
    <t>Interest Rate:</t>
  </si>
  <si>
    <t>Exit Multiple:</t>
  </si>
  <si>
    <t>Earnings:</t>
  </si>
  <si>
    <t>Mult:</t>
  </si>
  <si>
    <t>ROE:</t>
  </si>
  <si>
    <t>ROA:</t>
  </si>
  <si>
    <t>Assets required to generate a certain amount of net income</t>
  </si>
  <si>
    <t>Equity required to generate a certain amount of net income</t>
  </si>
  <si>
    <t>ROIC:</t>
  </si>
  <si>
    <t>Asset Turnover Ratio:</t>
  </si>
  <si>
    <t>How dependent is a company on its assets to generate revenue / How efficient is using its assets to generate revenue</t>
  </si>
  <si>
    <t>Asset Turnover Ratio</t>
  </si>
  <si>
    <t>Inventory Turnover</t>
  </si>
  <si>
    <t>Inventory Turnover:</t>
  </si>
  <si>
    <t>How many times per year does a company sell off all its Inventory?</t>
  </si>
  <si>
    <t>Receivables Turnover</t>
  </si>
  <si>
    <t>Return on Capital Employed %</t>
  </si>
  <si>
    <t>Cash Flow Return on Investment %</t>
  </si>
  <si>
    <t>Gross Margin %</t>
  </si>
  <si>
    <t>EBITDA Margin %</t>
  </si>
  <si>
    <t>Operating Margin %</t>
  </si>
  <si>
    <t>Net Margin %</t>
  </si>
  <si>
    <t>Free Cash Flow Margin %</t>
  </si>
  <si>
    <t>Upside</t>
  </si>
  <si>
    <t>X</t>
  </si>
  <si>
    <t>ALTO</t>
  </si>
  <si>
    <t>MUY ALINEADA</t>
  </si>
  <si>
    <t>MEDIO</t>
  </si>
  <si>
    <t>MUY BAJO</t>
  </si>
  <si>
    <t>CAJA</t>
  </si>
  <si>
    <t>AMPLIO</t>
  </si>
  <si>
    <t>BAJO</t>
  </si>
  <si>
    <t>GRANDE</t>
  </si>
  <si>
    <t>BAJA</t>
  </si>
  <si>
    <t>MEDIA</t>
  </si>
  <si>
    <t>ALINEADA</t>
  </si>
  <si>
    <t>Premier Antiaging Co</t>
  </si>
  <si>
    <t>Cosmetics</t>
  </si>
  <si>
    <t>Ticker</t>
  </si>
  <si>
    <t>Nombre</t>
  </si>
  <si>
    <t>Sector</t>
  </si>
  <si>
    <t>Precio</t>
  </si>
  <si>
    <t>Objetivo</t>
  </si>
  <si>
    <t>Valoración</t>
  </si>
  <si>
    <t>Moat</t>
  </si>
  <si>
    <t>Deuda</t>
  </si>
  <si>
    <t>Directiva</t>
  </si>
  <si>
    <t>Last Modified</t>
  </si>
  <si>
    <t>ALTA</t>
  </si>
  <si>
    <t>CFROIC</t>
  </si>
  <si>
    <t>Current Ratio</t>
  </si>
  <si>
    <t>M. Bruto</t>
  </si>
  <si>
    <t>M. Neto</t>
  </si>
  <si>
    <t>Riesgo</t>
  </si>
  <si>
    <t>Δ FCF</t>
  </si>
  <si>
    <t>Δ EPS</t>
  </si>
  <si>
    <t>Δ Rev.</t>
  </si>
  <si>
    <t>Total</t>
  </si>
  <si>
    <t>MALA</t>
  </si>
  <si>
    <t>IR</t>
  </si>
  <si>
    <t>TTM</t>
  </si>
  <si>
    <t>Multiplier</t>
  </si>
  <si>
    <t>Inventory</t>
  </si>
  <si>
    <t>Other Current Assets</t>
  </si>
  <si>
    <t>Total Current Assets</t>
  </si>
  <si>
    <t>Goodwill</t>
  </si>
  <si>
    <t>Total Assets</t>
  </si>
  <si>
    <t>Accounts Payable</t>
  </si>
  <si>
    <t>Other Current Liabilities</t>
  </si>
  <si>
    <t>Total Current Liabilities</t>
  </si>
  <si>
    <t>Total Liabilities</t>
  </si>
  <si>
    <t>Common Stock</t>
  </si>
  <si>
    <t>Retained Earnings</t>
  </si>
  <si>
    <t>Minority Interest</t>
  </si>
  <si>
    <t>Accounts Receivable</t>
  </si>
  <si>
    <t>80-100%</t>
  </si>
  <si>
    <t>Income Statement | TIKR.com</t>
  </si>
  <si>
    <t>LTM</t>
  </si>
  <si>
    <t>Revenues</t>
  </si>
  <si>
    <t>Total Revenues</t>
  </si>
  <si>
    <t>   % Change YoY</t>
  </si>
  <si>
    <t>Cost of Goods Sold</t>
  </si>
  <si>
    <t>   % Gross Margins</t>
  </si>
  <si>
    <t>Selling General &amp; Admin Expenses</t>
  </si>
  <si>
    <t>R&amp;D Expenses</t>
  </si>
  <si>
    <t>Total Operating Expenses</t>
  </si>
  <si>
    <t>   % Operating Margins</t>
  </si>
  <si>
    <t>Interest Expense</t>
  </si>
  <si>
    <t>Interest And Investment Income</t>
  </si>
  <si>
    <t>Currency Exchange Gains (Loss)</t>
  </si>
  <si>
    <t>Other Non Operating Income (Expenses)</t>
  </si>
  <si>
    <t>EBT Excl. Unusual Items</t>
  </si>
  <si>
    <t>Gain (Loss) On Sale Of Investments</t>
  </si>
  <si>
    <t>Gain (Loss) On Sale Of Assets</t>
  </si>
  <si>
    <t>Asset Writedown</t>
  </si>
  <si>
    <t>In Process R&amp;D Expenses</t>
  </si>
  <si>
    <t>Legal Settlements</t>
  </si>
  <si>
    <t>Other Unusual Items</t>
  </si>
  <si>
    <t>EBT Incl. Unusual Items</t>
  </si>
  <si>
    <t>Income Tax Expense</t>
  </si>
  <si>
    <t>Earnings From Continuing Operations</t>
  </si>
  <si>
    <t>Earnings Of Discontinued Operations</t>
  </si>
  <si>
    <t>Net Income to Company</t>
  </si>
  <si>
    <t>Net Income to Common Incl Extra Items</t>
  </si>
  <si>
    <t>   % Net Income to Common Incl Extra Items Margins</t>
  </si>
  <si>
    <t>Net Income to Common Excl. Extra Items</t>
  </si>
  <si>
    <t>   % Net Income to Common Excl. Extra Items Margins</t>
  </si>
  <si>
    <t>Supplementary Data:</t>
  </si>
  <si>
    <t>Diluted EPS Excl Extra Items</t>
  </si>
  <si>
    <t>Weighted Average Diluted Shares Outstanding</t>
  </si>
  <si>
    <t>Weighted Average Basic Shares Outstanding</t>
  </si>
  <si>
    <t>Basic EPS</t>
  </si>
  <si>
    <t>EBITDAR</t>
  </si>
  <si>
    <t>R&amp;D Expense</t>
  </si>
  <si>
    <t>Selling and Marketing Expense</t>
  </si>
  <si>
    <t>General and Administrative Expense</t>
  </si>
  <si>
    <t>Effective Tax Rate %</t>
  </si>
  <si>
    <t>Stock-Based Compensation</t>
  </si>
  <si>
    <t>Depreciation &amp; Amortization</t>
  </si>
  <si>
    <t>Amortization of Goodwill and Intangible Assets</t>
  </si>
  <si>
    <t>Balance Sheet | TIKR.com</t>
  </si>
  <si>
    <t>Cash And Equivalents</t>
  </si>
  <si>
    <t>Short Term Investments</t>
  </si>
  <si>
    <t>Trading Asset Securities</t>
  </si>
  <si>
    <t>Total Cash And Short Term Investments</t>
  </si>
  <si>
    <t>Other Receivables</t>
  </si>
  <si>
    <t>Notes Receivable</t>
  </si>
  <si>
    <t>Total Receivables</t>
  </si>
  <si>
    <t>Prepaid Expenses</t>
  </si>
  <si>
    <t>Finance Division Loans and Leases Current</t>
  </si>
  <si>
    <t>Finance Division Other Current Assets</t>
  </si>
  <si>
    <t>Loans Held For Sale</t>
  </si>
  <si>
    <t>Deferred Tax Assets Current</t>
  </si>
  <si>
    <t>Restricted Cash</t>
  </si>
  <si>
    <t>Gross Property Plant And Equipment</t>
  </si>
  <si>
    <t>Accumulated Depreciation</t>
  </si>
  <si>
    <t>Net Property Plant And Equipment</t>
  </si>
  <si>
    <t>Long-term Investments</t>
  </si>
  <si>
    <t>Other Intangibles</t>
  </si>
  <si>
    <t>Finance Division Loans and Leases Long-Term</t>
  </si>
  <si>
    <t>Finance Division Other Long-Term Assets</t>
  </si>
  <si>
    <t>Accounts Receivable Long-Term</t>
  </si>
  <si>
    <t>Loans Receivable Long-Term</t>
  </si>
  <si>
    <t>Deferred Tax Assets Long-Term</t>
  </si>
  <si>
    <t>Deferred Charges Long-Term</t>
  </si>
  <si>
    <t>Other Long-Term Assets</t>
  </si>
  <si>
    <t>Accrued Expenses</t>
  </si>
  <si>
    <t>Short-term Borrowings</t>
  </si>
  <si>
    <t>Current Portion of Long-Term Debt</t>
  </si>
  <si>
    <t>Current Portion of Capital Lease Obligations</t>
  </si>
  <si>
    <t>Finance Division Debt Current</t>
  </si>
  <si>
    <t>Finance Division Other Current Liabilities</t>
  </si>
  <si>
    <t>Current Income Taxes Payable</t>
  </si>
  <si>
    <t>Unearned Revenue Current</t>
  </si>
  <si>
    <t>Deferred Tax Liability Current</t>
  </si>
  <si>
    <t>Capital Leases</t>
  </si>
  <si>
    <t>Finance Division Debt Non Current</t>
  </si>
  <si>
    <t>Finance Division Other Non Current Liabilities</t>
  </si>
  <si>
    <t>Unearned Revenue Non Current</t>
  </si>
  <si>
    <t>Pension &amp; Other Post Retirement Benefits</t>
  </si>
  <si>
    <t>Deferred Tax Liability Non Current</t>
  </si>
  <si>
    <t>Other Non Current Liabilities</t>
  </si>
  <si>
    <t>Preferred Stock Redeemable</t>
  </si>
  <si>
    <t>Preferred Stock Non Redeemable</t>
  </si>
  <si>
    <t>Preferred Stock Convertible</t>
  </si>
  <si>
    <t>Preferred Stock - Others</t>
  </si>
  <si>
    <t>Total Preferred Equity</t>
  </si>
  <si>
    <t>Additional Paid In Capital</t>
  </si>
  <si>
    <t>Treasury Stock</t>
  </si>
  <si>
    <t>Comprehensive Income and Other</t>
  </si>
  <si>
    <t>Total Common Equity</t>
  </si>
  <si>
    <t>Total Equity</t>
  </si>
  <si>
    <t>Total Liabilities And Equity</t>
  </si>
  <si>
    <t>Total Shares Out. on Filing Date</t>
  </si>
  <si>
    <t>Book Value/Share</t>
  </si>
  <si>
    <t>Tangible Book Value</t>
  </si>
  <si>
    <t>Tangible Book Value/Share</t>
  </si>
  <si>
    <t>Total Minority Interest</t>
  </si>
  <si>
    <t>Equity Method Investments</t>
  </si>
  <si>
    <t>Land</t>
  </si>
  <si>
    <t>Buildings</t>
  </si>
  <si>
    <t>Construction In Progress</t>
  </si>
  <si>
    <t>Full Time Employees</t>
  </si>
  <si>
    <t>Cash Flow Statement | TIKR.com</t>
  </si>
  <si>
    <t>Impairment of Oil, Gas &amp; Mineral Properties</t>
  </si>
  <si>
    <t>Total Depreciation &amp; Amortization</t>
  </si>
  <si>
    <t>Amortization of Deferred Charges</t>
  </si>
  <si>
    <t>Minority Interest in Earnings</t>
  </si>
  <si>
    <t>(Gain) Loss From Sale Of Asset</t>
  </si>
  <si>
    <t>(Gain) Loss on Sale of Investments</t>
  </si>
  <si>
    <t>Asset Writedown &amp; Restructuring Costs</t>
  </si>
  <si>
    <t>Net (Increase) Decrease in Loans Originated / Sold - Operating</t>
  </si>
  <si>
    <t>Provision for Credit Losses</t>
  </si>
  <si>
    <t>(Income) Loss On Equity Investments</t>
  </si>
  <si>
    <t>Tax Benefit from Stock Options</t>
  </si>
  <si>
    <t>Provision and Write-off of Bad Debts</t>
  </si>
  <si>
    <t>Net Cash From Discontinued Operations</t>
  </si>
  <si>
    <t>Other Operating Activities</t>
  </si>
  <si>
    <t>Change in Trading Asset Securities</t>
  </si>
  <si>
    <t>Change In Accounts Receivable</t>
  </si>
  <si>
    <t>Change In Inventories</t>
  </si>
  <si>
    <t>Change In Accounts Payable</t>
  </si>
  <si>
    <t>Change in Unearned Revenues</t>
  </si>
  <si>
    <t>Change In Income Taxes</t>
  </si>
  <si>
    <t>Change In Deferred Taxes</t>
  </si>
  <si>
    <t>Change in Other Net Operating Assets</t>
  </si>
  <si>
    <t>Cash from Operations</t>
  </si>
  <si>
    <t>Memo: Change in Net Working Capital</t>
  </si>
  <si>
    <t>Capital Expenditure</t>
  </si>
  <si>
    <t>Sale of Property, Plant, and Equipment</t>
  </si>
  <si>
    <t>Cash Acquisitions</t>
  </si>
  <si>
    <t>Divestitures</t>
  </si>
  <si>
    <t>Sale (Purchase) of Real Estate properties</t>
  </si>
  <si>
    <t>Sale (Purchase) of Intangible assets</t>
  </si>
  <si>
    <t>Investment in Marketable and Equity Securities</t>
  </si>
  <si>
    <t>Net (Increase) Decrease in Loans Originated / Sold - Investing</t>
  </si>
  <si>
    <t>Other Investing Activities</t>
  </si>
  <si>
    <t>Cash from Investing</t>
  </si>
  <si>
    <t>Total Debt Issued</t>
  </si>
  <si>
    <t>Total Debt Repaid</t>
  </si>
  <si>
    <t>Issuance of Common Stock</t>
  </si>
  <si>
    <t>Repurchase of Common Stock</t>
  </si>
  <si>
    <t>Issuance of Preferred Stock</t>
  </si>
  <si>
    <t>Repurchase of Preferred Stock</t>
  </si>
  <si>
    <t>Common Dividends Paid</t>
  </si>
  <si>
    <t>Preferred Dividends Paid</t>
  </si>
  <si>
    <t>Common &amp; Preferred Stock Dividends Paid</t>
  </si>
  <si>
    <t>Special Dividend Paid</t>
  </si>
  <si>
    <t>Other Financing Activities</t>
  </si>
  <si>
    <t>Cash from Financing</t>
  </si>
  <si>
    <t>Foreign Exchange Rate Adjustments</t>
  </si>
  <si>
    <t>Miscellaneous Cash Flow Adjustments</t>
  </si>
  <si>
    <t>Net Change in Cash</t>
  </si>
  <si>
    <t>   % Free Cash Flow Margins</t>
  </si>
  <si>
    <t>Cash and Cash Equivalents, Beginning of Period</t>
  </si>
  <si>
    <t>Cash and Cash Equivalents, End of Period</t>
  </si>
  <si>
    <t>Cash Interest Paid</t>
  </si>
  <si>
    <t>Cash Taxes Paid</t>
  </si>
  <si>
    <t>Maintenance CAPEX</t>
  </si>
  <si>
    <t>Cash Flow per Share</t>
  </si>
  <si>
    <t>Decision Making</t>
  </si>
  <si>
    <t>Stocks to compare:</t>
  </si>
  <si>
    <t>Options</t>
  </si>
  <si>
    <t>Actions</t>
  </si>
  <si>
    <t>Preferred Dividend and Other Adjustments</t>
  </si>
  <si>
    <t>Finance Div. Revenues</t>
  </si>
  <si>
    <t>Insurance Division Revenues</t>
  </si>
  <si>
    <t>Gain (Loss) on Sale of Assets (Rev)</t>
  </si>
  <si>
    <t>Gain (Loss) on Sale of Investment (Rev)</t>
  </si>
  <si>
    <t>Interest And Invest. Income (Rev)</t>
  </si>
  <si>
    <t>Other Revenues</t>
  </si>
  <si>
    <t>Finance Div. Operating Exp.</t>
  </si>
  <si>
    <t>Insurance Division Operating Expenses</t>
  </si>
  <si>
    <t>Interest Expense - Finance Division</t>
  </si>
  <si>
    <t>Exploration / Drilling Costs</t>
  </si>
  <si>
    <t>Provision for Bad Debts</t>
  </si>
  <si>
    <t>Pre-Opening Costs</t>
  </si>
  <si>
    <t>Impairment of Oil Gas &amp; Mineral Properties</t>
  </si>
  <si>
    <t>Other Operating Expenses</t>
  </si>
  <si>
    <t>Income (Loss) On Equity Invest.</t>
  </si>
  <si>
    <t>Merger &amp; Restructuring Charges</t>
  </si>
  <si>
    <t>Impairment of Goodwill</t>
  </si>
  <si>
    <t>Insurance Settlements</t>
  </si>
  <si>
    <t>Extraordinary Item &amp; Accounting Change</t>
  </si>
  <si>
    <t>Dividends Per Share</t>
  </si>
  <si>
    <t>Special Dividends Per Share</t>
  </si>
  <si>
    <t>Payout Ratio %</t>
  </si>
  <si>
    <t>FFO Payout Ratio %</t>
  </si>
  <si>
    <t>FFO</t>
  </si>
  <si>
    <t>Distributable Cash per Share (Diluted)</t>
  </si>
  <si>
    <t>Annualized Distributions per Unit</t>
  </si>
  <si>
    <t>Same Store Sales Growth %</t>
  </si>
  <si>
    <t>22.2 %</t>
  </si>
  <si>
    <t>INCOME STATEMENT</t>
  </si>
  <si>
    <t>COGS</t>
  </si>
  <si>
    <t>Operating Expenses</t>
  </si>
  <si>
    <t>Interest Expenses</t>
  </si>
  <si>
    <t>Tax Expenses</t>
  </si>
  <si>
    <t>Operating Profit (EBIT)</t>
  </si>
  <si>
    <t>Earnings Before Tax (EBT)</t>
  </si>
  <si>
    <t>C</t>
  </si>
  <si>
    <t>D</t>
  </si>
  <si>
    <t>E</t>
  </si>
  <si>
    <t>F</t>
  </si>
  <si>
    <t>G</t>
  </si>
  <si>
    <t>H</t>
  </si>
  <si>
    <t>I</t>
  </si>
  <si>
    <t>J</t>
  </si>
  <si>
    <t>K</t>
  </si>
  <si>
    <t>IncomeStatement</t>
  </si>
  <si>
    <t>CashFlow</t>
  </si>
  <si>
    <t>(4.5 %)</t>
  </si>
  <si>
    <t>Book Value</t>
  </si>
  <si>
    <t>BalanceSheet</t>
  </si>
  <si>
    <t>Book Value per share</t>
  </si>
  <si>
    <t>Tangible Book Value per share</t>
  </si>
  <si>
    <t>BALANCE SHEET</t>
  </si>
  <si>
    <t>Cash and short-term marketable securities</t>
  </si>
  <si>
    <t>Accounts receivable</t>
  </si>
  <si>
    <t>Plant, Property &amp; Equipment</t>
  </si>
  <si>
    <t>Range</t>
  </si>
  <si>
    <t>Avg.</t>
  </si>
  <si>
    <t>75-90%</t>
  </si>
  <si>
    <t>50-75%</t>
  </si>
  <si>
    <t>1-50%</t>
  </si>
  <si>
    <t>Prepaid expenses</t>
  </si>
  <si>
    <t>0-50%</t>
  </si>
  <si>
    <t>Net-Net Working Capital Value</t>
  </si>
  <si>
    <t>PLUS</t>
  </si>
  <si>
    <t>MINUS</t>
  </si>
  <si>
    <t>Receivables</t>
  </si>
  <si>
    <t>Tax Recieivables</t>
  </si>
  <si>
    <t>Tax recieivables</t>
  </si>
  <si>
    <t>Fixed Assets</t>
  </si>
  <si>
    <t>BS Liabilities</t>
  </si>
  <si>
    <t>Preferred Shares</t>
  </si>
  <si>
    <t>Off-BS Liabilities</t>
  </si>
  <si>
    <t>Net-Net Asset Value</t>
  </si>
  <si>
    <t>☆</t>
  </si>
  <si>
    <t>Net-Net Asset Value per share</t>
  </si>
  <si>
    <t>Ratios | TIKR.com</t>
  </si>
  <si>
    <t>Return Ratios:</t>
  </si>
  <si>
    <t>Return on Capital %</t>
  </si>
  <si>
    <t>Return On Equity %</t>
  </si>
  <si>
    <t>Return on Common Equity %</t>
  </si>
  <si>
    <t>Margin Analysis:</t>
  </si>
  <si>
    <t>Gross Profit Margin %</t>
  </si>
  <si>
    <t>SG&amp;A Margin %</t>
  </si>
  <si>
    <t>EBITA Margin %</t>
  </si>
  <si>
    <t>EBIT Margin %</t>
  </si>
  <si>
    <t>EBT Margin %</t>
  </si>
  <si>
    <t>EBT Excl. Non-Recurring Items Margin %</t>
  </si>
  <si>
    <t>Income From Continuing Operations Margin %</t>
  </si>
  <si>
    <t>Net Income Margin %</t>
  </si>
  <si>
    <t>Normalized Net Income Margin %</t>
  </si>
  <si>
    <t>Net Avail. For Common Margin %</t>
  </si>
  <si>
    <t>Levered Free Cash Flow Margin %</t>
  </si>
  <si>
    <t>Unlevered Free Cash Flow Margin %</t>
  </si>
  <si>
    <t>Asset Turnover:</t>
  </si>
  <si>
    <t>Asset Turnover</t>
  </si>
  <si>
    <t>Fixed Assets Turnover</t>
  </si>
  <si>
    <t>Working Capital Turnover</t>
  </si>
  <si>
    <t>Short Term Liquidity:</t>
  </si>
  <si>
    <t>Quick Ratio</t>
  </si>
  <si>
    <t>Dividend Payout %</t>
  </si>
  <si>
    <t>Dividend Yield %</t>
  </si>
  <si>
    <t>Op Cash Flow to Current Liab</t>
  </si>
  <si>
    <t>Avg. Cash Conversion Cycle</t>
  </si>
  <si>
    <t>Avg. Days Sales Outstanding</t>
  </si>
  <si>
    <t>Avg. Days Outstanding Inventory</t>
  </si>
  <si>
    <t>Avg. Days Payable Outstanding</t>
  </si>
  <si>
    <t>Long-Term Solvency:</t>
  </si>
  <si>
    <t>Total Debt / Equity</t>
  </si>
  <si>
    <t>Total Debt / Capital</t>
  </si>
  <si>
    <t>Total Liabilities / Total Assets</t>
  </si>
  <si>
    <t>EBIT / Interest Expense</t>
  </si>
  <si>
    <t>EBITDA / Interest Expense</t>
  </si>
  <si>
    <t>(EBITDA - Capex) / Interest Expense</t>
  </si>
  <si>
    <t>FFO Interest Coverage</t>
  </si>
  <si>
    <t>FFO to Total Debt (x)</t>
  </si>
  <si>
    <t>Total Debt / EBITDA</t>
  </si>
  <si>
    <t>Net Debt / EBITDA</t>
  </si>
  <si>
    <t>Net Debt / (EBITDA - Capex)</t>
  </si>
  <si>
    <t>Industry Metrics:</t>
  </si>
  <si>
    <t>Nonperforming Loans / Total Loans %</t>
  </si>
  <si>
    <t>Nonperforming Loans / Total Assets %</t>
  </si>
  <si>
    <t>Nonperforming Assets / Total Assets %</t>
  </si>
  <si>
    <t>Nonperforming Assets / Equity %</t>
  </si>
  <si>
    <t>Allowance for Credit Losses / Net Charge-offs %</t>
  </si>
  <si>
    <t>Allowance for Credit Losses / Nonperforming Loans %</t>
  </si>
  <si>
    <t>Allowance for Credit Losses / Total Loans %</t>
  </si>
  <si>
    <t>Net Charge-offs / Total Average Loans %</t>
  </si>
  <si>
    <t>Provision for Loan Losses / Net Charge-offs %</t>
  </si>
  <si>
    <t>Earning Assets / Interest Bearing Liabilities %</t>
  </si>
  <si>
    <t>Interest Income / Average Assets %</t>
  </si>
  <si>
    <t>Interest Expense / Average Assets %</t>
  </si>
  <si>
    <t>Net Interest Income / Average Assets %</t>
  </si>
  <si>
    <t>Total Average Common Equity / Total Average Assets %</t>
  </si>
  <si>
    <t>Total Equity + Allowance for Loan Losses / Total Loans %</t>
  </si>
  <si>
    <t>Gross Loans / Total Deposits %</t>
  </si>
  <si>
    <t>Tier 1 Capital Ratio %</t>
  </si>
  <si>
    <t>Total Capital Ratio %</t>
  </si>
  <si>
    <t>Core Tier 1 Capital Ratio %</t>
  </si>
  <si>
    <t>Tier 2 Capital Ratio %</t>
  </si>
  <si>
    <t>Equity Tier 1 Capital Ratio %</t>
  </si>
  <si>
    <t>26.9 %</t>
  </si>
  <si>
    <t>Ratios</t>
  </si>
  <si>
    <t>Tax Rate %</t>
  </si>
  <si>
    <t>ROCE:</t>
  </si>
  <si>
    <t>It measures the return that a company is generating on the capital that shareholders have invested in the company.</t>
  </si>
  <si>
    <t>It measures the return that a company is generating on the capital that is employed in the business</t>
  </si>
  <si>
    <t>52.3 %</t>
  </si>
  <si>
    <t>50.2 %</t>
  </si>
  <si>
    <t>49.0 %</t>
  </si>
  <si>
    <t>42.8 %</t>
  </si>
  <si>
    <t>54.3 %</t>
  </si>
  <si>
    <t>47.6 %</t>
  </si>
  <si>
    <t>49.9 %</t>
  </si>
  <si>
    <t>40.5 %</t>
  </si>
  <si>
    <t>76.8 %</t>
  </si>
  <si>
    <t>77.6 %</t>
  </si>
  <si>
    <t>76.6 %</t>
  </si>
  <si>
    <t>77.9 %</t>
  </si>
  <si>
    <t>77.4 %</t>
  </si>
  <si>
    <t>78.7 %</t>
  </si>
  <si>
    <t>26.7 %</t>
  </si>
  <si>
    <t>6.9 %</t>
  </si>
  <si>
    <t>27.1 %</t>
  </si>
  <si>
    <t>772.5 %</t>
  </si>
  <si>
    <t>(21.4 %)</t>
  </si>
  <si>
    <t>(19.4 %)</t>
  </si>
  <si>
    <t>(23.3 %)</t>
  </si>
  <si>
    <t>(37.6 %)</t>
  </si>
  <si>
    <t>(44.1 %)</t>
  </si>
  <si>
    <t>(7.2 %)</t>
  </si>
  <si>
    <t>(25.2 %)</t>
  </si>
  <si>
    <t>(39.7 %)</t>
  </si>
  <si>
    <t>(27.7 %)</t>
  </si>
  <si>
    <t>(36.9 %)</t>
  </si>
  <si>
    <t>(45.2 %)</t>
  </si>
  <si>
    <t>(8.0 %)</t>
  </si>
  <si>
    <t>109.3 %</t>
  </si>
  <si>
    <t>44.9 %</t>
  </si>
  <si>
    <t>32.8 %</t>
  </si>
  <si>
    <t>672.6 %</t>
  </si>
  <si>
    <t>4.2 %</t>
  </si>
  <si>
    <t>104.9 %</t>
  </si>
  <si>
    <t>80.7 %</t>
  </si>
  <si>
    <t>5.0 %</t>
  </si>
  <si>
    <t>22.0 %</t>
  </si>
  <si>
    <t>21.7 %</t>
  </si>
  <si>
    <t>(7207.3 %)</t>
  </si>
  <si>
    <t>(10.9 %)</t>
  </si>
  <si>
    <t>(5.0 %)</t>
  </si>
  <si>
    <t>4.5 %</t>
  </si>
  <si>
    <t>(1.1 %)</t>
  </si>
  <si>
    <t>(1.3 %)</t>
  </si>
  <si>
    <t>(10.6 %)</t>
  </si>
  <si>
    <t>61.4 %</t>
  </si>
  <si>
    <t>10.6 %</t>
  </si>
  <si>
    <t>19.6 %</t>
  </si>
  <si>
    <t>333.4 %</t>
  </si>
  <si>
    <t>(5.1 %)</t>
  </si>
  <si>
    <t>(4.3 %)</t>
  </si>
  <si>
    <t>(17.1 %)</t>
  </si>
  <si>
    <t>(28.6 %)</t>
  </si>
  <si>
    <t>(35.7 %)</t>
  </si>
  <si>
    <t>(11.8 %)</t>
  </si>
  <si>
    <t>(4.2 %)</t>
  </si>
  <si>
    <t>(5.7 %)</t>
  </si>
  <si>
    <t>(11.9 %)</t>
  </si>
  <si>
    <t>(23.0 %)</t>
  </si>
  <si>
    <t>(8.8 %)</t>
  </si>
  <si>
    <t>(6.0 %)</t>
  </si>
  <si>
    <t>(8.1 %)</t>
  </si>
  <si>
    <t>(14.7 %)</t>
  </si>
  <si>
    <t>(37.1 %)</t>
  </si>
  <si>
    <t>(7.3 %)</t>
  </si>
  <si>
    <t>(31.1 %)</t>
  </si>
  <si>
    <t>(32.0 %)</t>
  </si>
  <si>
    <t>(15.5 %)</t>
  </si>
  <si>
    <t>(22.4 %)</t>
  </si>
  <si>
    <t>(51.3 %)</t>
  </si>
  <si>
    <t>(34.6 %)</t>
  </si>
  <si>
    <t>100.6 %</t>
  </si>
  <si>
    <t>66.8 %</t>
  </si>
  <si>
    <t>68.1 %</t>
  </si>
  <si>
    <t>70.4 %</t>
  </si>
  <si>
    <t>83.9 %</t>
  </si>
  <si>
    <t>93.2 %</t>
  </si>
  <si>
    <t>60.9 %</t>
  </si>
  <si>
    <t>(14.6 %)</t>
  </si>
  <si>
    <t>(12.4 %)</t>
  </si>
  <si>
    <t>(29.7 %)</t>
  </si>
  <si>
    <t>(36.2 %)</t>
  </si>
  <si>
    <t>0.7 %</t>
  </si>
  <si>
    <t>(14.2 %)</t>
  </si>
  <si>
    <t>(16.7 %)</t>
  </si>
  <si>
    <t>(17.2 %)</t>
  </si>
  <si>
    <t>(22.8 %)</t>
  </si>
  <si>
    <t>(27.9 %)</t>
  </si>
  <si>
    <t>9.3 %</t>
  </si>
  <si>
    <t>16.1 %</t>
  </si>
  <si>
    <t>(3.9 %)</t>
  </si>
  <si>
    <t>(14.8 %)</t>
  </si>
  <si>
    <t>(8.2 %)</t>
  </si>
  <si>
    <t>8.6 %</t>
  </si>
  <si>
    <t>13.7 %</t>
  </si>
  <si>
    <t>(5.3 %)</t>
  </si>
  <si>
    <t>(7.8 %)</t>
  </si>
  <si>
    <t>263.9 %</t>
  </si>
  <si>
    <t>159.4 %</t>
  </si>
  <si>
    <t>52.4 %</t>
  </si>
  <si>
    <t>1.4 %</t>
  </si>
  <si>
    <t>4.9 %</t>
  </si>
  <si>
    <t>9.0 %</t>
  </si>
  <si>
    <t>72.5 %</t>
  </si>
  <si>
    <t>34.4 %</t>
  </si>
  <si>
    <t>4.7 %</t>
  </si>
  <si>
    <t>8.2 %</t>
  </si>
  <si>
    <t>76.2 %</t>
  </si>
  <si>
    <t>65.8 %</t>
  </si>
  <si>
    <t>40.8 %</t>
  </si>
  <si>
    <t>12.6 %</t>
  </si>
  <si>
    <t>25.4 %</t>
  </si>
  <si>
    <t>Fixed Asset Turnover Ratio</t>
  </si>
  <si>
    <t>Short Term Liquidity</t>
  </si>
  <si>
    <t>Long Term Solvency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</si>
</sst>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 #,##0.00\ &quot;€&quot;_-;\-* #,##0.00\ &quot;€&quot;_-;_-* &quot;-&quot;??\ &quot;€&quot;_-;_-@_-"/>
    <numFmt numFmtId="165" formatCode="_([$$-409]* #,##0.00_);_([$$-409]* \(#,##0.00\);_([$$-409]* &quot;-&quot;??_);_(@_)"/>
    <numFmt numFmtId="166" formatCode="0.0"/>
    <numFmt numFmtId="167" formatCode="_-[$$-409]* #,##0.00_ ;_-[$$-409]* \-#,##0.00\ ;_-[$$-409]* &quot;-&quot;??_ ;_-@_ "/>
    <numFmt numFmtId="168" formatCode="_([$€-2]\ * #,##0.00_);_([$€-2]\ * \(#,##0.00\);_([$€-2]\ * &quot;-&quot;??_);_(@_)"/>
    <numFmt numFmtId="169" formatCode="_-* #,##0.00\ [$zł-415]_-;\-* #,##0.00\ [$zł-415]_-;_-* &quot;-&quot;??\ [$zł-415]_-;_-@_-"/>
    <numFmt numFmtId="170" formatCode="_([$$-409]* #,##0.00_);_([$$-409]* \(#,##0.00\);_([$$-409]* &quot;-&quot;_);_(@_)"/>
    <numFmt numFmtId="171" formatCode="##.0\x"/>
    <numFmt numFmtId="172" formatCode="[$-C0A]yyyy;@"/>
    <numFmt numFmtId="173" formatCode="#,##0.000"/>
    <numFmt numFmtId="181" formatCode="0.0\x"/>
  </numFmts>
  <fonts count="61" x14ac:knownFonts="1">
    <font>
      <sz val="11"/>
      <color theme="1"/>
      <name val="Calibri"/>
      <family val="2"/>
      <scheme val="minor"/>
    </font>
    <font>
      <sz val="11"/>
      <color theme="1"/>
      <name val="Calibri"/>
      <family val="2"/>
      <scheme val="minor"/>
    </font>
    <font>
      <u/>
      <sz val="11"/>
      <color theme="10"/>
      <name val="Calibri"/>
      <family val="2"/>
      <scheme val="minor"/>
    </font>
    <font>
      <sz val="11"/>
      <color theme="1"/>
      <name val="Calibri Light"/>
      <family val="2"/>
      <scheme val="major"/>
    </font>
    <font>
      <i/>
      <sz val="11"/>
      <color theme="1"/>
      <name val="Calibri Light"/>
      <family val="2"/>
      <scheme val="major"/>
    </font>
    <font>
      <b/>
      <sz val="11"/>
      <color theme="1"/>
      <name val="Calibri Light"/>
      <family val="2"/>
      <scheme val="major"/>
    </font>
    <font>
      <b/>
      <sz val="18"/>
      <color theme="1"/>
      <name val="Calibri Light"/>
      <family val="2"/>
      <scheme val="major"/>
    </font>
    <font>
      <sz val="18"/>
      <color theme="1"/>
      <name val="Calibri Light"/>
      <family val="2"/>
      <scheme val="major"/>
    </font>
    <font>
      <sz val="12"/>
      <color theme="1"/>
      <name val="Calibri Light"/>
      <family val="2"/>
      <scheme val="major"/>
    </font>
    <font>
      <sz val="14"/>
      <color theme="1"/>
      <name val="Calibri Light"/>
      <family val="2"/>
      <scheme val="major"/>
    </font>
    <font>
      <sz val="16"/>
      <color theme="1"/>
      <name val="Calibri Light"/>
      <family val="2"/>
      <scheme val="major"/>
    </font>
    <font>
      <sz val="20"/>
      <color theme="1"/>
      <name val="Calibri Light"/>
      <family val="2"/>
      <scheme val="major"/>
    </font>
    <font>
      <sz val="10"/>
      <color theme="1"/>
      <name val="Calibri Light"/>
      <family val="2"/>
      <scheme val="major"/>
    </font>
    <font>
      <b/>
      <sz val="20"/>
      <color theme="1"/>
      <name val="Calibri Light"/>
      <family val="2"/>
      <scheme val="major"/>
    </font>
    <font>
      <u/>
      <sz val="11"/>
      <color theme="1"/>
      <name val="Calibri"/>
      <family val="2"/>
      <scheme val="minor"/>
    </font>
    <font>
      <sz val="11"/>
      <color rgb="FF000000"/>
      <name val="Calibri"/>
      <family val="2"/>
    </font>
    <font>
      <sz val="12"/>
      <color theme="1"/>
      <name val="Calibri"/>
      <family val="2"/>
    </font>
    <font>
      <b/>
      <sz val="12"/>
      <color rgb="FFEA4335"/>
      <name val="Calibri"/>
      <family val="2"/>
    </font>
    <font>
      <b/>
      <sz val="12"/>
      <color rgb="FF0B5394"/>
      <name val="Calibri"/>
      <family val="2"/>
    </font>
    <font>
      <b/>
      <sz val="12"/>
      <color rgb="FFFFFFFF"/>
      <name val="Calibri"/>
      <family val="2"/>
    </font>
    <font>
      <b/>
      <sz val="12"/>
      <color rgb="FFFFC000"/>
      <name val="Calibri"/>
      <family val="2"/>
    </font>
    <font>
      <b/>
      <sz val="12"/>
      <color rgb="FF57BB8A"/>
      <name val="Calibri"/>
      <family val="2"/>
    </font>
    <font>
      <b/>
      <sz val="12"/>
      <color rgb="FF92D050"/>
      <name val="Calibri"/>
      <family val="2"/>
    </font>
    <font>
      <b/>
      <sz val="12"/>
      <color rgb="FFF09300"/>
      <name val="Calibri"/>
      <family val="2"/>
    </font>
    <font>
      <sz val="10"/>
      <color theme="1"/>
      <name val="Arial"/>
      <family val="2"/>
    </font>
    <font>
      <b/>
      <sz val="12"/>
      <name val="Calibri"/>
      <family val="2"/>
    </font>
    <font>
      <b/>
      <i/>
      <sz val="12"/>
      <name val="Calibri"/>
      <family val="2"/>
    </font>
    <font>
      <sz val="11"/>
      <name val="Calibri"/>
      <family val="2"/>
      <scheme val="minor"/>
    </font>
    <font>
      <sz val="12"/>
      <color theme="0"/>
      <name val="Calibri"/>
      <family val="2"/>
    </font>
    <font>
      <b/>
      <sz val="12"/>
      <color theme="0"/>
      <name val="Calibri"/>
      <family val="2"/>
    </font>
    <font>
      <b/>
      <sz val="12"/>
      <color theme="0" tint="-0.249977111117893"/>
      <name val="Calibri"/>
      <family val="2"/>
    </font>
    <font>
      <sz val="12"/>
      <color theme="0" tint="-0.249977111117893"/>
      <name val="Calibri"/>
      <family val="2"/>
      <scheme val="minor"/>
    </font>
    <font>
      <sz val="9"/>
      <color theme="1"/>
      <name val="Calibri Light"/>
      <family val="2"/>
      <scheme val="major"/>
    </font>
    <font>
      <sz val="8"/>
      <color theme="1"/>
      <name val="Calibri Light"/>
      <family val="2"/>
      <scheme val="major"/>
    </font>
    <font>
      <b/>
      <sz val="12"/>
      <color theme="9" tint="0.39997558519241921"/>
      <name val="Calibri"/>
      <family val="2"/>
    </font>
    <font>
      <b/>
      <sz val="12"/>
      <color rgb="FFFF5050"/>
      <name val="Calibri"/>
      <family val="2"/>
    </font>
    <font>
      <b/>
      <sz val="12"/>
      <color theme="1"/>
      <name val="Calibri"/>
      <family val="2"/>
      <scheme val="minor"/>
    </font>
    <font>
      <i/>
      <sz val="11"/>
      <color theme="1"/>
      <name val="Calibri"/>
      <family val="2"/>
      <scheme val="minor"/>
    </font>
    <font>
      <b/>
      <sz val="11"/>
      <color rgb="FFFFFFFF"/>
      <name val="Arial"/>
      <family val="2"/>
    </font>
    <font>
      <sz val="11"/>
      <color rgb="FFFFFFFF"/>
      <name val="Arial"/>
      <family val="2"/>
    </font>
    <font>
      <sz val="11"/>
      <color rgb="FFCFD2D6"/>
      <name val="Arial"/>
      <family val="2"/>
    </font>
    <font>
      <b/>
      <sz val="11"/>
      <color rgb="FFCFD2D6"/>
      <name val="Arial"/>
      <family val="2"/>
    </font>
    <font>
      <b/>
      <i/>
      <sz val="11"/>
      <color rgb="FFFFFFFF"/>
      <name val="Arial"/>
      <family val="2"/>
    </font>
    <font>
      <b/>
      <i/>
      <sz val="11"/>
      <color rgb="FFF44336"/>
      <name val="Arial"/>
      <family val="2"/>
    </font>
    <font>
      <b/>
      <i/>
      <sz val="11"/>
      <color rgb="FFCFD2D6"/>
      <name val="Arial"/>
      <family val="2"/>
    </font>
    <font>
      <b/>
      <i/>
      <sz val="11"/>
      <color rgb="FF000000"/>
      <name val="Arial"/>
      <family val="2"/>
    </font>
    <font>
      <sz val="11"/>
      <color rgb="FFF44336"/>
      <name val="Arial"/>
      <family val="2"/>
    </font>
    <font>
      <b/>
      <sz val="11"/>
      <color rgb="FFF44336"/>
      <name val="Arial"/>
      <family val="2"/>
    </font>
    <font>
      <sz val="11"/>
      <color rgb="FF000000"/>
      <name val="Arial"/>
      <family val="2"/>
    </font>
    <font>
      <i/>
      <sz val="11"/>
      <color rgb="FFFFFFFF"/>
      <name val="Arial"/>
      <family val="2"/>
    </font>
    <font>
      <i/>
      <sz val="11"/>
      <color rgb="FFF44336"/>
      <name val="Arial"/>
      <family val="2"/>
    </font>
    <font>
      <i/>
      <sz val="11"/>
      <color rgb="FFCFD2D6"/>
      <name val="Arial"/>
      <family val="2"/>
    </font>
    <font>
      <i/>
      <sz val="11"/>
      <color rgb="FF000000"/>
      <name val="Arial"/>
      <family val="2"/>
    </font>
    <font>
      <sz val="11"/>
      <color rgb="FFFF5050"/>
      <name val="Calibri Light"/>
      <family val="2"/>
      <scheme val="major"/>
    </font>
    <font>
      <sz val="11"/>
      <color theme="0"/>
      <name val="Calibri Light"/>
      <family val="2"/>
      <scheme val="major"/>
    </font>
    <font>
      <b/>
      <sz val="11"/>
      <color rgb="FF000000"/>
      <name val="Arial"/>
      <family val="2"/>
    </font>
    <font>
      <sz val="11"/>
      <color theme="0" tint="-0.249977111117893"/>
      <name val="Calibri Light"/>
      <family val="2"/>
      <scheme val="major"/>
    </font>
    <font>
      <i/>
      <sz val="11"/>
      <color theme="0" tint="-0.249977111117893"/>
      <name val="Calibri Light"/>
      <family val="2"/>
      <scheme val="major"/>
    </font>
    <font>
      <sz val="9"/>
      <color indexed="81"/>
      <name val="Tahoma"/>
      <family val="2"/>
    </font>
    <font>
      <b/>
      <sz val="9"/>
      <color indexed="81"/>
      <name val="Tahoma"/>
      <family val="2"/>
    </font>
    <font>
      <sz val="12"/>
      <name val="Calibri Light"/>
      <family val="2"/>
      <scheme val="major"/>
    </font>
  </fonts>
  <fills count="12">
    <fill>
      <patternFill patternType="none"/>
    </fill>
    <fill>
      <patternFill patternType="gray125"/>
    </fill>
    <fill>
      <patternFill patternType="solid">
        <fgColor theme="0"/>
        <bgColor indexed="64"/>
      </patternFill>
    </fill>
    <fill>
      <patternFill patternType="solid">
        <fgColor rgb="FFF8F8F8"/>
        <bgColor indexed="64"/>
      </patternFill>
    </fill>
    <fill>
      <patternFill patternType="solid">
        <fgColor rgb="FFF3F3F3"/>
        <bgColor indexed="64"/>
      </patternFill>
    </fill>
    <fill>
      <patternFill patternType="solid">
        <fgColor rgb="FFD9D9D9"/>
        <bgColor indexed="64"/>
      </patternFill>
    </fill>
    <fill>
      <patternFill patternType="solid">
        <fgColor rgb="FF57BB8A"/>
        <bgColor indexed="64"/>
      </patternFill>
    </fill>
    <fill>
      <patternFill patternType="solid">
        <fgColor rgb="FF0B5394"/>
        <bgColor indexed="64"/>
      </patternFill>
    </fill>
    <fill>
      <patternFill patternType="solid">
        <fgColor rgb="FF9FC5E8"/>
        <bgColor indexed="64"/>
      </patternFill>
    </fill>
    <fill>
      <patternFill patternType="solid">
        <fgColor theme="8" tint="-0.249977111117893"/>
        <bgColor indexed="64"/>
      </patternFill>
    </fill>
    <fill>
      <patternFill patternType="solid">
        <fgColor rgb="FF1E1E1E"/>
        <bgColor indexed="64"/>
      </patternFill>
    </fill>
    <fill>
      <patternFill patternType="solid">
        <fgColor rgb="FF333333"/>
        <bgColor indexed="64"/>
      </patternFill>
    </fill>
  </fills>
  <borders count="63">
    <border>
      <left/>
      <right/>
      <top/>
      <bottom/>
      <diagonal/>
    </border>
    <border>
      <left/>
      <right/>
      <top style="thin">
        <color rgb="FFC0C0C0"/>
      </top>
      <bottom style="thin">
        <color rgb="FFC0C0C0"/>
      </bottom>
      <diagonal/>
    </border>
    <border>
      <left/>
      <right style="thin">
        <color rgb="FFC0C0C0"/>
      </right>
      <top style="thin">
        <color rgb="FFC0C0C0"/>
      </top>
      <bottom style="thin">
        <color rgb="FFC0C0C0"/>
      </bottom>
      <diagonal/>
    </border>
    <border>
      <left style="thin">
        <color rgb="FFC0C0C0"/>
      </left>
      <right/>
      <top style="thin">
        <color rgb="FFC0C0C0"/>
      </top>
      <bottom/>
      <diagonal/>
    </border>
    <border>
      <left/>
      <right/>
      <top style="thin">
        <color rgb="FFC0C0C0"/>
      </top>
      <bottom/>
      <diagonal/>
    </border>
    <border>
      <left/>
      <right style="thin">
        <color rgb="FFC0C0C0"/>
      </right>
      <top style="thin">
        <color rgb="FFC0C0C0"/>
      </top>
      <bottom/>
      <diagonal/>
    </border>
    <border>
      <left style="thin">
        <color rgb="FFC0C0C0"/>
      </left>
      <right/>
      <top/>
      <bottom/>
      <diagonal/>
    </border>
    <border>
      <left/>
      <right style="thin">
        <color rgb="FFC0C0C0"/>
      </right>
      <top/>
      <bottom/>
      <diagonal/>
    </border>
    <border>
      <left style="thin">
        <color rgb="FFC0C0C0"/>
      </left>
      <right/>
      <top/>
      <bottom style="thin">
        <color rgb="FFC0C0C0"/>
      </bottom>
      <diagonal/>
    </border>
    <border>
      <left/>
      <right/>
      <top/>
      <bottom style="thin">
        <color rgb="FFC0C0C0"/>
      </bottom>
      <diagonal/>
    </border>
    <border>
      <left/>
      <right style="thin">
        <color rgb="FFC0C0C0"/>
      </right>
      <top/>
      <bottom style="thin">
        <color rgb="FFC0C0C0"/>
      </bottom>
      <diagonal/>
    </border>
    <border>
      <left/>
      <right style="thin">
        <color rgb="FFC0C0C0"/>
      </right>
      <top/>
      <bottom style="thin">
        <color theme="2" tint="-9.9978637043366805E-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top style="thin">
        <color theme="2" tint="-9.9978637043366805E-2"/>
      </top>
      <bottom/>
      <diagonal/>
    </border>
    <border>
      <left/>
      <right/>
      <top style="thin">
        <color theme="2" tint="-9.9978637043366805E-2"/>
      </top>
      <bottom/>
      <diagonal/>
    </border>
    <border>
      <left/>
      <right style="thin">
        <color theme="2" tint="-9.9978637043366805E-2"/>
      </right>
      <top style="thin">
        <color theme="2" tint="-9.9978637043366805E-2"/>
      </top>
      <bottom/>
      <diagonal/>
    </border>
    <border>
      <left style="thin">
        <color theme="2" tint="-9.9978637043366805E-2"/>
      </left>
      <right/>
      <top/>
      <bottom/>
      <diagonal/>
    </border>
    <border>
      <left/>
      <right style="thin">
        <color theme="2" tint="-9.9978637043366805E-2"/>
      </right>
      <top/>
      <bottom/>
      <diagonal/>
    </border>
    <border>
      <left style="thin">
        <color theme="2" tint="-9.9978637043366805E-2"/>
      </left>
      <right/>
      <top/>
      <bottom style="thin">
        <color theme="2" tint="-9.9978637043366805E-2"/>
      </bottom>
      <diagonal/>
    </border>
    <border>
      <left/>
      <right/>
      <top/>
      <bottom style="thin">
        <color theme="2" tint="-9.9978637043366805E-2"/>
      </bottom>
      <diagonal/>
    </border>
    <border>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diagonal/>
    </border>
    <border>
      <left style="thin">
        <color theme="2" tint="-9.9978637043366805E-2"/>
      </left>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
      <left/>
      <right/>
      <top style="thin">
        <color theme="2" tint="-9.9978637043366805E-2"/>
      </top>
      <bottom style="thin">
        <color theme="2" tint="-9.9978637043366805E-2"/>
      </bottom>
      <diagonal/>
    </border>
    <border>
      <left style="thin">
        <color rgb="FFC0C0C0"/>
      </left>
      <right/>
      <top/>
      <bottom style="thin">
        <color theme="2" tint="-9.9978637043366805E-2"/>
      </bottom>
      <diagonal/>
    </border>
    <border>
      <left/>
      <right/>
      <top/>
      <bottom style="thin">
        <color theme="0" tint="-4.9989318521683403E-2"/>
      </bottom>
      <diagonal/>
    </border>
    <border>
      <left/>
      <right/>
      <top style="thin">
        <color indexed="64"/>
      </top>
      <bottom style="thin">
        <color indexed="64"/>
      </bottom>
      <diagonal/>
    </border>
    <border>
      <left/>
      <right/>
      <top/>
      <bottom style="thin">
        <color indexed="64"/>
      </bottom>
      <diagonal/>
    </border>
    <border>
      <left style="thin">
        <color theme="2"/>
      </left>
      <right style="thin">
        <color theme="2"/>
      </right>
      <top style="thin">
        <color theme="2"/>
      </top>
      <bottom style="thin">
        <color theme="2"/>
      </bottom>
      <diagonal/>
    </border>
    <border>
      <left/>
      <right/>
      <top style="thin">
        <color indexed="64"/>
      </top>
      <bottom/>
      <diagonal/>
    </border>
    <border>
      <left style="thin">
        <color theme="2"/>
      </left>
      <right style="thin">
        <color indexed="64"/>
      </right>
      <top style="thin">
        <color theme="2"/>
      </top>
      <bottom style="thin">
        <color theme="2"/>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style="thin">
        <color indexed="64"/>
      </top>
      <bottom style="thin">
        <color theme="8" tint="-0.249977111117893"/>
      </bottom>
      <diagonal/>
    </border>
    <border>
      <left style="thin">
        <color indexed="64"/>
      </left>
      <right/>
      <top style="thin">
        <color theme="8" tint="-0.249977111117893"/>
      </top>
      <bottom style="thin">
        <color theme="8" tint="-0.249977111117893"/>
      </bottom>
      <diagonal/>
    </border>
    <border>
      <left style="thin">
        <color indexed="64"/>
      </left>
      <right/>
      <top style="thin">
        <color theme="8" tint="-0.249977111117893"/>
      </top>
      <bottom style="thin">
        <color indexed="64"/>
      </bottom>
      <diagonal/>
    </border>
    <border>
      <left/>
      <right/>
      <top style="thin">
        <color theme="8" tint="-0.249977111117893"/>
      </top>
      <bottom style="thin">
        <color theme="8" tint="-0.249977111117893"/>
      </bottom>
      <diagonal/>
    </border>
    <border>
      <left/>
      <right style="thin">
        <color indexed="64"/>
      </right>
      <top/>
      <bottom/>
      <diagonal/>
    </border>
    <border>
      <left style="thin">
        <color theme="2" tint="-9.9978637043366805E-2"/>
      </left>
      <right style="thin">
        <color theme="2" tint="-9.9978637043366805E-2"/>
      </right>
      <top style="thin">
        <color theme="2" tint="-9.9978637043366805E-2"/>
      </top>
      <bottom style="thin">
        <color indexed="64"/>
      </bottom>
      <diagonal/>
    </border>
    <border>
      <left style="thin">
        <color theme="2"/>
      </left>
      <right style="thin">
        <color theme="2"/>
      </right>
      <top style="thin">
        <color theme="2"/>
      </top>
      <bottom style="thin">
        <color indexed="64"/>
      </bottom>
      <diagonal/>
    </border>
    <border>
      <left style="thin">
        <color theme="2"/>
      </left>
      <right style="thin">
        <color indexed="64"/>
      </right>
      <top style="thin">
        <color theme="2"/>
      </top>
      <bottom style="thin">
        <color indexed="64"/>
      </bottom>
      <diagonal/>
    </border>
    <border>
      <left/>
      <right style="thin">
        <color indexed="64"/>
      </right>
      <top style="thin">
        <color indexed="64"/>
      </top>
      <bottom style="thin">
        <color indexed="64"/>
      </bottom>
      <diagonal/>
    </border>
    <border>
      <left style="thin">
        <color theme="2"/>
      </left>
      <right style="thin">
        <color theme="2" tint="-9.9978637043366805E-2"/>
      </right>
      <top/>
      <bottom/>
      <diagonal/>
    </border>
    <border>
      <left style="thin">
        <color theme="2"/>
      </left>
      <right style="thin">
        <color theme="2"/>
      </right>
      <top/>
      <bottom/>
      <diagonal/>
    </border>
    <border>
      <left style="thin">
        <color theme="2"/>
      </left>
      <right style="thin">
        <color indexed="64"/>
      </right>
      <top/>
      <bottom/>
      <diagonal/>
    </border>
    <border>
      <left style="thin">
        <color indexed="64"/>
      </left>
      <right/>
      <top style="thin">
        <color indexed="64"/>
      </top>
      <bottom style="thin">
        <color theme="2"/>
      </bottom>
      <diagonal/>
    </border>
    <border>
      <left style="thin">
        <color theme="2" tint="-9.9978637043366805E-2"/>
      </left>
      <right style="thin">
        <color theme="2" tint="-9.9978637043366805E-2"/>
      </right>
      <top style="thin">
        <color indexed="64"/>
      </top>
      <bottom style="thin">
        <color theme="2" tint="-9.9978637043366805E-2"/>
      </bottom>
      <diagonal/>
    </border>
    <border>
      <left style="thin">
        <color theme="2" tint="-9.9978637043366805E-2"/>
      </left>
      <right/>
      <top style="thin">
        <color indexed="64"/>
      </top>
      <bottom style="thin">
        <color theme="2" tint="-9.9978637043366805E-2"/>
      </bottom>
      <diagonal/>
    </border>
    <border>
      <left style="thin">
        <color theme="2"/>
      </left>
      <right style="thin">
        <color theme="2"/>
      </right>
      <top style="thin">
        <color indexed="64"/>
      </top>
      <bottom style="thin">
        <color theme="2"/>
      </bottom>
      <diagonal/>
    </border>
    <border>
      <left style="thin">
        <color theme="2"/>
      </left>
      <right style="thin">
        <color indexed="64"/>
      </right>
      <top style="thin">
        <color indexed="64"/>
      </top>
      <bottom style="thin">
        <color theme="2"/>
      </bottom>
      <diagonal/>
    </border>
    <border>
      <left style="thin">
        <color indexed="64"/>
      </left>
      <right/>
      <top style="thin">
        <color theme="2"/>
      </top>
      <bottom style="thin">
        <color theme="2"/>
      </bottom>
      <diagonal/>
    </border>
    <border>
      <left style="thin">
        <color indexed="64"/>
      </left>
      <right style="thin">
        <color theme="2" tint="-9.9978637043366805E-2"/>
      </right>
      <top style="thin">
        <color theme="2"/>
      </top>
      <bottom style="thin">
        <color indexed="64"/>
      </bottom>
      <diagonal/>
    </border>
    <border>
      <left style="thin">
        <color theme="2" tint="-9.9978637043366805E-2"/>
      </left>
      <right/>
      <top style="thin">
        <color theme="2" tint="-9.9978637043366805E-2"/>
      </top>
      <bottom style="thin">
        <color indexed="64"/>
      </bottom>
      <diagonal/>
    </border>
    <border>
      <left/>
      <right/>
      <top style="thick">
        <color rgb="FFFFFFFF"/>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rgb="FFC0C0C0"/>
      </top>
      <bottom style="thin">
        <color theme="2" tint="-0.499984740745262"/>
      </bottom>
      <diagonal/>
    </border>
    <border>
      <left/>
      <right style="thin">
        <color rgb="FFC0C0C0"/>
      </right>
      <top style="thin">
        <color rgb="FFC0C0C0"/>
      </top>
      <bottom style="thin">
        <color theme="2" tint="-0.499984740745262"/>
      </bottom>
      <diagonal/>
    </border>
    <border>
      <left/>
      <right/>
      <top/>
      <bottom style="thin">
        <color theme="2" tint="-0.499984740745262"/>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applyNumberFormat="0" applyFill="0" applyBorder="0" applyAlignment="0" applyProtection="0"/>
  </cellStyleXfs>
  <cellXfs count="265">
    <xf numFmtId="0" fontId="0" fillId="0" borderId="0" xfId="0"/>
    <xf numFmtId="0" fontId="3" fillId="2" borderId="2" xfId="0" applyFont="1" applyFill="1" applyBorder="1" applyAlignment="1">
      <alignment vertical="center"/>
    </xf>
    <xf numFmtId="0" fontId="3" fillId="2" borderId="1" xfId="0" applyFont="1" applyFill="1" applyBorder="1" applyAlignment="1">
      <alignment vertical="center"/>
    </xf>
    <xf numFmtId="2" fontId="3" fillId="2" borderId="2" xfId="0" applyNumberFormat="1" applyFont="1" applyFill="1" applyBorder="1" applyAlignment="1">
      <alignment vertical="center"/>
    </xf>
    <xf numFmtId="3" fontId="3" fillId="2" borderId="1" xfId="0" applyNumberFormat="1" applyFont="1" applyFill="1" applyBorder="1" applyAlignment="1">
      <alignment horizontal="right" vertical="center"/>
    </xf>
    <xf numFmtId="0" fontId="3" fillId="2" borderId="7" xfId="0" applyFont="1" applyFill="1" applyBorder="1"/>
    <xf numFmtId="0" fontId="3" fillId="2" borderId="0" xfId="0" applyFont="1" applyFill="1"/>
    <xf numFmtId="0" fontId="4" fillId="2" borderId="7" xfId="0" applyFont="1" applyFill="1" applyBorder="1" applyAlignment="1">
      <alignment horizontal="center" vertical="center"/>
    </xf>
    <xf numFmtId="2" fontId="5" fillId="2" borderId="2" xfId="0" applyNumberFormat="1" applyFont="1" applyFill="1" applyBorder="1" applyAlignment="1">
      <alignment vertical="center"/>
    </xf>
    <xf numFmtId="2" fontId="3" fillId="2" borderId="10" xfId="0" applyNumberFormat="1" applyFont="1" applyFill="1" applyBorder="1" applyAlignment="1">
      <alignment vertical="center"/>
    </xf>
    <xf numFmtId="4" fontId="3" fillId="2" borderId="9" xfId="0" applyNumberFormat="1" applyFont="1" applyFill="1" applyBorder="1" applyAlignment="1">
      <alignment horizontal="right" vertical="center"/>
    </xf>
    <xf numFmtId="0" fontId="3" fillId="0" borderId="0" xfId="0" applyFont="1"/>
    <xf numFmtId="3" fontId="3" fillId="2" borderId="3" xfId="0" applyNumberFormat="1" applyFont="1" applyFill="1" applyBorder="1" applyAlignment="1">
      <alignment horizontal="center" vertical="center"/>
    </xf>
    <xf numFmtId="0" fontId="3" fillId="2" borderId="0" xfId="0" applyFont="1" applyFill="1" applyAlignment="1">
      <alignment vertical="center"/>
    </xf>
    <xf numFmtId="0" fontId="3" fillId="0" borderId="0" xfId="0" applyFont="1" applyAlignment="1">
      <alignment vertical="center"/>
    </xf>
    <xf numFmtId="0" fontId="3" fillId="2" borderId="6" xfId="0" applyFont="1" applyFill="1" applyBorder="1" applyAlignment="1">
      <alignment vertical="center"/>
    </xf>
    <xf numFmtId="0" fontId="3" fillId="2" borderId="6" xfId="0" applyFont="1" applyFill="1" applyBorder="1"/>
    <xf numFmtId="0" fontId="3" fillId="2" borderId="8" xfId="0" applyFont="1" applyFill="1" applyBorder="1"/>
    <xf numFmtId="0" fontId="3" fillId="2" borderId="10" xfId="0" applyFont="1" applyFill="1" applyBorder="1"/>
    <xf numFmtId="0" fontId="3" fillId="2" borderId="9" xfId="0" applyFont="1" applyFill="1" applyBorder="1"/>
    <xf numFmtId="0" fontId="3" fillId="2" borderId="0" xfId="0" applyFont="1" applyFill="1" applyAlignment="1">
      <alignment horizontal="center"/>
    </xf>
    <xf numFmtId="0" fontId="3" fillId="2" borderId="13" xfId="0" applyFont="1" applyFill="1" applyBorder="1" applyAlignment="1">
      <alignment vertical="center"/>
    </xf>
    <xf numFmtId="0" fontId="3" fillId="2" borderId="15" xfId="0" applyFont="1" applyFill="1" applyBorder="1" applyAlignment="1">
      <alignment vertical="center"/>
    </xf>
    <xf numFmtId="0" fontId="3" fillId="2" borderId="16" xfId="0" applyFont="1" applyFill="1" applyBorder="1" applyAlignment="1">
      <alignment vertical="center"/>
    </xf>
    <xf numFmtId="0" fontId="3" fillId="2" borderId="17" xfId="0" applyFont="1" applyFill="1" applyBorder="1" applyAlignment="1">
      <alignment vertical="center"/>
    </xf>
    <xf numFmtId="0" fontId="3" fillId="2" borderId="16" xfId="0" applyFont="1" applyFill="1" applyBorder="1"/>
    <xf numFmtId="0" fontId="3" fillId="2" borderId="17" xfId="0" applyFont="1" applyFill="1" applyBorder="1"/>
    <xf numFmtId="0" fontId="3" fillId="2" borderId="18" xfId="0" applyFont="1" applyFill="1" applyBorder="1"/>
    <xf numFmtId="0" fontId="3" fillId="2" borderId="19" xfId="0" applyFont="1" applyFill="1" applyBorder="1"/>
    <xf numFmtId="0" fontId="3" fillId="2" borderId="20" xfId="0" applyFont="1" applyFill="1" applyBorder="1"/>
    <xf numFmtId="0" fontId="3" fillId="2" borderId="14" xfId="0" applyFont="1" applyFill="1" applyBorder="1" applyAlignment="1">
      <alignment horizontal="center" vertical="center"/>
    </xf>
    <xf numFmtId="9" fontId="3" fillId="2" borderId="1" xfId="2" applyFont="1" applyFill="1" applyBorder="1" applyAlignment="1">
      <alignment horizontal="right" vertical="center"/>
    </xf>
    <xf numFmtId="0" fontId="3" fillId="2" borderId="21" xfId="0" applyFont="1" applyFill="1" applyBorder="1" applyAlignment="1">
      <alignment vertical="center"/>
    </xf>
    <xf numFmtId="0" fontId="3" fillId="2" borderId="22" xfId="0" applyFont="1" applyFill="1" applyBorder="1" applyAlignment="1">
      <alignment vertical="center"/>
    </xf>
    <xf numFmtId="0" fontId="3" fillId="2" borderId="12" xfId="0" applyFont="1" applyFill="1" applyBorder="1" applyAlignment="1">
      <alignment vertical="center"/>
    </xf>
    <xf numFmtId="0" fontId="3" fillId="2" borderId="21" xfId="0" applyFont="1" applyFill="1" applyBorder="1"/>
    <xf numFmtId="0" fontId="3" fillId="2" borderId="22" xfId="0" applyFont="1" applyFill="1" applyBorder="1"/>
    <xf numFmtId="0" fontId="3" fillId="2" borderId="12" xfId="0" applyFont="1" applyFill="1" applyBorder="1"/>
    <xf numFmtId="0" fontId="4" fillId="2" borderId="0" xfId="0" applyFont="1" applyFill="1" applyAlignment="1">
      <alignment horizontal="center"/>
    </xf>
    <xf numFmtId="0" fontId="3" fillId="2" borderId="0" xfId="0" applyFont="1" applyFill="1" applyAlignment="1">
      <alignment horizontal="center" vertical="center"/>
    </xf>
    <xf numFmtId="0" fontId="3" fillId="2" borderId="14" xfId="0" applyFont="1" applyFill="1" applyBorder="1"/>
    <xf numFmtId="0" fontId="4" fillId="2" borderId="14" xfId="0" applyFont="1" applyFill="1" applyBorder="1" applyAlignment="1">
      <alignment horizontal="center"/>
    </xf>
    <xf numFmtId="0" fontId="3" fillId="2" borderId="15" xfId="0" applyFont="1" applyFill="1" applyBorder="1"/>
    <xf numFmtId="0" fontId="6" fillId="2" borderId="19" xfId="0" applyFont="1" applyFill="1" applyBorder="1" applyAlignment="1">
      <alignment horizontal="center" vertical="center"/>
    </xf>
    <xf numFmtId="0" fontId="4" fillId="2" borderId="19" xfId="0" applyFont="1" applyFill="1" applyBorder="1" applyAlignment="1">
      <alignment horizontal="center"/>
    </xf>
    <xf numFmtId="0" fontId="3" fillId="2" borderId="23" xfId="0" applyFont="1" applyFill="1" applyBorder="1"/>
    <xf numFmtId="0" fontId="3" fillId="2" borderId="14" xfId="0" applyFont="1" applyFill="1" applyBorder="1" applyAlignment="1">
      <alignment horizontal="left"/>
    </xf>
    <xf numFmtId="165" fontId="3" fillId="2" borderId="0" xfId="1" applyNumberFormat="1" applyFont="1" applyFill="1" applyBorder="1"/>
    <xf numFmtId="0" fontId="4" fillId="2" borderId="17" xfId="0" applyFont="1" applyFill="1" applyBorder="1" applyAlignment="1">
      <alignment horizontal="center"/>
    </xf>
    <xf numFmtId="10" fontId="4" fillId="2" borderId="0" xfId="0" applyNumberFormat="1" applyFont="1" applyFill="1" applyAlignment="1">
      <alignment horizontal="right" vertical="center"/>
    </xf>
    <xf numFmtId="165" fontId="4" fillId="2" borderId="0" xfId="0" applyNumberFormat="1" applyFont="1" applyFill="1" applyAlignment="1">
      <alignment horizontal="right" vertical="center"/>
    </xf>
    <xf numFmtId="165" fontId="3" fillId="2" borderId="0" xfId="0" applyNumberFormat="1" applyFont="1" applyFill="1" applyAlignment="1">
      <alignment horizontal="left" vertical="center"/>
    </xf>
    <xf numFmtId="0" fontId="3" fillId="2" borderId="24" xfId="0" applyFont="1" applyFill="1" applyBorder="1" applyAlignment="1">
      <alignment horizontal="left" vertical="center"/>
    </xf>
    <xf numFmtId="0" fontId="12" fillId="2" borderId="23" xfId="0" applyFont="1" applyFill="1" applyBorder="1" applyAlignment="1">
      <alignment horizontal="right" vertical="center"/>
    </xf>
    <xf numFmtId="44" fontId="3" fillId="2" borderId="0" xfId="0" applyNumberFormat="1" applyFont="1" applyFill="1" applyAlignment="1">
      <alignment horizontal="left" vertical="center"/>
    </xf>
    <xf numFmtId="0" fontId="3" fillId="2" borderId="26" xfId="0" applyFont="1" applyFill="1" applyBorder="1"/>
    <xf numFmtId="0" fontId="3" fillId="2" borderId="11" xfId="0" applyFont="1" applyFill="1" applyBorder="1"/>
    <xf numFmtId="10" fontId="3" fillId="2" borderId="0" xfId="2" applyNumberFormat="1" applyFont="1" applyFill="1" applyBorder="1"/>
    <xf numFmtId="0" fontId="3" fillId="2" borderId="0" xfId="0" applyFont="1" applyFill="1" applyAlignment="1">
      <alignment horizontal="left"/>
    </xf>
    <xf numFmtId="9" fontId="7" fillId="2" borderId="0" xfId="2" applyFont="1" applyFill="1" applyBorder="1" applyAlignment="1">
      <alignment horizontal="left" vertical="top"/>
    </xf>
    <xf numFmtId="0" fontId="4" fillId="2" borderId="0" xfId="0" applyFont="1" applyFill="1"/>
    <xf numFmtId="0" fontId="5" fillId="2" borderId="0" xfId="0" applyFont="1" applyFill="1"/>
    <xf numFmtId="3" fontId="3" fillId="2" borderId="0" xfId="0" applyNumberFormat="1" applyFont="1" applyFill="1"/>
    <xf numFmtId="3" fontId="5" fillId="2" borderId="0" xfId="0" applyNumberFormat="1" applyFont="1" applyFill="1"/>
    <xf numFmtId="0" fontId="8" fillId="2" borderId="0" xfId="0" applyFont="1" applyFill="1"/>
    <xf numFmtId="9" fontId="3" fillId="2" borderId="0" xfId="0" applyNumberFormat="1" applyFont="1" applyFill="1" applyAlignment="1">
      <alignment horizontal="center"/>
    </xf>
    <xf numFmtId="9" fontId="3" fillId="2" borderId="0" xfId="2" applyFont="1" applyFill="1" applyBorder="1" applyAlignment="1">
      <alignment horizontal="center"/>
    </xf>
    <xf numFmtId="3" fontId="3" fillId="2" borderId="0" xfId="0" applyNumberFormat="1" applyFont="1" applyFill="1" applyAlignment="1">
      <alignment horizontal="center"/>
    </xf>
    <xf numFmtId="3" fontId="3" fillId="0" borderId="0" xfId="0" applyNumberFormat="1" applyFont="1"/>
    <xf numFmtId="0" fontId="4" fillId="2" borderId="4" xfId="0" applyFont="1" applyFill="1" applyBorder="1" applyAlignment="1">
      <alignment horizontal="center"/>
    </xf>
    <xf numFmtId="0" fontId="3" fillId="2" borderId="27" xfId="0" applyFont="1" applyFill="1" applyBorder="1"/>
    <xf numFmtId="0" fontId="3" fillId="2" borderId="13" xfId="0" applyFont="1" applyFill="1" applyBorder="1"/>
    <xf numFmtId="0" fontId="3" fillId="2" borderId="25" xfId="0" applyFont="1" applyFill="1" applyBorder="1"/>
    <xf numFmtId="0" fontId="14" fillId="0" borderId="0" xfId="0" applyFont="1"/>
    <xf numFmtId="2" fontId="3" fillId="2" borderId="7" xfId="0" applyNumberFormat="1" applyFont="1" applyFill="1" applyBorder="1" applyAlignment="1">
      <alignment vertical="center"/>
    </xf>
    <xf numFmtId="4" fontId="3" fillId="2" borderId="0" xfId="0" applyNumberFormat="1" applyFont="1" applyFill="1" applyAlignment="1">
      <alignment horizontal="right" vertical="center"/>
    </xf>
    <xf numFmtId="9" fontId="3" fillId="2" borderId="0" xfId="2" applyFont="1" applyFill="1" applyBorder="1" applyAlignment="1">
      <alignment horizontal="left" vertical="top"/>
    </xf>
    <xf numFmtId="167" fontId="3" fillId="2" borderId="22" xfId="0" applyNumberFormat="1" applyFont="1" applyFill="1" applyBorder="1" applyAlignment="1">
      <alignment vertical="center"/>
    </xf>
    <xf numFmtId="165" fontId="12" fillId="2" borderId="0" xfId="0" applyNumberFormat="1" applyFont="1" applyFill="1" applyAlignment="1">
      <alignment horizontal="left" vertical="center"/>
    </xf>
    <xf numFmtId="3" fontId="6" fillId="2" borderId="0" xfId="0" applyNumberFormat="1" applyFont="1" applyFill="1" applyAlignment="1">
      <alignment horizontal="center" vertical="center"/>
    </xf>
    <xf numFmtId="0" fontId="27" fillId="0" borderId="0" xfId="0" applyFont="1"/>
    <xf numFmtId="0" fontId="16" fillId="5" borderId="12" xfId="0" applyFont="1" applyFill="1" applyBorder="1" applyAlignment="1">
      <alignment wrapText="1"/>
    </xf>
    <xf numFmtId="0" fontId="16" fillId="5" borderId="23" xfId="0" applyFont="1" applyFill="1" applyBorder="1" applyAlignment="1">
      <alignment wrapText="1"/>
    </xf>
    <xf numFmtId="165" fontId="16" fillId="4" borderId="30" xfId="0" applyNumberFormat="1" applyFont="1" applyFill="1" applyBorder="1" applyAlignment="1">
      <alignment horizontal="right" wrapText="1"/>
    </xf>
    <xf numFmtId="168" fontId="16" fillId="4" borderId="30" xfId="0" applyNumberFormat="1" applyFont="1" applyFill="1" applyBorder="1" applyAlignment="1">
      <alignment horizontal="right" wrapText="1"/>
    </xf>
    <xf numFmtId="4" fontId="16" fillId="4" borderId="30" xfId="0" applyNumberFormat="1" applyFont="1" applyFill="1" applyBorder="1" applyAlignment="1">
      <alignment horizontal="right" wrapText="1"/>
    </xf>
    <xf numFmtId="169" fontId="16" fillId="4" borderId="30" xfId="0" applyNumberFormat="1" applyFont="1" applyFill="1" applyBorder="1" applyAlignment="1">
      <alignment horizontal="right" wrapText="1"/>
    </xf>
    <xf numFmtId="0" fontId="17" fillId="9" borderId="28" xfId="0" applyFont="1" applyFill="1" applyBorder="1" applyAlignment="1">
      <alignment horizontal="right" vertical="center" wrapText="1"/>
    </xf>
    <xf numFmtId="0" fontId="18" fillId="9" borderId="28" xfId="0" applyFont="1" applyFill="1" applyBorder="1" applyAlignment="1">
      <alignment horizontal="right" vertical="center" wrapText="1"/>
    </xf>
    <xf numFmtId="0" fontId="19" fillId="9" borderId="28" xfId="0" applyFont="1" applyFill="1" applyBorder="1" applyAlignment="1">
      <alignment horizontal="right" vertical="center" wrapText="1"/>
    </xf>
    <xf numFmtId="0" fontId="22" fillId="9" borderId="28" xfId="0" applyFont="1" applyFill="1" applyBorder="1" applyAlignment="1">
      <alignment horizontal="right" vertical="center" wrapText="1"/>
    </xf>
    <xf numFmtId="10" fontId="17" fillId="9" borderId="28" xfId="0" applyNumberFormat="1" applyFont="1" applyFill="1" applyBorder="1" applyAlignment="1">
      <alignment horizontal="right" vertical="center" wrapText="1"/>
    </xf>
    <xf numFmtId="0" fontId="20" fillId="9" borderId="28" xfId="0" applyFont="1" applyFill="1" applyBorder="1" applyAlignment="1">
      <alignment horizontal="right" vertical="center" wrapText="1"/>
    </xf>
    <xf numFmtId="10" fontId="21" fillId="9" borderId="28" xfId="0" applyNumberFormat="1" applyFont="1" applyFill="1" applyBorder="1" applyAlignment="1">
      <alignment horizontal="right" vertical="center" wrapText="1"/>
    </xf>
    <xf numFmtId="10" fontId="19" fillId="9" borderId="28" xfId="0" applyNumberFormat="1" applyFont="1" applyFill="1" applyBorder="1" applyAlignment="1">
      <alignment horizontal="right" vertical="center" wrapText="1"/>
    </xf>
    <xf numFmtId="0" fontId="21" fillId="9" borderId="28" xfId="0" applyFont="1" applyFill="1" applyBorder="1" applyAlignment="1">
      <alignment horizontal="right" vertical="center" wrapText="1"/>
    </xf>
    <xf numFmtId="10" fontId="23" fillId="9" borderId="28" xfId="0" applyNumberFormat="1" applyFont="1" applyFill="1" applyBorder="1" applyAlignment="1">
      <alignment horizontal="right" vertical="center" wrapText="1"/>
    </xf>
    <xf numFmtId="10" fontId="20" fillId="9" borderId="28" xfId="0" applyNumberFormat="1" applyFont="1" applyFill="1" applyBorder="1" applyAlignment="1">
      <alignment horizontal="right" vertical="center" wrapText="1"/>
    </xf>
    <xf numFmtId="10" fontId="19" fillId="9" borderId="29" xfId="0" applyNumberFormat="1" applyFont="1" applyFill="1" applyBorder="1" applyAlignment="1">
      <alignment horizontal="right" vertical="center" wrapText="1"/>
    </xf>
    <xf numFmtId="170" fontId="8" fillId="2" borderId="25" xfId="0" applyNumberFormat="1" applyFont="1" applyFill="1" applyBorder="1" applyAlignment="1">
      <alignment vertical="center"/>
    </xf>
    <xf numFmtId="9" fontId="20" fillId="9" borderId="28" xfId="2" applyFont="1" applyFill="1" applyBorder="1" applyAlignment="1">
      <alignment horizontal="right" vertical="center" wrapText="1"/>
    </xf>
    <xf numFmtId="9" fontId="19" fillId="9" borderId="28" xfId="2" applyFont="1" applyFill="1" applyBorder="1" applyAlignment="1">
      <alignment horizontal="right" vertical="center" wrapText="1"/>
    </xf>
    <xf numFmtId="0" fontId="16" fillId="4" borderId="32" xfId="0" applyFont="1" applyFill="1" applyBorder="1" applyAlignment="1">
      <alignment horizontal="right" wrapText="1"/>
    </xf>
    <xf numFmtId="10" fontId="19" fillId="9" borderId="31" xfId="0" applyNumberFormat="1" applyFont="1" applyFill="1" applyBorder="1" applyAlignment="1">
      <alignment horizontal="right" vertical="center" wrapText="1"/>
    </xf>
    <xf numFmtId="9" fontId="17" fillId="9" borderId="28" xfId="2" applyFont="1" applyFill="1" applyBorder="1" applyAlignment="1">
      <alignment horizontal="right" vertical="center" wrapText="1"/>
    </xf>
    <xf numFmtId="9" fontId="22" fillId="9" borderId="28" xfId="2" applyFont="1" applyFill="1" applyBorder="1" applyAlignment="1">
      <alignment horizontal="right" vertical="center" wrapText="1"/>
    </xf>
    <xf numFmtId="10" fontId="29" fillId="9" borderId="28" xfId="0" applyNumberFormat="1" applyFont="1" applyFill="1" applyBorder="1" applyAlignment="1">
      <alignment horizontal="right" vertical="center" wrapText="1"/>
    </xf>
    <xf numFmtId="0" fontId="25" fillId="8" borderId="34" xfId="0" applyFont="1" applyFill="1" applyBorder="1" applyAlignment="1">
      <alignment horizontal="center" wrapText="1"/>
    </xf>
    <xf numFmtId="0" fontId="26" fillId="8" borderId="0" xfId="0" applyFont="1" applyFill="1" applyAlignment="1">
      <alignment horizontal="center" wrapText="1"/>
    </xf>
    <xf numFmtId="0" fontId="25" fillId="8" borderId="0" xfId="0" applyFont="1" applyFill="1" applyAlignment="1">
      <alignment horizontal="center" wrapText="1"/>
    </xf>
    <xf numFmtId="0" fontId="25" fillId="8" borderId="29" xfId="0" applyFont="1" applyFill="1" applyBorder="1" applyAlignment="1">
      <alignment horizontal="center" wrapText="1"/>
    </xf>
    <xf numFmtId="14" fontId="28" fillId="7" borderId="35" xfId="0" applyNumberFormat="1" applyFont="1" applyFill="1" applyBorder="1" applyAlignment="1">
      <alignment horizontal="center" wrapText="1"/>
    </xf>
    <xf numFmtId="14" fontId="28" fillId="7" borderId="36" xfId="0" applyNumberFormat="1" applyFont="1" applyFill="1" applyBorder="1" applyAlignment="1">
      <alignment horizontal="center" wrapText="1"/>
    </xf>
    <xf numFmtId="14" fontId="28" fillId="7" borderId="37" xfId="0" applyNumberFormat="1" applyFont="1" applyFill="1" applyBorder="1" applyAlignment="1">
      <alignment horizontal="center" wrapText="1"/>
    </xf>
    <xf numFmtId="14" fontId="28" fillId="7" borderId="38" xfId="0" applyNumberFormat="1" applyFont="1" applyFill="1" applyBorder="1" applyAlignment="1">
      <alignment horizontal="center" wrapText="1"/>
    </xf>
    <xf numFmtId="14" fontId="28" fillId="7" borderId="0" xfId="0" applyNumberFormat="1" applyFont="1" applyFill="1" applyAlignment="1">
      <alignment horizontal="center" wrapText="1"/>
    </xf>
    <xf numFmtId="0" fontId="16" fillId="4" borderId="44" xfId="0" applyFont="1" applyFill="1" applyBorder="1" applyAlignment="1">
      <alignment horizontal="center" wrapText="1"/>
    </xf>
    <xf numFmtId="0" fontId="16" fillId="5" borderId="22" xfId="0" applyFont="1" applyFill="1" applyBorder="1" applyAlignment="1">
      <alignment wrapText="1"/>
    </xf>
    <xf numFmtId="0" fontId="16" fillId="4" borderId="45" xfId="0" applyFont="1" applyFill="1" applyBorder="1" applyAlignment="1">
      <alignment horizontal="right" wrapText="1"/>
    </xf>
    <xf numFmtId="0" fontId="16" fillId="4" borderId="46" xfId="0" applyFont="1" applyFill="1" applyBorder="1" applyAlignment="1">
      <alignment horizontal="right" wrapText="1"/>
    </xf>
    <xf numFmtId="171" fontId="16" fillId="6" borderId="34" xfId="0" applyNumberFormat="1" applyFont="1" applyFill="1" applyBorder="1" applyAlignment="1">
      <alignment horizontal="center" wrapText="1"/>
    </xf>
    <xf numFmtId="0" fontId="16" fillId="5" borderId="40" xfId="0" applyFont="1" applyFill="1" applyBorder="1" applyAlignment="1">
      <alignment wrapText="1"/>
    </xf>
    <xf numFmtId="165" fontId="16" fillId="4" borderId="41" xfId="0" applyNumberFormat="1" applyFont="1" applyFill="1" applyBorder="1" applyAlignment="1">
      <alignment horizontal="right" wrapText="1"/>
    </xf>
    <xf numFmtId="0" fontId="16" fillId="4" borderId="42" xfId="0" applyFont="1" applyFill="1" applyBorder="1" applyAlignment="1">
      <alignment horizontal="right" wrapText="1"/>
    </xf>
    <xf numFmtId="0" fontId="24" fillId="9" borderId="28" xfId="0" applyFont="1" applyFill="1" applyBorder="1" applyAlignment="1">
      <alignment horizontal="right" vertical="center" wrapText="1"/>
    </xf>
    <xf numFmtId="0" fontId="24" fillId="9" borderId="29" xfId="0" applyFont="1" applyFill="1" applyBorder="1" applyAlignment="1">
      <alignment horizontal="right" vertical="center" wrapText="1"/>
    </xf>
    <xf numFmtId="0" fontId="24" fillId="9" borderId="43" xfId="0" applyFont="1" applyFill="1" applyBorder="1" applyAlignment="1">
      <alignment horizontal="right" vertical="center" wrapText="1"/>
    </xf>
    <xf numFmtId="9" fontId="30" fillId="9" borderId="34" xfId="0" applyNumberFormat="1" applyFont="1" applyFill="1" applyBorder="1" applyAlignment="1">
      <alignment horizontal="right" vertical="center" wrapText="1"/>
    </xf>
    <xf numFmtId="0" fontId="30" fillId="9" borderId="0" xfId="0" applyFont="1" applyFill="1" applyAlignment="1">
      <alignment horizontal="right" vertical="center" wrapText="1"/>
    </xf>
    <xf numFmtId="10" fontId="30" fillId="9" borderId="0" xfId="0" applyNumberFormat="1" applyFont="1" applyFill="1" applyAlignment="1">
      <alignment horizontal="right" vertical="center" wrapText="1"/>
    </xf>
    <xf numFmtId="0" fontId="31" fillId="9" borderId="0" xfId="0" applyFont="1" applyFill="1" applyAlignment="1">
      <alignment horizontal="right" vertical="center" wrapText="1"/>
    </xf>
    <xf numFmtId="10" fontId="31" fillId="9" borderId="0" xfId="0" applyNumberFormat="1" applyFont="1" applyFill="1" applyAlignment="1">
      <alignment horizontal="right" vertical="center" wrapText="1"/>
    </xf>
    <xf numFmtId="0" fontId="31" fillId="9" borderId="39" xfId="0" applyFont="1" applyFill="1" applyBorder="1" applyAlignment="1">
      <alignment horizontal="right" vertical="center" wrapText="1"/>
    </xf>
    <xf numFmtId="9" fontId="19" fillId="9" borderId="28" xfId="0" applyNumberFormat="1" applyFont="1" applyFill="1" applyBorder="1" applyAlignment="1">
      <alignment horizontal="right" vertical="center" wrapText="1"/>
    </xf>
    <xf numFmtId="9" fontId="19" fillId="9" borderId="33" xfId="2" applyFont="1" applyFill="1" applyBorder="1" applyAlignment="1">
      <alignment horizontal="right" vertical="center" wrapText="1"/>
    </xf>
    <xf numFmtId="9" fontId="30" fillId="9" borderId="0" xfId="0" applyNumberFormat="1" applyFont="1" applyFill="1" applyAlignment="1">
      <alignment horizontal="right" vertical="center" wrapText="1"/>
    </xf>
    <xf numFmtId="10" fontId="20" fillId="9" borderId="31" xfId="0" applyNumberFormat="1" applyFont="1" applyFill="1" applyBorder="1" applyAlignment="1">
      <alignment horizontal="right" vertical="center" wrapText="1"/>
    </xf>
    <xf numFmtId="10" fontId="17" fillId="9" borderId="29" xfId="0" applyNumberFormat="1" applyFont="1" applyFill="1" applyBorder="1" applyAlignment="1">
      <alignment horizontal="right" vertical="center" wrapText="1"/>
    </xf>
    <xf numFmtId="0" fontId="19" fillId="9" borderId="29" xfId="0" applyFont="1" applyFill="1" applyBorder="1" applyAlignment="1">
      <alignment horizontal="right" vertical="center" wrapText="1"/>
    </xf>
    <xf numFmtId="10" fontId="17" fillId="9" borderId="31" xfId="0" applyNumberFormat="1" applyFont="1" applyFill="1" applyBorder="1" applyAlignment="1">
      <alignment horizontal="right" vertical="center" wrapText="1"/>
    </xf>
    <xf numFmtId="9" fontId="16" fillId="5" borderId="23" xfId="2" applyFont="1" applyFill="1" applyBorder="1" applyAlignment="1">
      <alignment wrapText="1"/>
    </xf>
    <xf numFmtId="9" fontId="17" fillId="9" borderId="29" xfId="2" applyFont="1" applyFill="1" applyBorder="1" applyAlignment="1">
      <alignment horizontal="right" vertical="center" wrapText="1"/>
    </xf>
    <xf numFmtId="0" fontId="19" fillId="9" borderId="43" xfId="0" applyFont="1" applyFill="1" applyBorder="1" applyAlignment="1">
      <alignment horizontal="right" vertical="center" wrapText="1"/>
    </xf>
    <xf numFmtId="171" fontId="16" fillId="2" borderId="43" xfId="0" applyNumberFormat="1" applyFont="1" applyFill="1" applyBorder="1" applyAlignment="1">
      <alignment horizontal="center" wrapText="1"/>
    </xf>
    <xf numFmtId="171" fontId="16" fillId="6" borderId="43" xfId="0" applyNumberFormat="1" applyFont="1" applyFill="1" applyBorder="1" applyAlignment="1">
      <alignment horizontal="center" wrapText="1"/>
    </xf>
    <xf numFmtId="171" fontId="16" fillId="2" borderId="28" xfId="0" applyNumberFormat="1" applyFont="1" applyFill="1" applyBorder="1" applyAlignment="1">
      <alignment horizontal="center" wrapText="1"/>
    </xf>
    <xf numFmtId="0" fontId="16" fillId="4" borderId="47" xfId="0" applyFont="1" applyFill="1" applyBorder="1" applyAlignment="1">
      <alignment horizontal="center" wrapText="1"/>
    </xf>
    <xf numFmtId="0" fontId="16" fillId="5" borderId="48" xfId="0" applyFont="1" applyFill="1" applyBorder="1" applyAlignment="1">
      <alignment wrapText="1"/>
    </xf>
    <xf numFmtId="0" fontId="16" fillId="5" borderId="49" xfId="0" applyFont="1" applyFill="1" applyBorder="1" applyAlignment="1">
      <alignment wrapText="1"/>
    </xf>
    <xf numFmtId="9" fontId="16" fillId="5" borderId="49" xfId="2" applyFont="1" applyFill="1" applyBorder="1" applyAlignment="1">
      <alignment wrapText="1"/>
    </xf>
    <xf numFmtId="165" fontId="16" fillId="4" borderId="50" xfId="0" applyNumberFormat="1" applyFont="1" applyFill="1" applyBorder="1" applyAlignment="1">
      <alignment horizontal="right" wrapText="1"/>
    </xf>
    <xf numFmtId="3" fontId="16" fillId="4" borderId="51" xfId="0" applyNumberFormat="1" applyFont="1" applyFill="1" applyBorder="1" applyAlignment="1">
      <alignment horizontal="right" wrapText="1"/>
    </xf>
    <xf numFmtId="0" fontId="16" fillId="4" borderId="52" xfId="0" applyFont="1" applyFill="1" applyBorder="1" applyAlignment="1">
      <alignment horizontal="center" wrapText="1"/>
    </xf>
    <xf numFmtId="3" fontId="16" fillId="4" borderId="32" xfId="0" applyNumberFormat="1" applyFont="1" applyFill="1" applyBorder="1" applyAlignment="1">
      <alignment horizontal="right" wrapText="1"/>
    </xf>
    <xf numFmtId="0" fontId="16" fillId="4" borderId="53" xfId="0" applyFont="1" applyFill="1" applyBorder="1" applyAlignment="1">
      <alignment horizontal="center" wrapText="1"/>
    </xf>
    <xf numFmtId="9" fontId="16" fillId="5" borderId="54" xfId="2" applyFont="1" applyFill="1" applyBorder="1" applyAlignment="1">
      <alignment wrapText="1"/>
    </xf>
    <xf numFmtId="0" fontId="3" fillId="2" borderId="0" xfId="0" applyFont="1" applyFill="1" applyAlignment="1">
      <alignment horizontal="right"/>
    </xf>
    <xf numFmtId="0" fontId="33" fillId="2" borderId="0" xfId="0" applyFont="1" applyFill="1" applyAlignment="1">
      <alignment horizontal="right"/>
    </xf>
    <xf numFmtId="0" fontId="32" fillId="2" borderId="0" xfId="0" applyFont="1" applyFill="1" applyAlignment="1">
      <alignment vertical="top"/>
    </xf>
    <xf numFmtId="9" fontId="34" fillId="9" borderId="29" xfId="2" applyFont="1" applyFill="1" applyBorder="1" applyAlignment="1">
      <alignment horizontal="right" vertical="center" wrapText="1"/>
    </xf>
    <xf numFmtId="9" fontId="19" fillId="9" borderId="29" xfId="0" applyNumberFormat="1" applyFont="1" applyFill="1" applyBorder="1" applyAlignment="1">
      <alignment horizontal="right" vertical="center" wrapText="1"/>
    </xf>
    <xf numFmtId="9" fontId="35" fillId="9" borderId="28" xfId="2" applyFont="1" applyFill="1" applyBorder="1" applyAlignment="1">
      <alignment horizontal="right" vertical="center" wrapText="1"/>
    </xf>
    <xf numFmtId="9" fontId="16" fillId="5" borderId="22" xfId="2" applyFont="1" applyFill="1" applyBorder="1" applyAlignment="1">
      <alignment wrapText="1"/>
    </xf>
    <xf numFmtId="0" fontId="0" fillId="10" borderId="0" xfId="0" applyFill="1"/>
    <xf numFmtId="0" fontId="2" fillId="10" borderId="0" xfId="3" applyFill="1" applyAlignment="1">
      <alignment horizontal="center" vertical="center"/>
    </xf>
    <xf numFmtId="0" fontId="2" fillId="10" borderId="55" xfId="3" applyFill="1" applyBorder="1" applyAlignment="1">
      <alignment horizontal="center" vertical="center"/>
    </xf>
    <xf numFmtId="0" fontId="36" fillId="0" borderId="56" xfId="0" applyFont="1" applyBorder="1"/>
    <xf numFmtId="0" fontId="0" fillId="0" borderId="31" xfId="0" applyBorder="1"/>
    <xf numFmtId="0" fontId="0" fillId="0" borderId="57" xfId="0" applyBorder="1"/>
    <xf numFmtId="0" fontId="0" fillId="0" borderId="39" xfId="0" applyBorder="1"/>
    <xf numFmtId="0" fontId="0" fillId="0" borderId="29" xfId="0" applyBorder="1"/>
    <xf numFmtId="0" fontId="0" fillId="0" borderId="58" xfId="0" applyBorder="1"/>
    <xf numFmtId="0" fontId="0" fillId="0" borderId="34" xfId="0" applyBorder="1"/>
    <xf numFmtId="3" fontId="0" fillId="0" borderId="0" xfId="0" applyNumberFormat="1"/>
    <xf numFmtId="0" fontId="0" fillId="0" borderId="0" xfId="0" applyAlignment="1">
      <alignment horizontal="center" vertical="center"/>
    </xf>
    <xf numFmtId="0" fontId="0" fillId="0" borderId="59" xfId="0" applyBorder="1"/>
    <xf numFmtId="0" fontId="0" fillId="0" borderId="39" xfId="0" applyBorder="1" applyAlignment="1">
      <alignment horizontal="left"/>
    </xf>
    <xf numFmtId="0" fontId="37" fillId="0" borderId="56" xfId="0" applyFont="1" applyBorder="1"/>
    <xf numFmtId="0" fontId="38" fillId="11" borderId="0" xfId="0" applyFont="1" applyFill="1" applyAlignment="1">
      <alignment horizontal="center" vertical="center"/>
    </xf>
    <xf numFmtId="14" fontId="38" fillId="11" borderId="0" xfId="0" applyNumberFormat="1" applyFont="1" applyFill="1" applyAlignment="1">
      <alignment horizontal="center" vertical="center"/>
    </xf>
    <xf numFmtId="0" fontId="39" fillId="10" borderId="0" xfId="0" applyFont="1" applyFill="1" applyAlignment="1">
      <alignment horizontal="left" vertical="center"/>
    </xf>
    <xf numFmtId="0" fontId="40" fillId="10" borderId="0" xfId="0" applyFont="1" applyFill="1" applyAlignment="1">
      <alignment horizontal="center" vertical="center"/>
    </xf>
    <xf numFmtId="0" fontId="38" fillId="10" borderId="0" xfId="0" applyFont="1" applyFill="1" applyAlignment="1">
      <alignment horizontal="left" vertical="center"/>
    </xf>
    <xf numFmtId="0" fontId="41" fillId="10" borderId="0" xfId="0" applyFont="1" applyFill="1" applyAlignment="1">
      <alignment horizontal="center" vertical="center"/>
    </xf>
    <xf numFmtId="0" fontId="42" fillId="10" borderId="0" xfId="0" applyFont="1" applyFill="1" applyAlignment="1">
      <alignment horizontal="left" vertical="center"/>
    </xf>
    <xf numFmtId="0" fontId="43" fillId="10" borderId="0" xfId="0" applyFont="1" applyFill="1" applyAlignment="1">
      <alignment horizontal="center" vertical="center"/>
    </xf>
    <xf numFmtId="0" fontId="44" fillId="10" borderId="0" xfId="0" applyFont="1" applyFill="1" applyAlignment="1">
      <alignment horizontal="center" vertical="center"/>
    </xf>
    <xf numFmtId="0" fontId="45" fillId="10" borderId="0" xfId="0" applyFont="1" applyFill="1" applyAlignment="1">
      <alignment horizontal="center" vertical="center"/>
    </xf>
    <xf numFmtId="0" fontId="46" fillId="10" borderId="0" xfId="0" applyFont="1" applyFill="1" applyAlignment="1">
      <alignment horizontal="center" vertical="center"/>
    </xf>
    <xf numFmtId="0" fontId="38" fillId="10" borderId="55" xfId="0" applyFont="1" applyFill="1" applyBorder="1" applyAlignment="1">
      <alignment horizontal="left" vertical="center"/>
    </xf>
    <xf numFmtId="0" fontId="41" fillId="10" borderId="55" xfId="0" applyFont="1" applyFill="1" applyBorder="1" applyAlignment="1">
      <alignment horizontal="center" vertical="center"/>
    </xf>
    <xf numFmtId="0" fontId="47" fillId="10" borderId="55" xfId="0" applyFont="1" applyFill="1" applyBorder="1" applyAlignment="1">
      <alignment horizontal="center" vertical="center"/>
    </xf>
    <xf numFmtId="0" fontId="48" fillId="10" borderId="0" xfId="0" applyFont="1" applyFill="1" applyAlignment="1">
      <alignment horizontal="center" vertical="center"/>
    </xf>
    <xf numFmtId="0" fontId="49" fillId="10" borderId="0" xfId="0" applyFont="1" applyFill="1" applyAlignment="1">
      <alignment horizontal="left" vertical="center"/>
    </xf>
    <xf numFmtId="0" fontId="50" fillId="10" borderId="0" xfId="0" applyFont="1" applyFill="1" applyAlignment="1">
      <alignment horizontal="center" vertical="center"/>
    </xf>
    <xf numFmtId="0" fontId="51" fillId="10" borderId="0" xfId="0" applyFont="1" applyFill="1" applyAlignment="1">
      <alignment horizontal="center" vertical="center"/>
    </xf>
    <xf numFmtId="0" fontId="52" fillId="10" borderId="0" xfId="0" applyFont="1" applyFill="1" applyAlignment="1">
      <alignment horizontal="center" vertical="center"/>
    </xf>
    <xf numFmtId="0" fontId="53" fillId="2" borderId="0" xfId="0" applyFont="1" applyFill="1"/>
    <xf numFmtId="0" fontId="54" fillId="2" borderId="7" xfId="0" applyFont="1" applyFill="1" applyBorder="1" applyAlignment="1">
      <alignment vertical="center"/>
    </xf>
    <xf numFmtId="0" fontId="54" fillId="2" borderId="0" xfId="0" applyFont="1" applyFill="1"/>
    <xf numFmtId="2" fontId="3" fillId="2" borderId="61" xfId="0" applyNumberFormat="1" applyFont="1" applyFill="1" applyBorder="1" applyAlignment="1">
      <alignment vertical="center"/>
    </xf>
    <xf numFmtId="3" fontId="3" fillId="2" borderId="60" xfId="0" applyNumberFormat="1" applyFont="1" applyFill="1" applyBorder="1" applyAlignment="1">
      <alignment horizontal="right" vertical="center"/>
    </xf>
    <xf numFmtId="0" fontId="55" fillId="10" borderId="0" xfId="0" applyFont="1" applyFill="1" applyAlignment="1">
      <alignment horizontal="center" vertical="center"/>
    </xf>
    <xf numFmtId="0" fontId="56" fillId="2" borderId="7" xfId="0" applyFont="1" applyFill="1" applyBorder="1" applyAlignment="1">
      <alignment vertical="center"/>
    </xf>
    <xf numFmtId="0" fontId="56" fillId="2" borderId="0" xfId="0" applyFont="1" applyFill="1"/>
    <xf numFmtId="0" fontId="57" fillId="2" borderId="9" xfId="0" applyFont="1" applyFill="1" applyBorder="1" applyAlignment="1">
      <alignment horizontal="center"/>
    </xf>
    <xf numFmtId="4" fontId="3" fillId="2" borderId="60" xfId="0" applyNumberFormat="1" applyFont="1" applyFill="1" applyBorder="1" applyAlignment="1">
      <alignment horizontal="right" vertical="center"/>
    </xf>
    <xf numFmtId="9" fontId="5" fillId="2" borderId="1" xfId="2" applyFont="1" applyFill="1" applyBorder="1" applyAlignment="1">
      <alignment horizontal="right" vertical="center"/>
    </xf>
    <xf numFmtId="3" fontId="4" fillId="2" borderId="0" xfId="0" applyNumberFormat="1" applyFont="1" applyFill="1" applyAlignment="1">
      <alignment horizontal="right"/>
    </xf>
    <xf numFmtId="4" fontId="3" fillId="2" borderId="3" xfId="0" applyNumberFormat="1" applyFont="1" applyFill="1" applyBorder="1" applyAlignment="1">
      <alignment horizontal="right" vertical="center"/>
    </xf>
    <xf numFmtId="4" fontId="3" fillId="2" borderId="4" xfId="0" applyNumberFormat="1" applyFont="1" applyFill="1" applyBorder="1" applyAlignment="1">
      <alignment horizontal="right" vertical="center"/>
    </xf>
    <xf numFmtId="172" fontId="4" fillId="2" borderId="9" xfId="0" applyNumberFormat="1" applyFont="1" applyFill="1" applyBorder="1" applyAlignment="1">
      <alignment horizontal="right"/>
    </xf>
    <xf numFmtId="172" fontId="5" fillId="2" borderId="1" xfId="0" applyNumberFormat="1" applyFont="1" applyFill="1" applyBorder="1" applyAlignment="1">
      <alignment horizontal="right"/>
    </xf>
    <xf numFmtId="3" fontId="5" fillId="2" borderId="1" xfId="0" applyNumberFormat="1" applyFont="1" applyFill="1" applyBorder="1" applyAlignment="1">
      <alignment horizontal="right"/>
    </xf>
    <xf numFmtId="9" fontId="3" fillId="2" borderId="0" xfId="0" applyNumberFormat="1" applyFont="1" applyFill="1"/>
    <xf numFmtId="9" fontId="3" fillId="2" borderId="0" xfId="0" applyNumberFormat="1" applyFont="1" applyFill="1" applyAlignment="1">
      <alignment horizontal="right"/>
    </xf>
    <xf numFmtId="0" fontId="3" fillId="2" borderId="62" xfId="0" applyFont="1" applyFill="1" applyBorder="1"/>
    <xf numFmtId="9" fontId="3" fillId="2" borderId="62" xfId="0" applyNumberFormat="1" applyFont="1" applyFill="1" applyBorder="1"/>
    <xf numFmtId="0" fontId="54" fillId="2" borderId="5" xfId="0" applyFont="1" applyFill="1" applyBorder="1" applyAlignment="1">
      <alignment vertical="center"/>
    </xf>
    <xf numFmtId="0" fontId="54" fillId="2" borderId="7" xfId="0" applyFont="1" applyFill="1" applyBorder="1"/>
    <xf numFmtId="0" fontId="54" fillId="2" borderId="0" xfId="0" applyFont="1" applyFill="1" applyAlignment="1">
      <alignment horizontal="left"/>
    </xf>
    <xf numFmtId="0" fontId="60" fillId="2" borderId="7" xfId="0" applyFont="1" applyFill="1" applyBorder="1" applyAlignment="1">
      <alignment horizontal="center" vertical="center"/>
    </xf>
    <xf numFmtId="2" fontId="3" fillId="2" borderId="1" xfId="2" applyNumberFormat="1" applyFont="1" applyFill="1" applyBorder="1" applyAlignment="1">
      <alignment horizontal="right" vertical="center"/>
    </xf>
    <xf numFmtId="0" fontId="3" fillId="2" borderId="0" xfId="0" applyFont="1" applyFill="1" applyAlignment="1">
      <alignment horizontal="center"/>
    </xf>
    <xf numFmtId="0" fontId="3" fillId="2" borderId="25" xfId="0" applyFont="1" applyFill="1" applyBorder="1" applyAlignment="1">
      <alignment horizontal="center" vertical="center"/>
    </xf>
    <xf numFmtId="0" fontId="3" fillId="2" borderId="24" xfId="0" applyFont="1" applyFill="1" applyBorder="1" applyAlignment="1">
      <alignment horizontal="center" vertical="center"/>
    </xf>
    <xf numFmtId="10" fontId="11" fillId="2" borderId="0" xfId="0" applyNumberFormat="1" applyFont="1" applyFill="1" applyAlignment="1">
      <alignment horizontal="center"/>
    </xf>
    <xf numFmtId="165" fontId="10" fillId="3" borderId="0" xfId="0" applyNumberFormat="1" applyFont="1" applyFill="1" applyAlignment="1">
      <alignment horizontal="center" vertical="center"/>
    </xf>
    <xf numFmtId="9" fontId="7" fillId="2" borderId="0" xfId="2" applyFont="1" applyFill="1" applyBorder="1" applyAlignment="1">
      <alignment horizontal="left" vertical="top"/>
    </xf>
    <xf numFmtId="0" fontId="3" fillId="2" borderId="0" xfId="0" applyFont="1" applyFill="1" applyAlignment="1">
      <alignment horizontal="right"/>
    </xf>
    <xf numFmtId="44" fontId="3" fillId="2" borderId="0" xfId="0" applyNumberFormat="1" applyFont="1" applyFill="1" applyAlignment="1">
      <alignment horizontal="right" vertical="center"/>
    </xf>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xf>
    <xf numFmtId="0" fontId="3" fillId="2" borderId="0" xfId="0" applyFont="1" applyFill="1" applyAlignment="1">
      <alignment horizontal="left" vertical="top" wrapText="1"/>
    </xf>
    <xf numFmtId="0" fontId="4" fillId="2" borderId="0" xfId="0" applyFont="1" applyFill="1" applyAlignment="1">
      <alignment horizontal="center"/>
    </xf>
    <xf numFmtId="165" fontId="3" fillId="2" borderId="0" xfId="0" applyNumberFormat="1" applyFont="1" applyFill="1" applyAlignment="1">
      <alignment horizontal="center" vertical="center"/>
    </xf>
    <xf numFmtId="165" fontId="8" fillId="2" borderId="0" xfId="0" applyNumberFormat="1" applyFont="1" applyFill="1" applyAlignment="1">
      <alignment horizontal="center"/>
    </xf>
    <xf numFmtId="166" fontId="7" fillId="2" borderId="0" xfId="0" applyNumberFormat="1" applyFont="1" applyFill="1" applyAlignment="1">
      <alignment horizontal="left" vertical="top"/>
    </xf>
    <xf numFmtId="0" fontId="3" fillId="2" borderId="14" xfId="0" applyFont="1" applyFill="1" applyBorder="1" applyAlignment="1">
      <alignment horizontal="left"/>
    </xf>
    <xf numFmtId="10" fontId="11" fillId="0" borderId="0" xfId="0" applyNumberFormat="1" applyFont="1" applyAlignment="1">
      <alignment horizontal="center"/>
    </xf>
    <xf numFmtId="0" fontId="11" fillId="0" borderId="0" xfId="0" applyFont="1" applyAlignment="1">
      <alignment horizontal="center"/>
    </xf>
    <xf numFmtId="0" fontId="36" fillId="0" borderId="33" xfId="0" applyFont="1" applyBorder="1" applyAlignment="1">
      <alignment horizontal="center"/>
    </xf>
    <xf numFmtId="0" fontId="36" fillId="0" borderId="28" xfId="0" applyFont="1" applyBorder="1" applyAlignment="1">
      <alignment horizontal="center"/>
    </xf>
    <xf numFmtId="0" fontId="36" fillId="0" borderId="43" xfId="0" applyFont="1" applyBorder="1" applyAlignment="1">
      <alignment horizontal="center"/>
    </xf>
    <xf numFmtId="0" fontId="0" fillId="0" borderId="0" xfId="0"/>
    <xf numFmtId="0" fontId="3" fillId="2" borderId="0" xfId="0" applyFont="1" applyFill="1" applyAlignment="1">
      <alignment wrapText="1"/>
    </xf>
    <xf numFmtId="0" fontId="54" fillId="2" borderId="0" xfId="0" applyFont="1" applyFill="1" applyAlignment="1">
      <alignment vertical="center" wrapText="1"/>
    </xf>
    <xf numFmtId="0" fontId="54" fillId="2" borderId="0" xfId="0" applyFont="1" applyFill="1" applyAlignment="1">
      <alignment wrapText="1"/>
    </xf>
    <xf numFmtId="4" fontId="3" fillId="2" borderId="1" xfId="0" applyNumberFormat="1" applyFont="1" applyFill="1" applyBorder="1" applyAlignment="1">
      <alignment horizontal="right" vertical="center"/>
    </xf>
    <xf numFmtId="173" fontId="3" fillId="2" borderId="1" xfId="0" applyNumberFormat="1" applyFont="1" applyFill="1" applyBorder="1" applyAlignment="1">
      <alignment horizontal="right" vertical="center"/>
    </xf>
    <xf numFmtId="0" fontId="3" fillId="2" borderId="0" xfId="0" applyFont="1" applyFill="1" applyAlignment="1">
      <alignment horizontal="right" vertical="center"/>
    </xf>
    <xf numFmtId="3" fontId="3" fillId="2" borderId="0" xfId="0" applyNumberFormat="1" applyFont="1" applyFill="1" applyAlignment="1">
      <alignment horizontal="right" vertical="center"/>
    </xf>
    <xf numFmtId="9" fontId="3" fillId="2" borderId="0" xfId="2" applyFont="1" applyFill="1"/>
    <xf numFmtId="10" fontId="3" fillId="2" borderId="0" xfId="2" applyNumberFormat="1" applyFont="1" applyFill="1"/>
    <xf numFmtId="0" fontId="47" fillId="10" borderId="0" xfId="0" applyFont="1" applyFill="1" applyAlignment="1">
      <alignment horizontal="center" vertical="center"/>
    </xf>
    <xf numFmtId="0" fontId="55" fillId="10" borderId="55" xfId="0" applyFont="1" applyFill="1" applyBorder="1" applyAlignment="1">
      <alignment horizontal="center" vertical="center"/>
    </xf>
    <xf numFmtId="0" fontId="3" fillId="2" borderId="0" xfId="0" applyFont="1" applyFill="1" applyAlignment="1"/>
    <xf numFmtId="0" fontId="5" fillId="2" borderId="0" xfId="0" applyFont="1" applyFill="1" applyBorder="1" applyAlignment="1">
      <alignment horizontal="center"/>
    </xf>
    <xf numFmtId="0" fontId="3" fillId="2" borderId="0" xfId="0" applyFont="1" applyFill="1" applyBorder="1" applyAlignment="1">
      <alignment horizontal="center"/>
    </xf>
    <xf numFmtId="2" fontId="13" fillId="2" borderId="0" xfId="0" applyNumberFormat="1" applyFont="1" applyFill="1" applyBorder="1" applyAlignment="1">
      <alignment horizontal="center" vertical="center"/>
    </xf>
    <xf numFmtId="0" fontId="3" fillId="2" borderId="0" xfId="0" applyFont="1" applyFill="1" applyBorder="1"/>
    <xf numFmtId="0" fontId="5" fillId="2" borderId="0" xfId="0" applyFont="1" applyFill="1" applyBorder="1" applyAlignment="1"/>
    <xf numFmtId="0" fontId="54" fillId="2" borderId="0" xfId="0" applyFont="1" applyFill="1" applyAlignment="1"/>
    <xf numFmtId="2" fontId="13" fillId="2" borderId="0" xfId="2" applyNumberFormat="1" applyFont="1" applyFill="1" applyBorder="1" applyAlignment="1">
      <alignment horizontal="center" vertical="center"/>
    </xf>
    <xf numFmtId="181" fontId="7" fillId="2" borderId="0" xfId="0" applyNumberFormat="1" applyFont="1" applyFill="1" applyAlignment="1">
      <alignment horizontal="left" vertical="top"/>
    </xf>
  </cellXfs>
  <cellStyles count="4">
    <cellStyle name="Hipervínculo" xfId="3" builtinId="8"/>
    <cellStyle name="Moneda" xfId="1" builtinId="4"/>
    <cellStyle name="Normal" xfId="0" builtinId="0"/>
    <cellStyle name="Porcentaje" xfId="2" builtinId="5"/>
  </cellStyles>
  <dxfs count="41">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dxf>
    <dxf>
      <font>
        <b val="0"/>
        <i val="0"/>
        <strike val="0"/>
        <condense val="0"/>
        <extend val="0"/>
        <outline val="0"/>
        <shadow val="0"/>
        <u val="none"/>
        <vertAlign val="baseline"/>
        <sz val="12"/>
        <color theme="0"/>
        <name val="Calibri"/>
        <family val="2"/>
        <scheme val="none"/>
      </font>
      <numFmt numFmtId="19" formatCode="dd/mm/yyyy"/>
      <fill>
        <patternFill patternType="solid">
          <fgColor indexed="64"/>
          <bgColor rgb="FF0B5394"/>
        </patternFill>
      </fill>
      <alignment horizontal="center" vertical="bottom" textRotation="0" wrapText="1" indent="0" justifyLastLine="0" shrinkToFit="0" readingOrder="0"/>
      <border diagonalUp="0" diagonalDown="0">
        <left/>
        <right/>
        <top style="thin">
          <color theme="8" tint="-0.249977111117893"/>
        </top>
        <bottom style="thin">
          <color theme="8" tint="-0.249977111117893"/>
        </bottom>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border diagonalUp="0" diagonalDown="0" outline="0">
        <left/>
        <right style="thin">
          <color indexed="64"/>
        </right>
        <top/>
        <bottom/>
      </border>
    </dxf>
    <dxf>
      <fill>
        <patternFill patternType="solid">
          <fgColor indexed="64"/>
          <bgColor theme="8" tint="-0.249977111117893"/>
        </patternFill>
      </fill>
      <alignment horizontal="right" vertical="center" textRotation="0" wrapText="1" indent="0" justifyLastLine="0" shrinkToFit="0" readingOrder="0"/>
      <border diagonalUp="0" diagonalDown="0">
        <left/>
        <right style="thin">
          <color indexed="64"/>
        </right>
      </border>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numFmt numFmtId="14" formatCode="0.00%"/>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numFmt numFmtId="14" formatCode="0.00%"/>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right/>
        <top style="thin">
          <color indexed="64"/>
        </top>
        <bottom style="thin">
          <color indexed="64"/>
        </bottom>
        <vertical/>
        <horizontal/>
      </border>
    </dxf>
    <dxf>
      <font>
        <b/>
        <i val="0"/>
        <strike val="0"/>
        <condense val="0"/>
        <extend val="0"/>
        <outline val="0"/>
        <shadow val="0"/>
        <u val="none"/>
        <vertAlign val="baseline"/>
        <sz val="12"/>
        <color theme="0" tint="-0.249977111117893"/>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dxf>
    <dxf>
      <font>
        <b val="0"/>
        <i val="0"/>
        <strike val="0"/>
        <condense val="0"/>
        <extend val="0"/>
        <outline val="0"/>
        <shadow val="0"/>
        <u val="none"/>
        <vertAlign val="baseline"/>
        <sz val="12"/>
        <color theme="0" tint="-0.249977111117893"/>
        <name val="Calibri"/>
        <family val="2"/>
        <scheme val="minor"/>
      </font>
      <fill>
        <patternFill patternType="solid">
          <fgColor indexed="64"/>
          <bgColor theme="8" tint="-0.249977111117893"/>
        </patternFill>
      </fill>
      <alignment horizontal="right" vertical="center" textRotation="0" wrapText="1" indent="0" justifyLastLine="0" shrinkToFit="0" readingOrder="0"/>
    </dxf>
    <dxf>
      <fill>
        <patternFill patternType="solid">
          <fgColor indexed="64"/>
          <bgColor theme="8" tint="-0.249977111117893"/>
        </patternFill>
      </fill>
      <alignment horizontal="right" vertical="center" textRotation="0" wrapText="1" indent="0" justifyLastLine="0" shrinkToFit="0" readingOrder="0"/>
    </dxf>
    <dxf>
      <font>
        <b/>
        <i val="0"/>
        <strike val="0"/>
        <condense val="0"/>
        <extend val="0"/>
        <outline val="0"/>
        <shadow val="0"/>
        <u val="none"/>
        <vertAlign val="baseline"/>
        <sz val="12"/>
        <color theme="0" tint="-0.249977111117893"/>
        <name val="Calibri"/>
        <family val="2"/>
        <scheme val="none"/>
      </font>
      <numFmt numFmtId="13" formatCode="0%"/>
      <fill>
        <patternFill patternType="solid">
          <fgColor indexed="64"/>
          <bgColor theme="8" tint="-0.249977111117893"/>
        </patternFill>
      </fill>
      <alignment horizontal="right" vertical="center" textRotation="0" wrapText="1" indent="0" justifyLastLine="0" shrinkToFit="0" readingOrder="0"/>
      <border diagonalUp="0" diagonalDown="0" outline="0">
        <left style="thin">
          <color indexed="64"/>
        </left>
        <right/>
        <top/>
        <bottom/>
      </border>
    </dxf>
    <dxf>
      <font>
        <b/>
        <i val="0"/>
        <strike val="0"/>
        <condense val="0"/>
        <extend val="0"/>
        <outline val="0"/>
        <shadow val="0"/>
        <u val="none"/>
        <vertAlign val="baseline"/>
        <sz val="12"/>
        <color rgb="FFFFFFFF"/>
        <name val="Calibri"/>
        <family val="2"/>
        <scheme val="none"/>
      </font>
      <fill>
        <patternFill patternType="solid">
          <fgColor indexed="64"/>
          <bgColor theme="8" tint="-0.249977111117893"/>
        </patternFill>
      </fill>
      <alignment horizontal="right" vertical="center" textRotation="0" wrapText="1"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2"/>
        <color theme="1"/>
        <name val="Calibri"/>
        <family val="2"/>
        <scheme val="none"/>
      </font>
      <numFmt numFmtId="171" formatCode="##.0\x"/>
      <fill>
        <patternFill patternType="solid">
          <fgColor indexed="64"/>
          <bgColor rgb="FF57BB8A"/>
        </patternFill>
      </fill>
      <alignment horizontal="center" vertical="bottom"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indexed="64"/>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indexed="64"/>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right" vertical="bottom" textRotation="0" wrapText="1" indent="0" justifyLastLine="0" shrinkToFit="0" readingOrder="0"/>
      <border diagonalUp="0" diagonalDown="0" outline="0">
        <left style="thin">
          <color theme="2"/>
        </left>
        <right style="thin">
          <color theme="2"/>
        </right>
        <top/>
        <bottom/>
      </border>
    </dxf>
    <dxf>
      <font>
        <b val="0"/>
        <i val="0"/>
        <strike val="0"/>
        <condense val="0"/>
        <extend val="0"/>
        <outline val="0"/>
        <shadow val="0"/>
        <u val="none"/>
        <vertAlign val="baseline"/>
        <sz val="12"/>
        <color theme="1"/>
        <name val="Calibri"/>
        <family val="2"/>
        <scheme val="none"/>
      </font>
      <numFmt numFmtId="165" formatCode="_([$$-409]* #,##0.00_);_([$$-409]* \(#,##0.00\);_([$$-409]* &quot;-&quot;??_);_(@_)"/>
      <fill>
        <patternFill patternType="solid">
          <fgColor indexed="64"/>
          <bgColor rgb="FFF3F3F3"/>
        </patternFill>
      </fill>
      <alignment horizontal="right" vertical="bottom" textRotation="0" wrapText="1" indent="0" justifyLastLine="0" shrinkToFit="0" readingOrder="0"/>
      <border diagonalUp="0" diagonalDown="0">
        <left style="thin">
          <color theme="2"/>
        </left>
        <right style="thin">
          <color theme="2"/>
        </right>
        <top style="thin">
          <color theme="2"/>
        </top>
        <bottom style="thin">
          <color them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top style="thin">
          <color theme="2" tint="-9.9978637043366805E-2"/>
        </top>
        <bottom style="thin">
          <color theme="2" tint="-9.9978637043366805E-2"/>
        </bottom>
        <vertical/>
        <horizontal/>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outline="0">
        <left style="thin">
          <color theme="2" tint="-9.9978637043366805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D9D9D9"/>
        </patternFill>
      </fill>
      <alignment horizontal="general" vertical="bottom" textRotation="0" wrapText="1" indent="0" justifyLastLine="0" shrinkToFit="0" readingOrder="0"/>
      <border diagonalUp="0" diagonalDown="0">
        <left style="thin">
          <color theme="2" tint="-9.9978637043366805E-2"/>
        </left>
        <right style="thin">
          <color theme="2" tint="-9.9978637043366805E-2"/>
        </right>
        <top style="thin">
          <color theme="2" tint="-9.9978637043366805E-2"/>
        </top>
        <bottom style="thin">
          <color theme="2" tint="-9.9978637043366805E-2"/>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outline="0">
        <left style="thin">
          <color theme="2"/>
        </left>
        <right style="thin">
          <color theme="2" tint="-9.9978637043366805E-2"/>
        </right>
        <top/>
        <bottom/>
      </border>
    </dxf>
    <dxf>
      <font>
        <b val="0"/>
        <i val="0"/>
        <strike val="0"/>
        <condense val="0"/>
        <extend val="0"/>
        <outline val="0"/>
        <shadow val="0"/>
        <u val="none"/>
        <vertAlign val="baseline"/>
        <sz val="12"/>
        <color theme="1"/>
        <name val="Calibri"/>
        <family val="2"/>
        <scheme val="none"/>
      </font>
      <fill>
        <patternFill patternType="solid">
          <fgColor indexed="64"/>
          <bgColor rgb="FFF3F3F3"/>
        </patternFill>
      </fill>
      <alignment horizontal="center" vertical="bottom" textRotation="0" wrapText="1" indent="0" justifyLastLine="0" shrinkToFit="0" readingOrder="0"/>
      <border diagonalUp="0" diagonalDown="0">
        <left style="thin">
          <color indexed="64"/>
        </left>
        <right style="thin">
          <color theme="2" tint="-9.9978637043366805E-2"/>
        </right>
        <top style="thin">
          <color theme="2"/>
        </top>
        <bottom style="thin">
          <color theme="2"/>
        </bottom>
      </border>
    </dxf>
    <dxf>
      <border diagonalUp="0" diagonalDown="0">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rgb="FF9FC5E8"/>
        </patternFill>
      </fill>
      <alignment horizontal="center" vertical="bottom" textRotation="0" wrapText="1" indent="0" justifyLastLine="0" shrinkToFit="0" readingOrder="0"/>
      <border diagonalUp="0" diagonalDown="0">
        <left/>
        <right/>
        <top/>
        <bottom/>
        <vertical/>
        <horizontal/>
      </border>
    </dxf>
  </dxfs>
  <tableStyles count="0" defaultTableStyle="TableStyleMedium2" defaultPivotStyle="PivotStyleLight16"/>
  <colors>
    <mruColors>
      <color rgb="FFFF5050"/>
      <color rgb="FFB48D51"/>
      <color rgb="FF966F33"/>
      <color rgb="FFD1A375"/>
      <color rgb="FF996633"/>
      <color rgb="FFF8F8F8"/>
      <color rgb="FFFFFFFF"/>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Financials!$D$85</c:f>
              <c:strCache>
                <c:ptCount val="1"/>
                <c:pt idx="0">
                  <c:v>Cash and Short-Term Investments</c:v>
                </c:pt>
              </c:strCache>
            </c:strRef>
          </c:tx>
          <c:spPr>
            <a:solidFill>
              <a:schemeClr val="accent6">
                <a:lumMod val="60000"/>
                <a:lumOff val="40000"/>
              </a:schemeClr>
            </a:solidFill>
            <a:ln>
              <a:noFill/>
            </a:ln>
            <a:effectLst/>
          </c:spPr>
          <c:invertIfNegative val="0"/>
          <c:cat>
            <c:strRef>
              <c:f>Financials!$E$84:$N$84</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Financials!$E$85:$N$85</c:f>
              <c:numCache>
                <c:formatCode>#,##0</c:formatCode>
                <c:ptCount val="10"/>
                <c:pt idx="0">
                  <c:v>0</c:v>
                </c:pt>
                <c:pt idx="1">
                  <c:v>0</c:v>
                </c:pt>
                <c:pt idx="2">
                  <c:v>0</c:v>
                </c:pt>
                <c:pt idx="3">
                  <c:v>0</c:v>
                </c:pt>
                <c:pt idx="4">
                  <c:v>73.41</c:v>
                </c:pt>
                <c:pt idx="5">
                  <c:v>163.29</c:v>
                </c:pt>
                <c:pt idx="6">
                  <c:v>639.72</c:v>
                </c:pt>
                <c:pt idx="7">
                  <c:v>1032.0999999999999</c:v>
                </c:pt>
                <c:pt idx="8">
                  <c:v>1821.84</c:v>
                </c:pt>
                <c:pt idx="9">
                  <c:v>1636.26</c:v>
                </c:pt>
              </c:numCache>
            </c:numRef>
          </c:val>
          <c:extLst>
            <c:ext xmlns:c16="http://schemas.microsoft.com/office/drawing/2014/chart" uri="{C3380CC4-5D6E-409C-BE32-E72D297353CC}">
              <c16:uniqueId val="{00000000-A72C-4B47-B086-214D27DB9E2F}"/>
            </c:ext>
          </c:extLst>
        </c:ser>
        <c:ser>
          <c:idx val="1"/>
          <c:order val="1"/>
          <c:tx>
            <c:strRef>
              <c:f>Financials!$D$86</c:f>
              <c:strCache>
                <c:ptCount val="1"/>
                <c:pt idx="0">
                  <c:v>Total Debt</c:v>
                </c:pt>
              </c:strCache>
            </c:strRef>
          </c:tx>
          <c:spPr>
            <a:solidFill>
              <a:srgbClr val="FF5050"/>
            </a:solidFill>
            <a:ln>
              <a:noFill/>
            </a:ln>
            <a:effectLst/>
          </c:spPr>
          <c:invertIfNegative val="0"/>
          <c:cat>
            <c:strRef>
              <c:f>Financials!$E$84:$N$84</c:f>
              <c:strCache>
                <c:ptCount val="10"/>
                <c:pt idx="0">
                  <c:v>2013</c:v>
                </c:pt>
                <c:pt idx="1">
                  <c:v>2014</c:v>
                </c:pt>
                <c:pt idx="2">
                  <c:v>2015</c:v>
                </c:pt>
                <c:pt idx="3">
                  <c:v>2016</c:v>
                </c:pt>
                <c:pt idx="4">
                  <c:v>2017</c:v>
                </c:pt>
                <c:pt idx="5">
                  <c:v>2018</c:v>
                </c:pt>
                <c:pt idx="6">
                  <c:v>2019</c:v>
                </c:pt>
                <c:pt idx="7">
                  <c:v>2020</c:v>
                </c:pt>
                <c:pt idx="8">
                  <c:v>2021</c:v>
                </c:pt>
                <c:pt idx="9">
                  <c:v>TTM</c:v>
                </c:pt>
              </c:strCache>
            </c:strRef>
          </c:cat>
          <c:val>
            <c:numRef>
              <c:f>Financials!$E$86:$N$86</c:f>
              <c:numCache>
                <c:formatCode>#,##0</c:formatCode>
                <c:ptCount val="10"/>
                <c:pt idx="0">
                  <c:v>0</c:v>
                </c:pt>
                <c:pt idx="1">
                  <c:v>0</c:v>
                </c:pt>
                <c:pt idx="2">
                  <c:v>0</c:v>
                </c:pt>
                <c:pt idx="3">
                  <c:v>0</c:v>
                </c:pt>
                <c:pt idx="4">
                  <c:v>10.92</c:v>
                </c:pt>
                <c:pt idx="5">
                  <c:v>10.7</c:v>
                </c:pt>
                <c:pt idx="6">
                  <c:v>10.51</c:v>
                </c:pt>
                <c:pt idx="7">
                  <c:v>428.3</c:v>
                </c:pt>
                <c:pt idx="8">
                  <c:v>1293.21</c:v>
                </c:pt>
                <c:pt idx="9">
                  <c:v>1567.57</c:v>
                </c:pt>
              </c:numCache>
            </c:numRef>
          </c:val>
          <c:extLst>
            <c:ext xmlns:c16="http://schemas.microsoft.com/office/drawing/2014/chart" uri="{C3380CC4-5D6E-409C-BE32-E72D297353CC}">
              <c16:uniqueId val="{00000001-A72C-4B47-B086-214D27DB9E2F}"/>
            </c:ext>
          </c:extLst>
        </c:ser>
        <c:dLbls>
          <c:showLegendKey val="0"/>
          <c:showVal val="0"/>
          <c:showCatName val="0"/>
          <c:showSerName val="0"/>
          <c:showPercent val="0"/>
          <c:showBubbleSize val="0"/>
        </c:dLbls>
        <c:gapWidth val="80"/>
        <c:overlap val="25"/>
        <c:axId val="586676944"/>
        <c:axId val="586679440"/>
      </c:barChart>
      <c:catAx>
        <c:axId val="586676944"/>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9440"/>
        <c:crosses val="autoZero"/>
        <c:auto val="1"/>
        <c:lblAlgn val="ctr"/>
        <c:lblOffset val="100"/>
        <c:noMultiLvlLbl val="0"/>
      </c:catAx>
      <c:valAx>
        <c:axId val="586679440"/>
        <c:scaling>
          <c:orientation val="minMax"/>
        </c:scaling>
        <c:delete val="0"/>
        <c:axPos val="l"/>
        <c:majorGridlines>
          <c:spPr>
            <a:ln w="9525" cap="flat" cmpd="sng" algn="ctr">
              <a:solidFill>
                <a:schemeClr val="tx1">
                  <a:lumMod val="5000"/>
                  <a:lumOff val="9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tx>
            <c:strRef>
              <c:f>Financials!$D$38</c:f>
              <c:strCache>
                <c:ptCount val="1"/>
                <c:pt idx="0">
                  <c:v>Shares Diluted</c:v>
                </c:pt>
              </c:strCache>
            </c:strRef>
          </c:tx>
          <c:spPr>
            <a:solidFill>
              <a:schemeClr val="accent1">
                <a:alpha val="70000"/>
              </a:schemeClr>
            </a:solidFill>
            <a:ln>
              <a:noFill/>
            </a:ln>
            <a:effectLst/>
          </c:spPr>
          <c:invertIfNegative val="0"/>
          <c:cat>
            <c:strRef>
              <c:f>Financials!$E$20:$N$20</c:f>
              <c:strCache>
                <c:ptCount val="10"/>
                <c:pt idx="0">
                  <c:v>1900</c:v>
                </c:pt>
                <c:pt idx="1">
                  <c:v>1900</c:v>
                </c:pt>
                <c:pt idx="2">
                  <c:v>1900</c:v>
                </c:pt>
                <c:pt idx="3">
                  <c:v>2016</c:v>
                </c:pt>
                <c:pt idx="4">
                  <c:v>2017</c:v>
                </c:pt>
                <c:pt idx="5">
                  <c:v>2018</c:v>
                </c:pt>
                <c:pt idx="6">
                  <c:v>2019</c:v>
                </c:pt>
                <c:pt idx="7">
                  <c:v>2020</c:v>
                </c:pt>
                <c:pt idx="8">
                  <c:v>2021</c:v>
                </c:pt>
                <c:pt idx="9">
                  <c:v>LTM</c:v>
                </c:pt>
              </c:strCache>
            </c:strRef>
          </c:cat>
          <c:val>
            <c:numRef>
              <c:f>Financials!$E$38:$N$38</c:f>
              <c:numCache>
                <c:formatCode>#,##0.000</c:formatCode>
                <c:ptCount val="10"/>
                <c:pt idx="0">
                  <c:v>0</c:v>
                </c:pt>
                <c:pt idx="1">
                  <c:v>0</c:v>
                </c:pt>
                <c:pt idx="2">
                  <c:v>0</c:v>
                </c:pt>
                <c:pt idx="3">
                  <c:v>0</c:v>
                </c:pt>
                <c:pt idx="4">
                  <c:v>77.150000000000006</c:v>
                </c:pt>
                <c:pt idx="5">
                  <c:v>80.98</c:v>
                </c:pt>
                <c:pt idx="6">
                  <c:v>146.31</c:v>
                </c:pt>
                <c:pt idx="7">
                  <c:v>299.77</c:v>
                </c:pt>
                <c:pt idx="8">
                  <c:v>312.32</c:v>
                </c:pt>
                <c:pt idx="9">
                  <c:v>324.2</c:v>
                </c:pt>
              </c:numCache>
            </c:numRef>
          </c:val>
          <c:extLst>
            <c:ext xmlns:c16="http://schemas.microsoft.com/office/drawing/2014/chart" uri="{C3380CC4-5D6E-409C-BE32-E72D297353CC}">
              <c16:uniqueId val="{00000000-3841-4392-9346-20873EF385B3}"/>
            </c:ext>
          </c:extLst>
        </c:ser>
        <c:dLbls>
          <c:showLegendKey val="0"/>
          <c:showVal val="0"/>
          <c:showCatName val="0"/>
          <c:showSerName val="0"/>
          <c:showPercent val="0"/>
          <c:showBubbleSize val="0"/>
        </c:dLbls>
        <c:gapWidth val="80"/>
        <c:overlap val="25"/>
        <c:axId val="586676528"/>
        <c:axId val="586677360"/>
      </c:barChart>
      <c:catAx>
        <c:axId val="586676528"/>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586677360"/>
        <c:crosses val="autoZero"/>
        <c:auto val="1"/>
        <c:lblAlgn val="ctr"/>
        <c:lblOffset val="100"/>
        <c:noMultiLvlLbl val="0"/>
      </c:catAx>
      <c:valAx>
        <c:axId val="586677360"/>
        <c:scaling>
          <c:orientation val="minMax"/>
        </c:scaling>
        <c:delete val="0"/>
        <c:axPos val="l"/>
        <c:majorGridlines>
          <c:spPr>
            <a:ln w="9525" cap="flat" cmpd="sng" algn="ctr">
              <a:solidFill>
                <a:schemeClr val="tx1">
                  <a:lumMod val="5000"/>
                  <a:lumOff val="9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586676528"/>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16</xdr:col>
      <xdr:colOff>114300</xdr:colOff>
      <xdr:row>64</xdr:row>
      <xdr:rowOff>114300</xdr:rowOff>
    </xdr:from>
    <xdr:to>
      <xdr:col>21</xdr:col>
      <xdr:colOff>123825</xdr:colOff>
      <xdr:row>74</xdr:row>
      <xdr:rowOff>219075</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104775</xdr:colOff>
      <xdr:row>75</xdr:row>
      <xdr:rowOff>66674</xdr:rowOff>
    </xdr:from>
    <xdr:to>
      <xdr:col>21</xdr:col>
      <xdr:colOff>119062</xdr:colOff>
      <xdr:row>88</xdr:row>
      <xdr:rowOff>76199</xdr:rowOff>
    </xdr:to>
    <xdr:graphicFrame macro="">
      <xdr:nvGraphicFramePr>
        <xdr:cNvPr id="6" name="Gráfico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xdr:colOff>
          <xdr:row>1</xdr:row>
          <xdr:rowOff>95250</xdr:rowOff>
        </xdr:from>
        <xdr:to>
          <xdr:col>10</xdr:col>
          <xdr:colOff>466725</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Clean Pages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142875</xdr:colOff>
          <xdr:row>3</xdr:row>
          <xdr:rowOff>152400</xdr:rowOff>
        </xdr:from>
        <xdr:to>
          <xdr:col>10</xdr:col>
          <xdr:colOff>466725</xdr:colOff>
          <xdr:row>5</xdr:row>
          <xdr:rowOff>95250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6">
  <rv s="0">
    <v>https://www.bing.com/financeapi/forcetrigger?t=brh6oc&amp;q=XNYS%3aNET&amp;form=skydnc</v>
    <v>Learn more on Bing</v>
  </rv>
  <rv s="1">
    <v>en-US</v>
    <v>brh6oc</v>
    <v>268435456</v>
    <v>1</v>
    <v>Powered by Refinitiv</v>
    <v>0</v>
    <v>CLOUDFLARE, INC. (XNYS:NET)</v>
    <v>2</v>
    <v>3</v>
    <v>Finance</v>
    <v>4</v>
    <v>132.44999999999999</v>
    <v>37.369999999999997</v>
    <v>1.0284</v>
    <v>2.9</v>
    <v>-2.1930000000000001E-3</v>
    <v>6.7916000000000004E-2</v>
    <v>-0.1</v>
    <v>USD</v>
    <v>Cloudflare, Inc. is a global cloud services provider that delivers a range of services to businesses of all sizes and in all geographies. The Company's network serves as a scalable, unified control plane to deliver security, performance, and reliability across on-premise, hybrid, cloud, and software-as-a-service (SaaS) applications. The Company's integrated suite of products consists of solutions for an organization's external-facing infrastructure, such as Websites, applications, and application programming interfaces (APIs) to deliver security, performance, and reliability; solutions to serve an organization's internal resources, such as Internal networks and devices; developer-based solutions, and consumer offerings. Its security products include Cloud Firewall, Bot Management, Unmetered Mitigation, Cloudflare Orbit, SSL for SaaS, Dedicated &amp; Custom Certs and others. Its performance products include Content Delivery, Intelligent Routing, Content Optimization and others.</v>
    <v>3181</v>
    <v>New York Stock Exchange</v>
    <v>XNYS</v>
    <v>XNYS</v>
    <v>101 Townsend St, SAN FRANCISCO, CA, 94107-1934 US</v>
    <v>45.62</v>
    <v>Software &amp; IT Services</v>
    <v>Stock</v>
    <v>44947.040834224215</v>
    <v>0</v>
    <v>42.98</v>
    <v>14985300000</v>
    <v>CLOUDFLARE, INC.</v>
    <v>CLOUDFLARE, INC.</v>
    <v>43.07</v>
    <v>0</v>
    <v>42.7</v>
    <v>45.6</v>
    <v>45.5</v>
    <v>328625000</v>
    <v>NET</v>
    <v>CLOUDFLARE, INC. (XNYS:NET)</v>
    <v>4416824</v>
    <v>4367333</v>
    <v>2009</v>
  </rv>
  <rv s="2">
    <v>1</v>
  </rv>
  <rv s="0">
    <v>https://www.bing.com/financeapi/forcetrigger?t=a1u3rw&amp;q=XNAS%3aGOOGL&amp;form=skydnc</v>
    <v>Learn more on Bing</v>
  </rv>
  <rv s="1">
    <v>en-US</v>
    <v>a1u3rw</v>
    <v>268435456</v>
    <v>1</v>
    <v>Powered by Refinitiv</v>
    <v>0</v>
    <v>ALPHABET INC. (XNAS:GOOGL)</v>
    <v>2</v>
    <v>3</v>
    <v>Finance</v>
    <v>4</v>
    <v>151.54660000000001</v>
    <v>83.34</v>
    <v>1.0772999999999999</v>
    <v>4.97</v>
    <v>1.428E-3</v>
    <v>5.3411999999999994E-2</v>
    <v>0.14000000000000001</v>
    <v>USD</v>
    <v>Alphabet Inc. is a holding company. The Company's segments include Google Services, Google Cloud, and Other Bets. The Google Services segment includes products and services such as ads, Android, Chrome, hardware, Google Maps, Google Play, Search, and YouTube. The Google Cloud segment includes Google's infrastructure and platform services, collaboration tools, and other services for enterprise customers. The Other Bets segment includes earlier stage technologies that are further afield from its core Google business, and it includes the sale of health technology and Internet services. Its Google Cloud provides enterprise-ready cloud services, including Google Cloud Platform and Google Workspace. Google Cloud Platform enables developers to build, test, and deploy applications on its infrastructure. The Company's Google Workspace collaboration tools include applications, such as Gmail, Docs, Drive, Calendar, Meet, and various others. The Company also has various hardware products.</v>
    <v>186779</v>
    <v>Nasdaq Stock Market</v>
    <v>XNAS</v>
    <v>XNAS</v>
    <v>1600 Amphitheatre Pkwy, MOUNTAIN VIEW, CA, 94043-1351 US</v>
    <v>98.3</v>
    <v>Software &amp; IT Services</v>
    <v>Stock</v>
    <v>44947.041606724219</v>
    <v>3</v>
    <v>95.02</v>
    <v>1276341000000</v>
    <v>ALPHABET INC.</v>
    <v>ALPHABET INC.</v>
    <v>95.1</v>
    <v>18.480699999999999</v>
    <v>93.05</v>
    <v>98.02</v>
    <v>98.16</v>
    <v>12943000000</v>
    <v>GOOGL</v>
    <v>ALPHABET INC. (XNAS:GOOGL)</v>
    <v>63191078</v>
    <v>30237707</v>
    <v>2015</v>
  </rv>
  <rv s="2">
    <v>4</v>
  </rv>
  <rv s="0">
    <v>https://www.bing.com/financeapi/forcetrigger?t=a1y1qh&amp;q=XNAS%3aMSTR&amp;form=skydnc</v>
    <v>Learn more on Bing</v>
  </rv>
  <rv s="1">
    <v>en-US</v>
    <v>a1y1qh</v>
    <v>268435456</v>
    <v>1</v>
    <v>Powered by Refinitiv</v>
    <v>0</v>
    <v>MICROSTRATEGY INCORPORATED (XNAS:MSTR)</v>
    <v>2</v>
    <v>3</v>
    <v>Finance</v>
    <v>4</v>
    <v>522.80280000000005</v>
    <v>132.56</v>
    <v>2.282</v>
    <v>18.579999999999998</v>
    <v>9.2490000000000003E-3</v>
    <v>8.3902000000000004E-2</v>
    <v>2.2200000000000002</v>
    <v>USD</v>
    <v>MicroStrategy Incorporated is an analytics and business intelligence company. The Company is engaged in the design, development, marketing, and sales of its software platform through licensing arrangements and cloud subscriptions and related services. The Company’s core product offering is its software platform. The MicroStrategy Platform provides customers with the features, such as Pervasive, Modern Analytics; Open, Federated Architecture, and Enterprise Platform. The Company provides a range of MicroStrategy Services, which includes MicroStrategy Support, MicroStrategy Consulting, and MicroStrategy Education. It also provides analytics software and services strategy. Its Pervasive, Modern Analytics includes data visualization and reporting, transformational mobility, hyperintelligence, and custom applications. Its Open, Federated Architecture includes Federated Analytics and Multiple Deployment Options. Its Enterprise Platform includes Enterprise Semantic Graph and Security.</v>
    <v>2172</v>
    <v>Nasdaq Stock Market</v>
    <v>XNAS</v>
    <v>XNAS</v>
    <v>1850 Towers Crescent Plz, TYSONS CORNER, VA, 22182 US</v>
    <v>241.87</v>
    <v>Software &amp; IT Services</v>
    <v>Stock</v>
    <v>44947.041261342187</v>
    <v>6</v>
    <v>219.03</v>
    <v>2245167000</v>
    <v>MICROSTRATEGY INCORPORATED</v>
    <v>MICROSTRATEGY INCORPORATED</v>
    <v>224.19</v>
    <v>4500.8329999999996</v>
    <v>221.45</v>
    <v>240.03</v>
    <v>242.25</v>
    <v>9353690</v>
    <v>MSTR</v>
    <v>MICROSTRATEGY INCORPORATED (XNAS:MSTR)</v>
    <v>729935</v>
    <v>628037</v>
    <v>1989</v>
  </rv>
  <rv s="2">
    <v>7</v>
  </rv>
  <rv s="0">
    <v>https://www.bing.com/financeapi/forcetrigger?t=bxds4c&amp;q=XNAS%3aTUEM&amp;form=skydnc</v>
    <v>Learn more on Bing</v>
  </rv>
  <rv s="3">
    <v>en-US</v>
    <v>bxds4c</v>
    <v>268435456</v>
    <v>1</v>
    <v>Powered by Refinitiv</v>
    <v>5</v>
    <v>TUESDAY MORNING CORPORATION (OTCM:TUEM)</v>
    <v>2</v>
    <v>6</v>
    <v>Finance</v>
    <v>7</v>
    <v>0.84</v>
    <v>0.35499999999999998</v>
    <v>1.9410000000000001</v>
    <v>-2.2000000000000001E-3</v>
    <v>-3.9700000000000004E-3</v>
    <v>USD</v>
    <v>Tuesday Morning Corporation is an off-price retailer. The Company’s primary merchandise categories are upscale home textiles, home furnishings, housewares, gourmet food, pet supplies, bath and body products, toys and seasonal decor. The Company has approximately 489 stores in over 40 states. The Company's stores operate in both primary and secondary locations in the suburban markets. The Company’s subsidiaries include TMI Holdings, Inc., Tuesday Morning, Inc., Friday Morning, LLC, Days of the Week, Inc., Nights of the Week, Inc. and Tuesday Morning Partners, Ltd.</v>
    <v>1601</v>
    <v>OTC Markets</v>
    <v>OTCM</v>
    <v>OTCM</v>
    <v>6250 Lbj Freeway, DALLAS, TX, 75240 US</v>
    <v>0.61499999999999999</v>
    <v>Diversified Retail</v>
    <v>Stock</v>
    <v>44946.87334630781</v>
    <v>9</v>
    <v>0.46</v>
    <v>3281130</v>
    <v>TUESDAY MORNING CORPORATION</v>
    <v>TUESDAY MORNING CORPORATION</v>
    <v>0.55000000000000004</v>
    <v>15.384600000000001</v>
    <v>0.55410000000000004</v>
    <v>0.55189999999999995</v>
    <v>5945150</v>
    <v>TUEM</v>
    <v>TUESDAY MORNING CORPORATION (OTCM:TUEM)</v>
    <v>68677</v>
    <v>105400</v>
    <v>1991</v>
  </rv>
  <rv s="2">
    <v>10</v>
  </rv>
  <rv s="0">
    <v>https://www.bing.com/financeapi/forcetrigger?t=a2qfa2&amp;q=OTCM%3aNTDOY&amp;form=skydnc</v>
    <v>Learn more on Bing</v>
  </rv>
  <rv s="1">
    <v>en-US</v>
    <v>a2qfa2</v>
    <v>268435456</v>
    <v>1</v>
    <v>Powered by Refinitiv</v>
    <v>0</v>
    <v>Nintendo Co., Ltd. (OTCM:NTDOY)</v>
    <v>2</v>
    <v>8</v>
    <v>Finance</v>
    <v>9</v>
    <v>13.65</v>
    <v>9.76</v>
    <v>0.70640000000000003</v>
    <v>0</v>
    <v>0</v>
    <v>0</v>
    <v>0</v>
    <v>USD</v>
    <v>Nintendo Co., Ltd. is mainly engaged in the development, manufacture and sale of entertainment products in home entertainment field. The Company's main products include game machines such as portable and console game machines and software, as well as trump and Carta (Japanese-style playing cards). The console game machines are hardware and software for mobile games and home console games, developed by the Company and its affiliates, manufactured mainly by the Company, and sold mainly by the affiliates overseas.</v>
    <v>6717</v>
    <v>OTC Markets</v>
    <v>OTCM</v>
    <v>OTCM</v>
    <v>11-1, Kamitoba, Hokotate-cho, Minami-ku, KYOTO-SHI, KYOTO-FU, 601-8114 JP</v>
    <v>10.75</v>
    <v>Leisure Products</v>
    <v>Stock</v>
    <v>44946.876077106252</v>
    <v>12</v>
    <v>10.56</v>
    <v>7155782000000</v>
    <v>Nintendo Co., Ltd.</v>
    <v>Nintendo Co., Ltd.</v>
    <v>10.66</v>
    <v>1.4535</v>
    <v>10.74</v>
    <v>10.74</v>
    <v>10.74</v>
    <v>1298690000</v>
    <v>NTDOY</v>
    <v>Nintendo Co., Ltd. (OTCM:NTDOY)</v>
    <v>900684</v>
    <v>4969190</v>
    <v>1947</v>
  </rv>
  <rv s="2">
    <v>13</v>
  </rv>
  <rv s="0">
    <v>https://www.bing.com/financeapi/forcetrigger?t=bqip3m&amp;q=XMIL%3aGBUS&amp;form=skydnc</v>
    <v>Learn more on Bing</v>
  </rv>
  <rv s="4">
    <v>en-US</v>
    <v>bqip3m</v>
    <v>268435456</v>
    <v>1</v>
    <v>Powered by Refinitiv</v>
    <v>10</v>
    <v>Gibus SpA (XMIL:GBUS)</v>
    <v>2</v>
    <v>11</v>
    <v>Finance</v>
    <v>12</v>
    <v>19.8</v>
    <v>10.6</v>
    <v>1.282</v>
    <v>-0.1</v>
    <v>-6.4099999999999999E-3</v>
    <v>EUR</v>
    <v>Gibus SpA is an Italy-based outdoor design company. It designs, produces and distributes sun curtains, pergolas and related products and services. The Company operates three business lines: Design, High Tech Luxury and Sustainability. The Design business line, the Company’s core activity, includes pergolas, sun curtains and glass walls. The business line High Tech Luxury comprehend bioclimatic pergolas that through technological sensors regulate the sun light. The Sustainability business line offers special sun curtains designed for save energy. The Company’s customers include hotels, restaurants and cafes, among others in Europe.</v>
    <v>254</v>
    <v>Borsa Italiana</v>
    <v>XMIL</v>
    <v>XMIL</v>
    <v>Via Luigi Einaudi, 35, SACCOLONGO, PADOVA, 35030 IT</v>
    <v>16</v>
    <v>Homebuilding &amp; Construction Supplies</v>
    <v>Stock</v>
    <v>44946.704861111109</v>
    <v>15</v>
    <v>15.5</v>
    <v>77877570</v>
    <v>Gibus SpA</v>
    <v>Gibus SpA</v>
    <v>15.7</v>
    <v>5.149</v>
    <v>15.6</v>
    <v>15.5</v>
    <v>5008200</v>
    <v>GBUS</v>
    <v>Gibus SpA (XMIL:GBUS)</v>
    <v>1383</v>
    <v>2990</v>
  </rv>
  <rv s="2">
    <v>16</v>
  </rv>
  <rv s="0">
    <v>https://www.bing.com/financeapi/forcetrigger?t=ah4ck2&amp;q=XHKG%3a327&amp;form=skydnc</v>
    <v>Learn more on Bing</v>
  </rv>
  <rv s="1">
    <v>en-US</v>
    <v>ah4ck2</v>
    <v>268435456</v>
    <v>1</v>
    <v>Powered by Refinitiv</v>
    <v>0</v>
    <v>PAX Global Technology Limited (XHKG:327)</v>
    <v>2</v>
    <v>13</v>
    <v>Finance</v>
    <v>9</v>
    <v>8.3699999999999992</v>
    <v>4.5999999999999996</v>
    <v>0.50260000000000005</v>
    <v>0</v>
    <v>1.8006000000000001E-2</v>
    <v>0</v>
    <v>0.13</v>
    <v>HKD</v>
    <v>PAX Global Technology Limited is a Hong Kong-based investment holding company principally engaged in the provision of e-payment terminal solutions. The main businesses of the Company include the development and sales of countertop and mobile e-payment terminals. It is also involved in the development and sales of consumer activated devices, contactless card-reading devices and e-payment terminal software. The Company mainly operates businesses in China, the United States and Italy.</v>
    <v>1642</v>
    <v>Hong Kong Stock Exchange</v>
    <v>XHKG</v>
    <v>XHKG</v>
    <v>Room 2504, 25/F, Sun Hung Kai Centre, 30 Harbour Road, Wanchai HK</v>
    <v>7.53</v>
    <v>Office Equipment</v>
    <v>Stock</v>
    <v>44946.339780092596</v>
    <v>18</v>
    <v>7.19</v>
    <v>7796264000</v>
    <v>PAX Global Technology Limited</v>
    <v>PAX Global Technology Limited</v>
    <v>7.25</v>
    <v>6.2</v>
    <v>7.22</v>
    <v>7.22</v>
    <v>7.35</v>
    <v>1079815000</v>
    <v>327</v>
    <v>PAX Global Technology Limited (XHKG:327)</v>
    <v>1247230</v>
    <v>1081680</v>
    <v>2010</v>
  </rv>
  <rv s="2">
    <v>19</v>
  </rv>
  <rv s="0">
    <v>https://www.bing.com/financeapi/forcetrigger?t=a1ukim&amp;q=XNAS%3aHEAR&amp;form=skydnc</v>
    <v>Learn more on Bing</v>
  </rv>
  <rv s="1">
    <v>en-US</v>
    <v>a1ukim</v>
    <v>268435456</v>
    <v>1</v>
    <v>Powered by Refinitiv</v>
    <v>0</v>
    <v>TURTLE BEACH CORPORATION (XNAS:HEAR)</v>
    <v>2</v>
    <v>3</v>
    <v>Finance</v>
    <v>4</v>
    <v>25.33</v>
    <v>6.22</v>
    <v>1.9300999999999999</v>
    <v>0.3</v>
    <v>-4.2303E-2</v>
    <v>3.6541000000000004E-2</v>
    <v>-0.36</v>
    <v>USD</v>
    <v>Turtle Beach Corporation (Turtle Beach) is an audio and gaming technology company. Turtle Beach is engaged in developing, commercializing, and marketing products under Turtle Beach, ROCCAT and Neat Microphones brands. Turtle Beach is a provider of headset solutions for use across multiple platforms, including video game and entertainment consoles, handheld consoles, personal computers (PC), tablets and mobile devices. Turtle Beach under its ROCCAT brand provides keyboards, mice, headsets, mousepads, and other computer accessories. Turtle Beach designs and markets a gaming headsets and audio accessories for Xbox, PlayStation, personal computer (PC), Mac, and mobile/tablet devices. Turtle Beach’s Neat Microphones brand (www.neatmic.com) creates USB and analog microphones for gamers, streamers, professionals and students.</v>
    <v>272</v>
    <v>Nasdaq Stock Market</v>
    <v>XNAS</v>
    <v>XNAS</v>
    <v>44 South Broadway, 4Th Floor, WHITE PLAINS, NY, 10601 US</v>
    <v>8.6649999999999991</v>
    <v>Computers, Phones &amp; Household Electronics</v>
    <v>Stock</v>
    <v>44946.923524988284</v>
    <v>21</v>
    <v>8.1999999999999993</v>
    <v>140899700</v>
    <v>TURTLE BEACH CORPORATION</v>
    <v>TURTLE BEACH CORPORATION</v>
    <v>8.33</v>
    <v>111.4096</v>
    <v>8.2100000000000009</v>
    <v>8.51</v>
    <v>8.15</v>
    <v>16556960</v>
    <v>HEAR</v>
    <v>TURTLE BEACH CORPORATION (XNAS:HEAR)</v>
    <v>288359</v>
    <v>273958</v>
    <v>2010</v>
  </rv>
  <rv s="2">
    <v>22</v>
  </rv>
  <rv s="0">
    <v>https://www.bing.com/financeapi/forcetrigger?t=ao6n8m&amp;q=XLON%3aBOTB&amp;form=skydnc</v>
    <v>Learn more on Bing</v>
  </rv>
  <rv s="5">
    <v>en-US</v>
    <v>ao6n8m</v>
    <v>268435456</v>
    <v>1</v>
    <v>Powered by Refinitiv</v>
    <v>14</v>
    <v>BEST OF THE BEST PLC (XLON:BOTB)</v>
    <v>2</v>
    <v>15</v>
    <v>Finance</v>
    <v>16</v>
    <v>628.20000000000005</v>
    <v>350</v>
    <v>0.54249999999999998</v>
    <v>0</v>
    <v>0</v>
    <v>GBp</v>
    <v>Best of the Best Plc is a United Kingdom-based company, which is engaged in operating weekly competitions to win luxury cars and other prizes online. The Company's competitions are Weekly Dream Car and Midweek Lifestyle Competitions. Both competitions offer the opportunity to win brand new cars, with the former operating via Spot the Ball and the latter via a suitably skill-based question. The winner is selected at random from all correct entries at the end of the competition. Midweek Lifestyle Competition features a more focused selection of lower-value cars, top-end motorbikes, luxury watches, holidays, top technology, and cash prizes. The Company's Dream Car competition offers a choice of approximately 200 models, combined with the ability to add up to £50,000 in cash with prize. The Company's bike prizes include brands, such as Harley-Davidson, Kawasaki, Ducati, Aprilia, Triumph, KTM, Yamaha, Royal Enfield, and Suzuki.</v>
    <v>22</v>
    <v>London Stock Exchange</v>
    <v>XLON</v>
    <v>XLON</v>
    <v>Plato Place, 72-74 St. Dionis Road, LONDON, UNITED KINGDOM-NA, SW6 4TU GB</v>
    <v>Hotels &amp; Entertainment Services</v>
    <v>Stock</v>
    <v>44946.695154189059</v>
    <v>24</v>
    <v>34304800</v>
    <v>BEST OF THE BEST PLC</v>
    <v>BEST OF THE BEST PLC</v>
    <v>410</v>
    <v>9.0508000000000006</v>
    <v>410</v>
    <v>410</v>
    <v>8367020</v>
    <v>BOTB</v>
    <v>BEST OF THE BEST PLC (XLON:BOTB)</v>
    <v>8031</v>
    <v>26700</v>
    <v>1999</v>
  </rv>
  <rv s="2">
    <v>25</v>
  </rv>
  <rv s="0">
    <v>https://www.bing.com/financeapi/forcetrigger?t=a1nnec&amp;q=XNAS%3aAQB&amp;form=skydnc</v>
    <v>Learn more on Bing</v>
  </rv>
  <rv s="6">
    <v>en-US</v>
    <v>a1nnec</v>
    <v>268435456</v>
    <v>1</v>
    <v>Powered by Refinitiv</v>
    <v>17</v>
    <v>AQUABOUNTY TECHNOLOGIES, INC. (XNAS:AQB)</v>
    <v>2</v>
    <v>18</v>
    <v>Finance</v>
    <v>4</v>
    <v>2.37</v>
    <v>0.58199999999999996</v>
    <v>1.1368</v>
    <v>8.8700000000000001E-2</v>
    <v>-8.9809999999999994E-3</v>
    <v>0.100795</v>
    <v>-8.6999999999999994E-3</v>
    <v>USD</v>
    <v>AquaBounty Technologies, Inc. is engaged in the field of land-based aquaculture. The Company's GE Atlantic salmon is based upon salmon genetics and grows to harvest size faster than conventional Atlantic salmon. It farms its GE Atlantic salmon in land-based, recirculating aquaculture systems (RAS). The closed, contained, land-based production systems using RAS technology that the Company uses for the grow-out of its fish are less susceptible to the disease-related pressures of conventional salmon farming. Its RAS facilities provide water treatment technology, including the use of ozone, salt treatment and ultraviolet radiation to kill potential bacterial, fungal, or viral pathogens, which might enter the system. Its GE Atlantic salmon is based upon a single, specific molecular modification in the fish that results in rapid growth in early development. It has two salmon farms in production, one is located in Indiana and the other located in Prince Edward Island, Canada.</v>
    <v>95</v>
    <v>Nasdaq Stock Market</v>
    <v>XNAS</v>
    <v>XNAS</v>
    <v>2 Clock Tower Pl Ste 395, MAYNARD, MA, 01754-2539 US</v>
    <v>0.96899999999999997</v>
    <v>Biotechnology &amp; Medical Research</v>
    <v>Stock</v>
    <v>44947.03597155078</v>
    <v>27</v>
    <v>0.91</v>
    <v>68884950</v>
    <v>AQUABOUNTY TECHNOLOGIES, INC.</v>
    <v>AQUABOUNTY TECHNOLOGIES, INC.</v>
    <v>0.95</v>
    <v>0.88</v>
    <v>0.96870000000000001</v>
    <v>0.96</v>
    <v>71110710</v>
    <v>AQB</v>
    <v>AQUABOUNTY TECHNOLOGIES, INC. (XNAS:AQB)</v>
    <v>404573</v>
    <v>333637</v>
    <v>1991</v>
  </rv>
  <rv s="2">
    <v>28</v>
  </rv>
  <rv s="0">
    <v>https://www.bing.com/financeapi/forcetrigger?t=a1v3ec&amp;q=XNYS%3aHZO&amp;form=skydnc</v>
    <v>Learn more on Bing</v>
  </rv>
  <rv s="1">
    <v>en-US</v>
    <v>a1v3ec</v>
    <v>268435456</v>
    <v>1</v>
    <v>Powered by Refinitiv</v>
    <v>0</v>
    <v>MARINEMAX, INC. (XNYS:HZO)</v>
    <v>2</v>
    <v>3</v>
    <v>Finance</v>
    <v>4</v>
    <v>50.32</v>
    <v>27.4</v>
    <v>1.5502</v>
    <v>0.46</v>
    <v>0</v>
    <v>1.3710999999999999E-2</v>
    <v>0</v>
    <v>USD</v>
    <v>MarineMax, Inc. is a recreational boat and yacht retailer in the United States. The Company is engaged in the retail sale, brokerage, and service of new and used boats, motors, trailers, marine parts, and accessories and offers slip and storage accommodations in certain locations. It also arranges related boat financing, insurance, and extended service contracts. It also offers the charter of power yachts in the British Virgin Islands. It operates through approximately 79 retail locations in 21 states, consisting of Alabama, California, Connecticut, Florida, Georgia, Illinois, Maryland, Massachusetts, Michigan, Minnesota, Missouri, New Jersey, New York, North Carolina, Ohio, Oklahoma, Rhode Island, South Carolina, Texas, Washington and Wisconsin. Its Retail Operations segment includes the sale of new and used recreational boats, including pleasure and fishing boats. Its Product Manufacturing segment includes the activity of the Company's subsidiaries Cruisers Yachts and Intrepid.</v>
    <v>3410</v>
    <v>New York Stock Exchange</v>
    <v>XNYS</v>
    <v>XNYS</v>
    <v>2600 McCormick Dr Ste 200, CLEARWATER, FL, 33759-1001 US</v>
    <v>34.090000000000003</v>
    <v>Leisure Products</v>
    <v>Stock</v>
    <v>44947.000000022657</v>
    <v>30</v>
    <v>33.29</v>
    <v>742997600</v>
    <v>MARINEMAX, INC.</v>
    <v>MARINEMAX, INC.</v>
    <v>33.840000000000003</v>
    <v>3.7902999999999998</v>
    <v>33.549999999999997</v>
    <v>34.01</v>
    <v>34.01</v>
    <v>21846440</v>
    <v>HZO</v>
    <v>MARINEMAX, INC. (XNYS:HZO)</v>
    <v>248554</v>
    <v>355029</v>
    <v>1998</v>
  </rv>
  <rv s="2">
    <v>31</v>
  </rv>
  <rv s="0">
    <v>https://www.bing.com/financeapi/forcetrigger?t=a1t3im&amp;q=XNAS%3aFLWS&amp;form=skydnc</v>
    <v>Learn more on Bing</v>
  </rv>
  <rv s="1">
    <v>en-US</v>
    <v>a1t3im</v>
    <v>268435456</v>
    <v>1</v>
    <v>Powered by Refinitiv</v>
    <v>0</v>
    <v>1-800-FLOWERS.COM, INC. (XNAS:FLWS)</v>
    <v>2</v>
    <v>3</v>
    <v>Finance</v>
    <v>4</v>
    <v>22.975000000000001</v>
    <v>5.82</v>
    <v>1.6146</v>
    <v>0.26</v>
    <v>4.3803000000000002E-2</v>
    <v>2.8570999999999999E-2</v>
    <v>0.41</v>
    <v>USD</v>
    <v>1-800-Flowers.Com, Inc. is a provider of gifts designed to help customers express, connect and celebrate. The Company’s business platform features a range of brands, including: 1-800-Flowers.com, 1-800-Baskets.com, Cheryl’s Cookies, Harry &amp; David, PersonalizationMall.com, Shari’s Berries, FruitBouquets.com, Moose Munch, The Popcorn Factory, Wolferman’s Bakery, Vital Choice, Stock Yards and Simply Chocolate. The Company operates in three business segments: Consumer Floral &amp; Gifts, Gourmet Foods &amp; Gift Baskets, and BloomNet. Its Celebrations Passport loyalty program provides members with free standard shipping and no service charge across its portfolio of brands. It also operates BloomNet, an international floral and gift industry service provider offering a range of products and services designed to help its members grow their businesses; Napco, a resource for floral gifts and seasonal decor; DesignPac Gifts, LLC, a manufacturer of gift baskets and towers and Alice’s Table.</v>
    <v>4700</v>
    <v>Nasdaq Stock Market</v>
    <v>XNAS</v>
    <v>XNAS</v>
    <v>Two Jericho Plaza, Suite 200, JERICHO, NY, 11753 US</v>
    <v>9.48</v>
    <v>Specialty Retailers</v>
    <v>Stock</v>
    <v>44946.916172546094</v>
    <v>33</v>
    <v>9.0500000000000007</v>
    <v>604942000</v>
    <v>1-800-FLOWERS.COM, INC.</v>
    <v>1-800-FLOWERS.COM, INC.</v>
    <v>9.2100000000000009</v>
    <v>77.837699999999998</v>
    <v>9.1</v>
    <v>9.36</v>
    <v>9.77</v>
    <v>64630550</v>
    <v>FLWS</v>
    <v>1-800-FLOWERS.COM, INC. (XNAS:FLWS)</v>
    <v>425884</v>
    <v>497441</v>
    <v>1992</v>
  </rv>
  <rv s="2">
    <v>34</v>
  </rv>
  <rv s="0">
    <v>https://www.bing.com/financeapi/forcetrigger?t=bwo4oc&amp;q=XNAS%3aNGMS&amp;form=skydnc</v>
    <v>Learn more on Bing</v>
  </rv>
  <rv s="7">
    <v>en-US</v>
    <v>bwo4oc</v>
    <v>268435456</v>
    <v>1</v>
    <v>Powered by Refinitiv</v>
    <v>19</v>
    <v>NeoGames SA (XNAS:NGMS)</v>
    <v>2</v>
    <v>20</v>
    <v>Finance</v>
    <v>4</v>
    <v>25.87</v>
    <v>10.69</v>
    <v>1</v>
    <v>0</v>
    <v>8.8574E-2</v>
    <v>0</v>
    <v>USD</v>
    <v>NeoGames SA is an Israel-based software company. The Company operates as technology-driven provider of end-to-end solutions in the lottery industry. NeoGames SA offers comprehensive iLottery solutions through two distinct business lines-turnkey solutions and games. The Lottery is separated into two primary products such as, instant tickets (Instants) and draw based games (DBGs). The Company offers its solutions through technology platforms such as NeoSphere that provides and controls the functionality related to the management of players throughout their entire lifecycle; NeoDraw engaged in online casino games or sports betting, NeoPlay which offers that manages online Instants.</v>
    <v>156</v>
    <v>Nasdaq Stock Market</v>
    <v>XNAS</v>
    <v>XNAS</v>
    <v>10 HaBarzel st., Building C, 16Th Floor, TEL AVIV-YAFO, ISRAEL-NA IL</v>
    <v>12.52</v>
    <v>Software &amp; IT Services</v>
    <v>Stock</v>
    <v>44946.885585728909</v>
    <v>36</v>
    <v>10.85</v>
    <v>317815300</v>
    <v>NeoGames SA</v>
    <v>NeoGames SA</v>
    <v>11.48</v>
    <v>71.247</v>
    <v>11.29</v>
    <v>12.29</v>
    <v>12.29</v>
    <v>25859660</v>
    <v>NGMS</v>
    <v>NeoGames SA (XNAS:NGMS)</v>
    <v>492262</v>
    <v>110670</v>
    <v>2014</v>
  </rv>
  <rv s="2">
    <v>37</v>
  </rv>
  <rv s="0">
    <v>https://www.bing.com/financeapi/forcetrigger?t=a1slm7&amp;q=XNAS%3aMETA&amp;form=skydnc</v>
    <v>Learn more on Bing</v>
  </rv>
  <rv s="1">
    <v>en-US</v>
    <v>a1slm7</v>
    <v>268435456</v>
    <v>1</v>
    <v>Powered by Refinitiv</v>
    <v>0</v>
    <v>Meta Platforms, Inc. (XNAS:META)</v>
    <v>2</v>
    <v>3</v>
    <v>Finance</v>
    <v>4</v>
    <v>328</v>
    <v>88.09</v>
    <v>1.1781999999999999</v>
    <v>3.22</v>
    <v>-6.4579999999999998E-4</v>
    <v>2.3650000000000001E-2</v>
    <v>-0.09</v>
    <v>USD</v>
    <v>Meta Platforms Inc., formerly Facebook, Inc., builds technologies that help people find communities and grow businesses. The Company's products enable people to connect and share with friends and family through mobile devices, personal computers, virtual reality (VR) headsets, wearables, and in-home devices. The Company operates through two segments: Family of Apps (FoA) and Reality Labs (RL). FoA includes Facebook, Instagram, Messenger, WhatsApp, and other services. RL includes augmented and virtual reality-related consumer hardware, software, and content. Facebook enables people to connect, share, discover and communicate with each other on mobile devices and personal computers. Instagram is a place where people can express themselves through photos, videos, and private messaging, and connect with and shop from their favorite businesses and creators. Messenger is a messaging application for people to connect with friends, family, groups, and businesses across platforms and devices.</v>
    <v>87314</v>
    <v>Nasdaq Stock Market</v>
    <v>XNAS</v>
    <v>XNAS</v>
    <v>1601 Willow Rd, MENLO PARK, CA, 94025 US</v>
    <v>139.94</v>
    <v>Software &amp; IT Services</v>
    <v>Stock</v>
    <v>44947.041635508591</v>
    <v>39</v>
    <v>134.61000000000001</v>
    <v>365455600000</v>
    <v>Meta Platforms, Inc.</v>
    <v>Meta Platforms, Inc.</v>
    <v>135.88999999999999</v>
    <v>12.988</v>
    <v>136.15</v>
    <v>139.37</v>
    <v>139.28</v>
    <v>2622197000</v>
    <v>META</v>
    <v>Meta Platforms, Inc. (XNAS:META)</v>
    <v>28688630</v>
    <v>28455060</v>
    <v>2004</v>
  </rv>
  <rv s="2">
    <v>40</v>
  </rv>
  <rv s="0">
    <v>https://www.bing.com/financeapi/forcetrigger?t=a2ve5r&amp;q=OTCM%3aSFTBF&amp;form=skydnc</v>
    <v>Learn more on Bing</v>
  </rv>
  <rv s="3">
    <v>en-US</v>
    <v>a2ve5r</v>
    <v>268435456</v>
    <v>1</v>
    <v>Powered by Refinitiv</v>
    <v>5</v>
    <v>SoftBank Group Corp. (OTCM:SFTBF)</v>
    <v>2</v>
    <v>21</v>
    <v>Finance</v>
    <v>7</v>
    <v>50.27</v>
    <v>33.54</v>
    <v>1.2295</v>
    <v>-0.17</v>
    <v>-3.656E-3</v>
    <v>USD</v>
    <v>SoftBank Group Corp. is a Japan-based company principally engaged in the communication and Internet related business. The Company operates in six business segments. Softbank segment is involved in the sale of mobile terminals, the provision of mobile communication services and fixed communication services in Japan. The Segment also sells mobile terminal accessories, PC software and peripherals. Sprint segment is involved in the provision of mobile communication services and others in the US. Yahoo segment conducts advertising business on the Internet, e-commerce business and membership service business. ARM segment is involved in the design of IP and related technologies for microprocessors, and the sale of software tools. Softbank Vision Fund and Delta Fund segment conducts investment activities in the technology area. Bright Star segment conducts distribution of mobile terminals overseas. The Company is also involved in Fortress and Fukuoka Softbank Hawks related business.</v>
    <v>59721</v>
    <v>OTC Markets</v>
    <v>OTCM</v>
    <v>OTCM</v>
    <v>TOKYO PORTCITY TAKESHIBA Office Tower, 1-7-1, Kaigan, MINATO-KU, TOKYO-TO, 105-7537 JP</v>
    <v>46.33</v>
    <v>Telecommunications Services</v>
    <v>Stock</v>
    <v>44946.823429015625</v>
    <v>42</v>
    <v>46.33</v>
    <v>10134410000000</v>
    <v>SoftBank Group Corp.</v>
    <v>SoftBank Group Corp.</v>
    <v>46.33</v>
    <v>3.2421000000000002</v>
    <v>46.5</v>
    <v>46.33</v>
    <v>1722954000</v>
    <v>SFTBF</v>
    <v>SoftBank Group Corp. (OTCM:SFTBF)</v>
    <v>1588</v>
    <v>8846850</v>
    <v>1981</v>
  </rv>
  <rv s="2">
    <v>43</v>
  </rv>
  <rv s="0">
    <v>https://www.bing.com/financeapi/forcetrigger?t=a1qca2&amp;q=XNAS%3aCRMT&amp;form=skydnc</v>
    <v>Learn more on Bing</v>
  </rv>
  <rv s="1">
    <v>en-US</v>
    <v>a1qca2</v>
    <v>268435456</v>
    <v>1</v>
    <v>Powered by Refinitiv</v>
    <v>0</v>
    <v>AMERICA'S CAR-MART, INC. (XNAS:CRMT)</v>
    <v>2</v>
    <v>3</v>
    <v>Finance</v>
    <v>4</v>
    <v>127.05</v>
    <v>52.24</v>
    <v>1.371</v>
    <v>2.4300000000000002</v>
    <v>0</v>
    <v>3.2404000000000002E-2</v>
    <v>0</v>
    <v>USD</v>
    <v>America's Car-Mart, Inc. is an automotive retailer in the United States. The Company operates in the integrated auto sales and finance segment of the used car market, also referred to as the integrated auto sales and finance industry. In this industry, the nature of the sale, the type of customer and the methods used to distribute the Company’s products and services, including the actual servicing of the contracts, as well as the regulatory environment in which the Company operates, all have similar characteristics. The Company operates through its two subsidiaries, including America’s Car Mart, Inc., an Arkansas corporation (Car-Mart of Arkansas) and Colonial Auto Finance, Inc., an Arkansas corporation (Colonial). It primarily sells older model used vehicles and provides financing for substantially all of its customers. The Company operates approximately 154 dealerships located primarily in small cities throughout the South-Central United States.</v>
    <v>2100</v>
    <v>Nasdaq Stock Market</v>
    <v>XNAS</v>
    <v>XNAS</v>
    <v>802 SE Plaza Ave Ste 200, BENTONVILLE, AR, 72712-3220 US</v>
    <v>77.569999999999993</v>
    <v>Specialty Retailers</v>
    <v>Stock</v>
    <v>44946.879879756249</v>
    <v>45</v>
    <v>74.05</v>
    <v>493075600</v>
    <v>AMERICA'S CAR-MART, INC.</v>
    <v>AMERICA'S CAR-MART, INC.</v>
    <v>75.75</v>
    <v>8.0297000000000001</v>
    <v>74.989999999999995</v>
    <v>77.42</v>
    <v>77.42</v>
    <v>6368840</v>
    <v>CRMT</v>
    <v>AMERICA'S CAR-MART, INC. (XNAS:CRMT)</v>
    <v>57519</v>
    <v>90319</v>
    <v>1989</v>
  </rv>
  <rv s="2">
    <v>46</v>
  </rv>
  <rv s="0">
    <v>https://www.bing.com/financeapi/forcetrigger?t=a2g6z2&amp;q=OTCM%3aEVVTY&amp;form=skydnc</v>
    <v>Learn more on Bing</v>
  </rv>
  <rv s="8">
    <v>en-US</v>
    <v>a2g6z2</v>
    <v>268435456</v>
    <v>1</v>
    <v>Powered by Refinitiv</v>
    <v>22</v>
    <v>Evolution AB (publ) (OTCM:EVVTY)</v>
    <v>2</v>
    <v>23</v>
    <v>Finance</v>
    <v>7</v>
    <v>133.31</v>
    <v>69.569999999999993</v>
    <v>1.1795</v>
    <v>1.21</v>
    <v>1.0799000000000001E-2</v>
    <v>USD</v>
    <v>Evolution AB (publ), formerly Evolution Gaming Group AB (publ), is a Sweden-based company active in the Internet services sector.The Company develops, produces, markets and licenses fully-integrated business-to-business (B2B) live casino solutions for gaming operators. The gaming operators then market and offer the products to their end users.The Company provides its services through live casino studios across Europe, Canada and the USA.</v>
    <v>11207</v>
    <v>OTC Markets</v>
    <v>OTCM</v>
    <v>OTCM</v>
    <v>Vasagatan 16, STOCKHOLM, STOCKHOLM, 11120 SE</v>
    <v>113.51990000000001</v>
    <v>Hotels &amp; Entertainment Services</v>
    <v>Stock</v>
    <v>44946.874989328127</v>
    <v>48</v>
    <v>111.35</v>
    <v>249055700000</v>
    <v>Evolution AB (publ)</v>
    <v>Evolution AB (publ)</v>
    <v>112.02</v>
    <v>112.05</v>
    <v>113.26</v>
    <v>215111100</v>
    <v>EVVTY</v>
    <v>Evolution AB (publ) (OTCM:EVVTY)</v>
    <v>46039</v>
    <v>565360</v>
    <v>2014</v>
  </rv>
  <rv s="2">
    <v>49</v>
  </rv>
  <rv s="0">
    <v>https://www.bing.com/financeapi/forcetrigger?t=a1yv52&amp;q=XNAS%3aNVDA&amp;form=skydnc</v>
    <v>Learn more on Bing</v>
  </rv>
  <rv s="1">
    <v>en-US</v>
    <v>a1yv52</v>
    <v>268435456</v>
    <v>1</v>
    <v>Powered by Refinitiv</v>
    <v>0</v>
    <v>NVIDIA CORPORATION (XNAS:NVDA)</v>
    <v>2</v>
    <v>3</v>
    <v>Finance</v>
    <v>4</v>
    <v>289.45999999999998</v>
    <v>108.13</v>
    <v>1.7381</v>
    <v>10.74</v>
    <v>7.5119999999999996E-3</v>
    <v>6.4062000000000008E-2</v>
    <v>1.34</v>
    <v>USD</v>
    <v>NVIDIA Corporation is a personal computer (PC) gaming market. The Company’s segments include Graphics and Compute &amp; Networking. The Graphics segment includes GeForce graphics processing units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software for building three-dimensional (3D) designs and virtual worlds. The Compute &amp; Networking segment includes Data Center platforms and systems for artificial intelligence (AI), high-performance computing (HPC), and accelerated computing; Mellanox networking and interconnect solutions; automotive AI Cockpit, autonomous driving development agreements, and autonomous vehicle solutions; cryptocurrency mining processors (CMP); Jetson for robotics, and NVIDIA AI Enterprise.</v>
    <v>22473</v>
    <v>Nasdaq Stock Market</v>
    <v>XNAS</v>
    <v>XNAS</v>
    <v>2788 San Tomas Expressway, SANTA CLARA, CA, 95051 US</v>
    <v>178.56</v>
    <v>Semiconductors &amp; Semiconductor Equipment</v>
    <v>Stock</v>
    <v>44947.041661978903</v>
    <v>51</v>
    <v>168.25</v>
    <v>438839400000</v>
    <v>NVIDIA CORPORATION</v>
    <v>NVIDIA CORPORATION</v>
    <v>170.11</v>
    <v>71.3095</v>
    <v>167.65</v>
    <v>178.39</v>
    <v>179.73</v>
    <v>2460000000</v>
    <v>NVDA</v>
    <v>NVIDIA CORPORATION (XNAS:NVDA)</v>
    <v>56496712</v>
    <v>43436438</v>
    <v>1998</v>
  </rv>
  <rv s="2">
    <v>52</v>
  </rv>
  <rv s="0">
    <v>https://www.bing.com/financeapi/forcetrigger?t=bvkn2w&amp;q=XNAS%3aCRSR&amp;form=skydnc</v>
    <v>Learn more on Bing</v>
  </rv>
  <rv s="1">
    <v>en-US</v>
    <v>bvkn2w</v>
    <v>268435456</v>
    <v>1</v>
    <v>Powered by Refinitiv</v>
    <v>0</v>
    <v>CORSAIR GAMING, INC. (XNAS:CRSR)</v>
    <v>2</v>
    <v>3</v>
    <v>Finance</v>
    <v>24</v>
    <v>23.98</v>
    <v>10.96</v>
    <v>1.546</v>
    <v>0.26</v>
    <v>4.3026000000000002E-2</v>
    <v>1.8374999999999999E-2</v>
    <v>0.62</v>
    <v>USD</v>
    <v>Corsair Gaming, Inc (Corsair) is engaged in providing high-performance gear for gamers, streamers and content creators. Its segments include Gamer and creator peripherals and Gaming components and systems. Gamer and creator peripherals Include high-performance gaming keyboards, mice, headsets, controllers, and our streaming gear, including capture cards, Stream Decks, Universal Serial Bus (USB) microphones, Facecam streaming camera, studio accessories and EpocCam software, as well as coaching and training services, among others. Gaming components and systems includes high-performance power supply units (PSUs), cooling solutions, computer cases, DRAM modules, as well as high-end prebuilt and custom-built gaming personal computers (PCs), among others. Its product offering includes two software platforms: iCUE for gamers and Elgatos streaming suite for streamers and content creators.</v>
    <v>2490</v>
    <v>Nasdaq Stock Market</v>
    <v>XNAS</v>
    <v>XNAS</v>
    <v>115 N. Mccarthy Boulevard, MILPITAS, CA, 95035 US</v>
    <v>14.605</v>
    <v>Computers, Phones &amp; Household Electronics</v>
    <v>Stock</v>
    <v>44946.945441758595</v>
    <v>54</v>
    <v>14.07</v>
    <v>1457970000</v>
    <v>CORSAIR GAMING, INC.</v>
    <v>CORSAIR GAMING, INC.</v>
    <v>14.31</v>
    <v>31.651299999999999</v>
    <v>14.15</v>
    <v>14.41</v>
    <v>15.03</v>
    <v>101177700</v>
    <v>CRSR</v>
    <v>CORSAIR GAMING, INC. (XNAS:CRSR)</v>
    <v>433140</v>
    <v>470497</v>
    <v>2017</v>
  </rv>
  <rv s="2">
    <v>55</v>
  </rv>
  <rv s="0">
    <v>https://www.bing.com/financeapi/forcetrigger?t=a22gw7&amp;q=XNYS%3aSAND&amp;form=skydnc</v>
    <v>Learn more on Bing</v>
  </rv>
  <rv s="1">
    <v>en-US</v>
    <v>a22gw7</v>
    <v>268435456</v>
    <v>1</v>
    <v>Powered by Refinitiv</v>
    <v>0</v>
    <v>SANDSTORM GOLD LTD. (XNYS:SAND)</v>
    <v>2</v>
    <v>25</v>
    <v>Finance</v>
    <v>24</v>
    <v>9.18</v>
    <v>4.51</v>
    <v>0.94</v>
    <v>0.16</v>
    <v>6.6119999999999998E-3</v>
    <v>2.7164999999999998E-2</v>
    <v>0.04</v>
    <v>USD</v>
    <v>Sandstorm Gold Ltd. is a Canada-based gold-focused streaming and royalty company. The Company offers financing solutions to gold mining companies. The Company holds a portfolio of over approximately 250 royalties, of which 39 of the underlying mines are producing. It is focused on investing in the production profile through the acquisition of additional gold royalties. The Company's segment consists of Antamina, Aurizona, Blyvoor, Bonikro, Caserones, Chapada Copper, Diavik, Fruta del Norte, Greenstone, Horne 5, Hod Maden, Hounde, Hugo North Extension and Heruga, Mercedes, Platreef, Relief Canyon, Vale Royalties, Vatukoula, Yamana silver stream, and Other. The Company operates in Africa, Asia, Australia, Europe, North America, Oceania, and South America.</v>
    <v>23</v>
    <v>New York Stock Exchange</v>
    <v>XNYS</v>
    <v>XNYS</v>
    <v>Suite 1400 - 400 Burrard Street, 1400-400 Burrard Street, VANCOUVER, BC, V6C 3A6 CA</v>
    <v>6.0854999999999997</v>
    <v>Metals &amp; Mining</v>
    <v>Stock</v>
    <v>44946.974020010937</v>
    <v>57</v>
    <v>5.81</v>
    <v>2415256000</v>
    <v>SANDSTORM GOLD LTD.</v>
    <v>SANDSTORM GOLD LTD.</v>
    <v>5.85</v>
    <v>14.0342</v>
    <v>5.89</v>
    <v>6.05</v>
    <v>6.09</v>
    <v>298179700</v>
    <v>SAND</v>
    <v>SANDSTORM GOLD LTD. (XNYS:SAND)</v>
    <v>2254943</v>
    <v>2379069</v>
    <v>2015</v>
  </rv>
  <rv s="2">
    <v>58</v>
  </rv>
  <rv s="0">
    <v>https://www.bing.com/financeapi/forcetrigger?t=bjoj8m&amp;q=XNAS%3aOPRA&amp;form=skydnc</v>
    <v>Learn more on Bing</v>
  </rv>
  <rv s="9">
    <v>en-US</v>
    <v>bjoj8m</v>
    <v>268435456</v>
    <v>1</v>
    <v>Powered by Refinitiv</v>
    <v>26</v>
    <v>OPERA LIMITED (XNAS:OPRA)</v>
    <v>2</v>
    <v>27</v>
    <v>Finance</v>
    <v>4</v>
    <v>7.57</v>
    <v>3.92</v>
    <v>1.0388999999999999</v>
    <v>0.09</v>
    <v>-4.9928999999999994E-2</v>
    <v>1.3006E-2</v>
    <v>-0.35</v>
    <v>USD</v>
    <v>Opera Ltd is a Norway-based technology company that is engaged in the web browser development. The Company operates as provider of browser and integrated artificial intelligence (AI)-driven digital content discovery and recommendation platforms. The Company’s operations are comprised of search, advertising, technology licensing and other. The search revenue is generated when a user conducts a qualified search using an Opera search partner. The advertising revenue is comprised of industry-standard advertising units, predefined partner bookmarks, or speed dials, and subscriptions of various promoted services. Technology licensing and other revenues include revenues from device manufacturers and mobile communications operators. Licensing agreements include licensing of technology, related professional services, maintenance and support, as well as hosting services.</v>
    <v>630</v>
    <v>Nasdaq Stock Market</v>
    <v>XNAS</v>
    <v>XNAS</v>
    <v>Gjerdrums Vei 19, OSLO, OSLO, 0484 NO</v>
    <v>7.1599000000000004</v>
    <v>Software &amp; IT Services</v>
    <v>Stock</v>
    <v>44946.896622349217</v>
    <v>60</v>
    <v>6.88</v>
    <v>793660100</v>
    <v>OPERA LIMITED</v>
    <v>OPERA LIMITED</v>
    <v>6.91</v>
    <v>7.6675000000000004</v>
    <v>6.92</v>
    <v>7.01</v>
    <v>6.66</v>
    <v>113218300</v>
    <v>OPRA</v>
    <v>OPERA LIMITED (XNAS:OPRA)</v>
    <v>85546</v>
    <v>62515</v>
  </rv>
  <rv s="2">
    <v>61</v>
  </rv>
  <rv s="0">
    <v>https://www.bing.com/financeapi/forcetrigger?t=a1qclh&amp;q=XNAS%3aCROX&amp;form=skydnc</v>
    <v>Learn more on Bing</v>
  </rv>
  <rv s="1">
    <v>en-US</v>
    <v>a1qclh</v>
    <v>268435456</v>
    <v>1</v>
    <v>Powered by Refinitiv</v>
    <v>0</v>
    <v>CROCS, INC. (XNAS:CROX)</v>
    <v>2</v>
    <v>3</v>
    <v>Finance</v>
    <v>4</v>
    <v>131.1799</v>
    <v>46.08</v>
    <v>1.9228000000000001</v>
    <v>0.97</v>
    <v>-2.042E-3</v>
    <v>7.9880000000000003E-3</v>
    <v>-0.25</v>
    <v>USD</v>
    <v>Crocs, Inc. is engaged in the design, development, marketing, distribution, and sale of casual lifestyle footwear and accessories for women, men and children. The Company operates through three segments: the Americas, operating in North and South America; the Asia Pacific, operating throughout Asia, Australia, and New Zealand; and Europe, Middle East, and Africa (EMEA), operating throughout Europe, Russia, the Middle East, and Africa. Its collection contains Croslite material, which is the Company's closed-cell resin brand that uses molded footwear technology. The Company markets its products in approximately 85 countries through two distribution channels: wholesale and direct-to-consumer. Its wholesale channel includes domestic and international multi-brand retailers, mono-branded partner stores, e-tailers, and distributors. The Company's direct-to-consumer channel includes retail stores, e-commerce sites, and third-party marketplaces. Its products include Crocs, LiteRide and Jibbitz.</v>
    <v>5770</v>
    <v>Nasdaq Stock Market</v>
    <v>XNAS</v>
    <v>XNAS</v>
    <v>13601 Via Varra, BROOMFIELD, CO, 80020 US</v>
    <v>124.6296</v>
    <v>Textiles &amp; Apparel</v>
    <v>Stock</v>
    <v>44947.034389258595</v>
    <v>63</v>
    <v>121.24</v>
    <v>7557580000</v>
    <v>CROCS, INC.</v>
    <v>CROCS, INC.</v>
    <v>122.94</v>
    <v>13.3964</v>
    <v>121.43</v>
    <v>122.4</v>
    <v>122.15</v>
    <v>61744930</v>
    <v>CROX</v>
    <v>CROCS, INC. (XNAS:CROX)</v>
    <v>1403767</v>
    <v>1400134</v>
    <v>2005</v>
  </rv>
  <rv s="2">
    <v>64</v>
  </rv>
  <rv s="0">
    <v>https://www.bing.com/financeapi/forcetrigger?t=a1nvk2&amp;q=XNYS%3aATHM&amp;form=skydnc</v>
    <v>Learn more on Bing</v>
  </rv>
  <rv s="1">
    <v>en-US</v>
    <v>a1nvk2</v>
    <v>268435456</v>
    <v>1</v>
    <v>Powered by Refinitiv</v>
    <v>0</v>
    <v>AUTOHOME INC. (XNYS:ATHM)</v>
    <v>2</v>
    <v>3</v>
    <v>Finance</v>
    <v>4</v>
    <v>40.89</v>
    <v>20.49</v>
    <v>0.1353</v>
    <v>1.04</v>
    <v>0</v>
    <v>2.8469999999999999E-2</v>
    <v>0</v>
    <v>USD</v>
    <v>Autohome Inc is a holding company mainly provides online destination for automobile consumers. It is engaged in the provision of online advertising and dealer subscription services. It, through its Websites, autohome.com.cn and che168.com, delivers content to automobile buyers and owners. Media services provide with marketing solutions in connection with brand promotion, new model release and sales promotion. Leads generation services enable dealer subscribers to create their own online stores, list pricing and promotional information, provide dealer contact information, place advertisements and manage customer relationships. Online marketplace and others focus on providing facilitation services and other platform-based services for new and used car transactions. It also provides services to its cooperative financial institutions that involve facilitating the sale of their loans and insurance products. The Company mainly conducts its businesses in the China market.</v>
    <v>5518</v>
    <v>New York Stock Exchange</v>
    <v>XNYS</v>
    <v>XNYS</v>
    <v>18th Floor Tower B, CEC Plaza, 3 Dan Ling Street, Haidian District, BEIJING, BEIJING, 100080 CN</v>
    <v>38.909999999999997</v>
    <v>Media &amp; Publishing</v>
    <v>Stock</v>
    <v>44946.905523923437</v>
    <v>66</v>
    <v>37.01</v>
    <v>4700348000</v>
    <v>AUTOHOME INC.</v>
    <v>AUTOHOME INC.</v>
    <v>37.6</v>
    <v>21.947299999999998</v>
    <v>36.53</v>
    <v>37.57</v>
    <v>37.57</v>
    <v>127346900</v>
    <v>ATHM</v>
    <v>AUTOHOME INC. (XNYS:ATHM)</v>
    <v>906910</v>
    <v>690982</v>
    <v>2008</v>
  </rv>
  <rv s="2">
    <v>67</v>
  </rv>
  <rv s="0">
    <v>https://www.bing.com/financeapi/forcetrigger?t=aqbzjc&amp;q=XWAR%3aDNP&amp;form=skydnc</v>
    <v>Learn more on Bing</v>
  </rv>
  <rv s="3">
    <v>en-US</v>
    <v>aqbzjc</v>
    <v>268435456</v>
    <v>1</v>
    <v>Powered by Refinitiv</v>
    <v>5</v>
    <v>DINO POLSKA S.A. (XWAR:DNP)</v>
    <v>2</v>
    <v>28</v>
    <v>Finance</v>
    <v>29</v>
    <v>390.3</v>
    <v>240</v>
    <v>0.66169999999999995</v>
    <v>9.1999999999999993</v>
    <v>2.5937000000000002E-2</v>
    <v>PLN</v>
    <v>Dino Polska SA is a Poland-based company primarily engaged in the food retail. The Company focuses on operating a supermarkets chain under the Dino brand name. Its offer includes dairy and bakery products, chocolate and non-chocolate confectionary, fruits and vegetables, alcoholic and non-alcoholic beverages, as well as pet food, among others. In addition, the Company provides meat stalls under the Agro-Rydzyna brand name, as well as sells non-food goods, such as cosmetics, household products, kitchen appliances and toys. It also offers mobile phone recharge, cash back service and vouchers. The Company's supermarkets are located in a number of Polish voivodeships, including wielkopolskie, dolnoslaskie, lodzkie, mazowieckie and pomorskie, among others.</v>
    <v>35652</v>
    <v>Warsaw Stock Exchange</v>
    <v>XWAR</v>
    <v>XWAR</v>
    <v>ul. Ostrowska 122, KROTOSZYN, WOJ. WIELKOPOLSKIE, 63-700 PL</v>
    <v>364</v>
    <v>Food &amp; Drug Retailing</v>
    <v>Stock</v>
    <v>44946.670129003905</v>
    <v>69</v>
    <v>351.9</v>
    <v>35676760000</v>
    <v>DINO POLSKA S.A.</v>
    <v>DINO POLSKA S.A.</v>
    <v>356.9</v>
    <v>34.135100000000001</v>
    <v>354.7</v>
    <v>363.9</v>
    <v>98040000</v>
    <v>DNP</v>
    <v>DINO POLSKA S.A. (XWAR:DNP)</v>
    <v>152569</v>
    <v>146140</v>
    <v>2012</v>
  </rv>
  <rv s="2">
    <v>70</v>
  </rv>
  <rv s="0">
    <v>https://www.bing.com/financeapi/forcetrigger?t=a32har&amp;q=XNAS%3aXPEL&amp;form=skydnc</v>
    <v>Learn more on Bing</v>
  </rv>
  <rv s="1">
    <v>en-US</v>
    <v>a32har</v>
    <v>268435456</v>
    <v>1</v>
    <v>Powered by Refinitiv</v>
    <v>0</v>
    <v>XPEL, INC. (XNAS:XPEL)</v>
    <v>2</v>
    <v>3</v>
    <v>Finance</v>
    <v>4</v>
    <v>87.01</v>
    <v>39.799999999999997</v>
    <v>1.5704</v>
    <v>1.39</v>
    <v>-9.077E-3</v>
    <v>1.9795E-2</v>
    <v>-0.65</v>
    <v>USD</v>
    <v>Xpel Inc. manufactures, sells and installs after-market automotive products, including automotive surface and paint protection, headlight protection, and automotive window films. The Company’s products include architectural window film (both commercial and residential) and security film protection for commercial and residential uses, and also provides automotive ceramic coatings products. Its products also include ULTIMATE PLUS paint protection film (PPF), ULTIMATE PLUS BLACK PPF, ULTIMATE PLUS, STEALTH satin PPF, TRACWRAP temporary protection film, ARMOR protective film, RX 8 gloss protective film, RX 8 matte protective film, RX 10 gloss protective film, RX 10 matte protective film and PRIME automotive window. The Company also offers car care services, including anti-static glass cleaner, ceramic boost, detail spray, interior cleaner, iron remover, paint protection film (PPF) cleaner, PPF sealant, rinse-free car wash, water spot remover, cleaning &amp; detailing, towels &amp; microfibers.</v>
    <v>709</v>
    <v>Nasdaq Stock Market</v>
    <v>XNAS</v>
    <v>XNAS</v>
    <v>3251 I-35, SAN ANTONIO, TX, 78219 US</v>
    <v>72.59</v>
    <v>Automobiles &amp; Auto Parts</v>
    <v>Stock</v>
    <v>44946.880937661721</v>
    <v>72</v>
    <v>69.594999999999999</v>
    <v>1977586000</v>
    <v>XPEL, INC.</v>
    <v>XPEL, INC.</v>
    <v>71.08</v>
    <v>49.433300000000003</v>
    <v>70.22</v>
    <v>71.61</v>
    <v>70.959999999999994</v>
    <v>27616060</v>
    <v>XPEL</v>
    <v>XPEL, INC. (XNAS:XPEL)</v>
    <v>152019</v>
    <v>120698</v>
    <v>2003</v>
  </rv>
  <rv s="2">
    <v>73</v>
  </rv>
  <rv s="0">
    <v>https://www.bing.com/financeapi/forcetrigger?t=ah387w&amp;q=XHKG%3a1830&amp;form=skydnc</v>
    <v>Learn more on Bing</v>
  </rv>
  <rv s="1">
    <v>en-US</v>
    <v>ah387w</v>
    <v>268435456</v>
    <v>1</v>
    <v>Powered by Refinitiv</v>
    <v>0</v>
    <v>PERFECT MEDICAL HEALTH MANAGEMENT LIMITED (XHKG:1830)</v>
    <v>2</v>
    <v>13</v>
    <v>Finance</v>
    <v>9</v>
    <v>5.5</v>
    <v>2.7</v>
    <v>1.2545999999999999</v>
    <v>0.14000000000000001</v>
    <v>0</v>
    <v>3.1962999999999998E-2</v>
    <v>0</v>
    <v>HKD</v>
    <v>Perfect Medical Health Management Ltd is an investment holding company mainly engaged in the provision of medical health and medical beauty services. The Company is engaged in the provision of medical aesthetic services such as personalized medical aesthetic solutions for men and women. The Company is also engaged in the provision of medical and health services such as hair growth service, pain management service and preventive care service. In addition, the Company is also engaged in the provision of reproductive medical services such as infertility, artificial insemination, egg freezing services, prenatal diagnosis services, obstetrics and gynecology medical services and women's cancer and health management services. The Company mainly operates its business in Hong Kong, Macau, Mainland China, Australia and Singapore.</v>
    <v>1357</v>
    <v>Hong Kong Stock Exchange</v>
    <v>XHKG</v>
    <v>XHKG</v>
    <v>51st Floor, Langham Place Office Tower, 8 Argyle Street, Mong Kok, Kowloon HK</v>
    <v>4.57</v>
    <v>Personal &amp; Household Products &amp; Services</v>
    <v>Stock</v>
    <v>44946.339780092596</v>
    <v>75</v>
    <v>4.37</v>
    <v>5679546000</v>
    <v>PERFECT MEDICAL HEALTH MANAGEMENT LIMITED</v>
    <v>PERFECT MEDICAL HEALTH MANAGEMENT LIMITED</v>
    <v>4.42</v>
    <v>23.4</v>
    <v>4.38</v>
    <v>4.5199999999999996</v>
    <v>4.5199999999999996</v>
    <v>1256537000</v>
    <v>1830</v>
    <v>PERFECT MEDICAL HEALTH MANAGEMENT LIMITED (XHKG:1830)</v>
    <v>851000</v>
    <v>935740</v>
    <v>2011</v>
  </rv>
  <rv s="2">
    <v>76</v>
  </rv>
  <rv s="0">
    <v>https://www.bing.com/financeapi/forcetrigger?t=a23d9c&amp;q=XNYS%3aSPGI&amp;form=skydnc</v>
    <v>Learn more on Bing</v>
  </rv>
  <rv s="1">
    <v>en-US</v>
    <v>a23d9c</v>
    <v>268435456</v>
    <v>1</v>
    <v>Powered by Refinitiv</v>
    <v>0</v>
    <v>S&amp;P Global Inc. (XNYS:SPGI)</v>
    <v>2</v>
    <v>3</v>
    <v>Finance</v>
    <v>4</v>
    <v>423.54500000000002</v>
    <v>279.32</v>
    <v>1.0680000000000001</v>
    <v>6.92</v>
    <v>-1.467E-3</v>
    <v>1.9161999999999998E-2</v>
    <v>-0.54</v>
    <v>USD</v>
    <v>S&amp;P Global Inc. is a provider of credit ratings, benchmarks, analytics and workflow solutions in the global capital, commodity and automotive markets. The Company comprises six operating divisions: S&amp;P Global Market Intelligence (Market Intelligence), S&amp;P Global Ratings (Ratings), S&amp;P Global Commodity Insights (Commodity Insights), S&amp;P Global Mobility (Mobility), S&amp;P Dow Jones Indices (Indices), and S&amp;P Global Engineering Solutions (Engineering Solutions). Its Ratings provides credit ratings, research and analytics to investors and other market participants. Its Market Intelligence consists of three business line: desktop, data management solutions and credit risk solutions. Its Indices is an index provider that maintains a range of indices to meet various investor needs. Its Mobility provides insights, forecasts and advisory services to automotive value chain. Its Commodity Insights is an independent provider of information and benchmark prices for the commodity and energy markets.</v>
    <v>22850</v>
    <v>New York Stock Exchange</v>
    <v>XNYS</v>
    <v>XNYS</v>
    <v>55 Water St, NEW YORK, NY, 10041-0004 US</v>
    <v>368.38</v>
    <v>Professional &amp; Commercial Services</v>
    <v>Stock</v>
    <v>44947.000000022657</v>
    <v>78</v>
    <v>361.24</v>
    <v>119910700000</v>
    <v>S&amp;P Global Inc.</v>
    <v>S&amp;P Global Inc.</v>
    <v>361.24</v>
    <v>30.194800000000001</v>
    <v>361.13</v>
    <v>368.05</v>
    <v>367.51</v>
    <v>325800000</v>
    <v>SPGI</v>
    <v>S&amp;P Global Inc. (XNYS:SPGI)</v>
    <v>3077427</v>
    <v>1463914</v>
    <v>1925</v>
  </rv>
  <rv s="2">
    <v>79</v>
  </rv>
  <rv s="0">
    <v>https://www.bing.com/financeapi/forcetrigger?t=a1sz9c&amp;q=XNAS%3aFLEX&amp;form=skydnc</v>
    <v>Learn more on Bing</v>
  </rv>
  <rv s="9">
    <v>en-US</v>
    <v>a1sz9c</v>
    <v>268435456</v>
    <v>1</v>
    <v>Powered by Refinitiv</v>
    <v>26</v>
    <v>FLEX LTD. (XNAS:FLEX)</v>
    <v>2</v>
    <v>27</v>
    <v>Finance</v>
    <v>4</v>
    <v>25.12</v>
    <v>13.63</v>
    <v>1.4831000000000001</v>
    <v>0.62</v>
    <v>-1.65E-3</v>
    <v>2.6248999999999998E-2</v>
    <v>-0.04</v>
    <v>USD</v>
    <v>Flex Ltd. is a Singapore-based company that provides manufacturing solutions and operates global supply chains. The Company's segments include Flex Agility Solutions (FAS), Flex Reliability Solutions (FRS) and Nextracker. The FAS segment consists of end markets, such as Communications, Enterprise and Cloud (CEC), including data infrastructure, edge infrastructure and communications infrastructure; Lifestyle, including appliances, consumer packaging, floorcare, micro mobility and audio; and Consumer Devices, including mobile and high velocity consumer devices. The FRS segment consists of end markets, such as Automotive, including mobility, autonomous, connectivity, electrification, and smart technologies; Health Solutions, including medical devices, medical equipment, and drug delivery; and Industrial, including capital equipment, industrial devices, and renewables and grid edge. The Nextracker segment provides intelligent, integrated solar tracker and software solutions.</v>
    <v>172648</v>
    <v>Nasdaq Stock Market</v>
    <v>XNAS</v>
    <v>XNAS</v>
    <v>2 Changi South Lane, 486123 SG</v>
    <v>24.32</v>
    <v>Electronic Equipment &amp; Parts</v>
    <v>Stock</v>
    <v>44947.026864837499</v>
    <v>81</v>
    <v>23.66</v>
    <v>10975480000</v>
    <v>FLEX LTD.</v>
    <v>FLEX LTD.</v>
    <v>24.13</v>
    <v>13.5618</v>
    <v>23.62</v>
    <v>24.24</v>
    <v>24.2</v>
    <v>452784000</v>
    <v>FLEX</v>
    <v>FLEX LTD. (XNAS:FLEX)</v>
    <v>3757022</v>
    <v>4589174</v>
  </rv>
  <rv s="2">
    <v>82</v>
  </rv>
  <rv s="0">
    <v>https://www.bing.com/financeapi/forcetrigger?t=a1y2bh&amp;q=XNAS%3aMTCH&amp;form=skydnc</v>
    <v>Learn more on Bing</v>
  </rv>
  <rv s="1">
    <v>en-US</v>
    <v>a1y2bh</v>
    <v>268435456</v>
    <v>1</v>
    <v>Powered by Refinitiv</v>
    <v>0</v>
    <v>MATCH GROUP, INC. (XNAS:MTCH)</v>
    <v>2</v>
    <v>3</v>
    <v>Finance</v>
    <v>4</v>
    <v>121.49</v>
    <v>38.64</v>
    <v>0.90090000000000003</v>
    <v>2.58</v>
    <v>-2.9749999999999998E-3</v>
    <v>5.3929999999999999E-2</v>
    <v>-0.15</v>
    <v>USD</v>
    <v>Match Group, Inc. provider of dating products through its portfolio companies which are available globally. The Company’s portfolio of brands includes Tinder, Match, Hinge, Meetic, OkCupid, Pairs, PlentyOfFish, OurTime, Azar and Hakuna Live, and other brands which are designed for users' to find a connection. The Company’s Tinder premium features include Tinder Gold, Tinder Platinum, Super Likes, Tinder Explore and the Swipe Night interactive series. Pairs is a dating platform is designed to address social barriers generally associated with the use of dating services in Eastern Asian countries, particularly Japan. Hakuna Live is an interactive, social app that allows for one-to-many live streaming experiences. OurTime is the community of singles over age 50 of any dating service. It offers this service in the United States, Canada, and various European markets. The Company’s products are available in over 40 languages to users all over the world.</v>
    <v>2500</v>
    <v>Nasdaq Stock Market</v>
    <v>XNAS</v>
    <v>XNAS</v>
    <v>8750 NORTH CENTRAL EXPRESSWAY, SUITE 1400, DALLAS, TX, 75231 US</v>
    <v>50.9</v>
    <v>Software &amp; IT Services</v>
    <v>Stock</v>
    <v>44947.041611168752</v>
    <v>84</v>
    <v>48.17</v>
    <v>14082610000</v>
    <v>MATCH GROUP, INC.</v>
    <v>MATCH GROUP, INC.</v>
    <v>48.51</v>
    <v>126.51730000000001</v>
    <v>47.84</v>
    <v>50.42</v>
    <v>50.27</v>
    <v>279306100</v>
    <v>MTCH</v>
    <v>MATCH GROUP, INC. (XNAS:MTCH)</v>
    <v>4021770</v>
    <v>4625766</v>
    <v>1986</v>
  </rv>
  <rv s="2">
    <v>85</v>
  </rv>
  <rv s="0">
    <v>https://www.bing.com/financeapi/forcetrigger?t=a2iear&amp;q=OTCM%3aGMWKF&amp;form=skydnc</v>
    <v>Learn more on Bing</v>
  </rv>
  <rv s="3">
    <v>en-US</v>
    <v>a2iear</v>
    <v>268435456</v>
    <v>1</v>
    <v>Powered by Refinitiv</v>
    <v>5</v>
    <v>GAMES WORKSHOP GROUP PLC (OTCM:GMWKF)</v>
    <v>2</v>
    <v>30</v>
    <v>Finance</v>
    <v>7</v>
    <v>115</v>
    <v>63.71</v>
    <v>1.4490000000000001</v>
    <v>-2.9249999999999998</v>
    <v>-2.5434999999999999E-2</v>
    <v>USD</v>
    <v>Games Workshop Group PLC designs and manufactures miniature figures and games and distributes these through its own network of retail stores, independent retailers and online via the global Web stores. The Company has manufacturing activities in the United Kingdom and sells mainly in the United Kingdom, Continental Europe, North America, Australia, New Zealand and Asia. It also grants licenses to third parties for the development of video games and other products utilizing its intellectual property. It operates through two segments: Core and Licensing. Its Core segment is engaged in the design, manufacture and sales of its fantasy miniatures and related products. Its Core segment has been divided into channels, such as Trade; Retail; Online; Design, manufacturing, logistics and operations, and Group. Its Licensing segment includes licenses granted to external partners, including the development of digital content for animation and TV. It operates over 518 retail stores in 23 countries.</v>
    <v>941</v>
    <v>OTC Markets</v>
    <v>OTCM</v>
    <v>OTCM</v>
    <v>Willow Road, NOTTINGHAM, NOTTINGHAMSHIRE, NG7 2WS GB</v>
    <v>112.075</v>
    <v>Leisure Products</v>
    <v>Stock</v>
    <v>44946.738424015624</v>
    <v>87</v>
    <v>112.075</v>
    <v>3011208000</v>
    <v>GAMES WORKSHOP GROUP PLC</v>
    <v>GAMES WORKSHOP GROUP PLC</v>
    <v>112.075</v>
    <v>25.252800000000001</v>
    <v>115</v>
    <v>112.075</v>
    <v>32909380</v>
    <v>GMWKF</v>
    <v>GAMES WORKSHOP GROUP PLC (OTCM:GMWKF)</v>
    <v>112</v>
    <v>85020</v>
    <v>1991</v>
  </rv>
  <rv s="2">
    <v>88</v>
  </rv>
  <rv s="0">
    <v>https://www.bing.com/financeapi/forcetrigger?t=brxwh7&amp;q=XASX%3aMAD&amp;form=skydnc</v>
    <v>Learn more on Bing</v>
  </rv>
  <rv s="3">
    <v>en-US</v>
    <v>brxwh7</v>
    <v>268435456</v>
    <v>1</v>
    <v>Powered by Refinitiv</v>
    <v>5</v>
    <v>MADER GROUP LIMITED (XASX:MAD)</v>
    <v>2</v>
    <v>31</v>
    <v>Finance</v>
    <v>32</v>
    <v>3.98</v>
    <v>1.71</v>
    <v>0.998</v>
    <v>0.21</v>
    <v>5.5702999999999996E-2</v>
    <v>AUD</v>
    <v>Mader Group Limited is a provider of specialist heavy equipment maintenance services. The Company’s segments include Australia, North America and Rest of World. The Company’s services include rail services, digger support team, drill support team, fabrication and line boring, processing infrastructure, non-processing infrastructure, power generation &amp; marine, field support, professional support roles, maintenance projects, electrical services, component exchange, rapid response teams, rostered support, HME shutdown teams, specialized tool hire, mader clean team, trade upgrade program, training national workforces and workshop offsite repairs. The Company provides solutions for rail construction, maintenance, and repairs from general track maintenance to electrical systems and signaling. It offers skilled technicians to perform inspections, repair, and overhaul services on all types of rail vehicles including locomotives, diesel motor units, control and blind trailer cars.</v>
    <v>2200</v>
    <v>Australian Securities Exchange</v>
    <v>XASX</v>
    <v>XASX</v>
    <v>Hkew Alpha Bldg, U A1 2 George Wiencke Dr, Perth, WESTERN AUSTRALIA, 6105 AU</v>
    <v>3.98</v>
    <v>Professional &amp; Commercial Services</v>
    <v>Stock</v>
    <v>44946.333333333336</v>
    <v>90</v>
    <v>3.77</v>
    <v>796000000</v>
    <v>MADER GROUP LIMITED</v>
    <v>MADER GROUP LIMITED</v>
    <v>3.77</v>
    <v>28.49</v>
    <v>3.77</v>
    <v>3.98</v>
    <v>200000000</v>
    <v>MAD</v>
    <v>MADER GROUP LIMITED (XASX:MAD)</v>
    <v>119097</v>
    <v>55050</v>
    <v>2012</v>
  </rv>
  <rv s="2">
    <v>91</v>
  </rv>
  <rv s="0">
    <v>https://www.bing.com/financeapi/forcetrigger?t=bxkq27&amp;q=XLON%3aDOCS&amp;form=skydnc</v>
    <v>Learn more on Bing</v>
  </rv>
  <rv s="3">
    <v>en-US</v>
    <v>bxkq27</v>
    <v>268435456</v>
    <v>1</v>
    <v>Powered by Refinitiv</v>
    <v>5</v>
    <v>DR. MARTENS PLC (XLON:DOCS)</v>
    <v>2</v>
    <v>33</v>
    <v>Finance</v>
    <v>16</v>
    <v>343.2</v>
    <v>135.4</v>
    <v>0.92400000000000004</v>
    <v>-5.3</v>
    <v>-3.6576999999999998E-2</v>
    <v>GBp</v>
    <v>Dr. Martens plc is a United Kingdom-based company that designs, develops, procures, markets, sells and distributes footwear, under the Dr. Martens brand. The Company operates through three reporting segments: Europe, the Middle East and Africa (EMEA); Americas; and Americas and Asia-Pacific (APAC). Its product categories include Originals, Fusion, Kids, Casual and Accessories. The Originals category comprises boots, shoes and loafers and also included within the Originals category is the Made in England range. The Fusion category comprises platform boots and shoes, sandals, heels, and refined take downs of the Originals. Within the Kids category is the mini-me range, which includes Originals, Fusion, and Casual collections. It offers various accessories, such as shoe care, laces and socks, leather bags and small leather items. The Company operates in over 60 countries globally, through a range of modes: directly operated stores and ecommerce sites, wholesale partners and distributors.</v>
    <v>2229</v>
    <v>London Stock Exchange</v>
    <v>XLON</v>
    <v>XLON</v>
    <v>28 Jamestown Rd, Camden, LONDON, UNITED KINGDOM-NA, NW1 7BY GB</v>
    <v>145.1</v>
    <v>Textiles &amp; Apparel</v>
    <v>Stock</v>
    <v>44946.713118008593</v>
    <v>93</v>
    <v>135.5</v>
    <v>1397021000</v>
    <v>DR. MARTENS PLC</v>
    <v>DR. MARTENS PLC</v>
    <v>144</v>
    <v>8.1587999999999994</v>
    <v>144.9</v>
    <v>139.6</v>
    <v>1000731000</v>
    <v>DOCS</v>
    <v>DR. MARTENS PLC (XLON:DOCS)</v>
    <v>6730302</v>
    <v>3176780</v>
    <v>2020</v>
  </rv>
  <rv s="2">
    <v>94</v>
  </rv>
</rvData>
</file>

<file path=xl/richData/rdrichvaluestructure.xml><?xml version="1.0" encoding="utf-8"?>
<rvStructures xmlns="http://schemas.microsoft.com/office/spreadsheetml/2017/richdata" count="10">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8">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spbArrays>
  <spbData count="34">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0">
      <v>1</v>
      <v>Name</v>
      <v>LearnMoreOnLink</v>
    </spb>
    <spb s="5">
      <v>1</v>
      <v>2</v>
      <v>2</v>
      <v>1</v>
      <v>3</v>
      <v>1</v>
      <v>1</v>
      <v>1</v>
      <v>4</v>
      <v>4</v>
      <v>5</v>
      <v>6</v>
      <v>1</v>
      <v>1</v>
      <v>1</v>
      <v>4</v>
      <v>7</v>
      <v>8</v>
      <v>9</v>
      <v>4</v>
    </spb>
    <spb s="6">
      <v>Delayed 15 minutes</v>
      <v>from previous close</v>
      <v>from previous close</v>
      <v>GMT</v>
    </spb>
    <spb s="3">
      <v>1</v>
      <v>2</v>
      <v>2</v>
      <v>1</v>
      <v>3</v>
      <v>1</v>
      <v>1</v>
      <v>1</v>
      <v>4</v>
      <v>4</v>
      <v>5</v>
      <v>10</v>
      <v>1</v>
      <v>1</v>
      <v>1</v>
      <v>4</v>
      <v>7</v>
      <v>8</v>
      <v>9</v>
      <v>4</v>
      <v>1</v>
      <v>1</v>
      <v>5</v>
    </spb>
    <spb s="7">
      <v>at close</v>
      <v>from previous close</v>
      <v>from previous close</v>
      <v>GMT</v>
      <v>Delayed 15 minutes</v>
      <v>from close</v>
      <v>from close</v>
    </spb>
    <spb s="0">
      <v>2</v>
      <v>Name</v>
      <v>LearnMoreOnLink</v>
    </spb>
    <spb s="8">
      <v>11</v>
      <v>2</v>
      <v>2</v>
      <v>11</v>
      <v>3</v>
      <v>11</v>
      <v>11</v>
      <v>11</v>
      <v>4</v>
      <v>4</v>
      <v>5</v>
      <v>12</v>
      <v>11</v>
      <v>11</v>
      <v>11</v>
      <v>4</v>
      <v>7</v>
      <v>9</v>
      <v>4</v>
    </spb>
    <spb s="9">
      <v>Delayed 15 minutes</v>
      <v>from previous close</v>
      <v>from previous close</v>
      <v>Borsa Italia</v>
      <v>GMT</v>
    </spb>
    <spb s="3">
      <v>13</v>
      <v>2</v>
      <v>2</v>
      <v>13</v>
      <v>3</v>
      <v>13</v>
      <v>13</v>
      <v>13</v>
      <v>4</v>
      <v>4</v>
      <v>5</v>
      <v>14</v>
      <v>13</v>
      <v>13</v>
      <v>13</v>
      <v>4</v>
      <v>7</v>
      <v>8</v>
      <v>9</v>
      <v>4</v>
      <v>13</v>
      <v>13</v>
      <v>5</v>
    </spb>
    <spb s="0">
      <v>3</v>
      <v>Name</v>
      <v>LearnMoreOnLink</v>
    </spb>
    <spb s="10">
      <v>2</v>
      <v>2</v>
      <v>3</v>
      <v>15</v>
      <v>15</v>
      <v>15</v>
      <v>4</v>
      <v>4</v>
      <v>5</v>
      <v>16</v>
      <v>15</v>
      <v>15</v>
      <v>15</v>
      <v>4</v>
      <v>7</v>
      <v>8</v>
      <v>9</v>
      <v>4</v>
    </spb>
    <spb s="9">
      <v>Delayed 15 minutes</v>
      <v>from previous close</v>
      <v>from previous close</v>
      <v>LSE</v>
      <v>GMT</v>
    </spb>
    <spb s="0">
      <v>4</v>
      <v>Name</v>
      <v>LearnMoreOnLink</v>
    </spb>
    <spb s="11">
      <v>1</v>
      <v>2</v>
      <v>1</v>
      <v>3</v>
      <v>1</v>
      <v>1</v>
      <v>1</v>
      <v>4</v>
      <v>4</v>
      <v>5</v>
      <v>6</v>
      <v>1</v>
      <v>1</v>
      <v>1</v>
      <v>4</v>
      <v>7</v>
      <v>8</v>
      <v>9</v>
      <v>4</v>
      <v>1</v>
      <v>1</v>
      <v>5</v>
    </spb>
    <spb s="0">
      <v>5</v>
      <v>Name</v>
      <v>LearnMoreOnLink</v>
    </spb>
    <spb s="12">
      <v>1</v>
      <v>2</v>
      <v>1</v>
      <v>3</v>
      <v>1</v>
      <v>1</v>
      <v>1</v>
      <v>4</v>
      <v>4</v>
      <v>5</v>
      <v>6</v>
      <v>1</v>
      <v>1</v>
      <v>1</v>
      <v>4</v>
      <v>7</v>
      <v>8</v>
      <v>9</v>
      <v>4</v>
      <v>1</v>
      <v>1</v>
      <v>5</v>
    </spb>
    <spb s="5">
      <v>1</v>
      <v>2</v>
      <v>2</v>
      <v>1</v>
      <v>3</v>
      <v>1</v>
      <v>1</v>
      <v>1</v>
      <v>4</v>
      <v>4</v>
      <v>5</v>
      <v>10</v>
      <v>1</v>
      <v>1</v>
      <v>1</v>
      <v>4</v>
      <v>7</v>
      <v>8</v>
      <v>9</v>
      <v>4</v>
    </spb>
    <spb s="0">
      <v>6</v>
      <v>Name</v>
      <v>LearnMoreOnLink</v>
    </spb>
    <spb s="13">
      <v>1</v>
      <v>2</v>
      <v>1</v>
      <v>3</v>
      <v>1</v>
      <v>1</v>
      <v>1</v>
      <v>4</v>
      <v>4</v>
      <v>5</v>
      <v>17</v>
      <v>1</v>
      <v>1</v>
      <v>1</v>
      <v>4</v>
      <v>7</v>
      <v>8</v>
      <v>9</v>
      <v>4</v>
    </spb>
    <spb s="4">
      <v>at close</v>
      <v>from previous close</v>
      <v>from previous close</v>
      <v>Source: Nasdaq Last Sale</v>
      <v>GMT</v>
      <v>Real-Time Nasdaq Last Sale</v>
      <v>from close</v>
      <v>from close</v>
    </spb>
    <spb s="3">
      <v>1</v>
      <v>2</v>
      <v>2</v>
      <v>1</v>
      <v>3</v>
      <v>1</v>
      <v>1</v>
      <v>1</v>
      <v>4</v>
      <v>4</v>
      <v>5</v>
      <v>18</v>
      <v>1</v>
      <v>1</v>
      <v>1</v>
      <v>4</v>
      <v>7</v>
      <v>8</v>
      <v>9</v>
      <v>4</v>
      <v>1</v>
      <v>1</v>
      <v>5</v>
    </spb>
    <spb s="0">
      <v>7</v>
      <v>Name</v>
      <v>LearnMoreOnLink</v>
    </spb>
    <spb s="14">
      <v>1</v>
      <v>2</v>
      <v>2</v>
      <v>1</v>
      <v>3</v>
      <v>1</v>
      <v>1</v>
      <v>1</v>
      <v>4</v>
      <v>4</v>
      <v>5</v>
      <v>6</v>
      <v>1</v>
      <v>1</v>
      <v>1</v>
      <v>4</v>
      <v>7</v>
      <v>9</v>
      <v>4</v>
      <v>1</v>
      <v>1</v>
      <v>5</v>
    </spb>
    <spb s="5">
      <v>19</v>
      <v>2</v>
      <v>2</v>
      <v>19</v>
      <v>3</v>
      <v>19</v>
      <v>19</v>
      <v>19</v>
      <v>4</v>
      <v>4</v>
      <v>5</v>
      <v>20</v>
      <v>19</v>
      <v>19</v>
      <v>19</v>
      <v>4</v>
      <v>7</v>
      <v>8</v>
      <v>9</v>
      <v>4</v>
    </spb>
    <spb s="6">
      <v>End of Day</v>
      <v>from previous close</v>
      <v>from previous close</v>
      <v>GMT</v>
    </spb>
    <spb s="5">
      <v>1</v>
      <v>2</v>
      <v>2</v>
      <v>1</v>
      <v>3</v>
      <v>1</v>
      <v>1</v>
      <v>1</v>
      <v>4</v>
      <v>4</v>
      <v>5</v>
      <v>16</v>
      <v>1</v>
      <v>1</v>
      <v>1</v>
      <v>4</v>
      <v>7</v>
      <v>8</v>
      <v>9</v>
      <v>4</v>
    </spb>
    <spb s="5">
      <v>21</v>
      <v>2</v>
      <v>2</v>
      <v>21</v>
      <v>3</v>
      <v>21</v>
      <v>21</v>
      <v>21</v>
      <v>4</v>
      <v>4</v>
      <v>5</v>
      <v>22</v>
      <v>21</v>
      <v>21</v>
      <v>21</v>
      <v>4</v>
      <v>7</v>
      <v>8</v>
      <v>9</v>
      <v>4</v>
    </spb>
    <spb s="6">
      <v>Delayed 20 minutes</v>
      <v>from previous close</v>
      <v>from previous close</v>
      <v>GMT</v>
    </spb>
    <spb s="5">
      <v>15</v>
      <v>2</v>
      <v>2</v>
      <v>15</v>
      <v>3</v>
      <v>15</v>
      <v>15</v>
      <v>15</v>
      <v>4</v>
      <v>4</v>
      <v>5</v>
      <v>16</v>
      <v>15</v>
      <v>15</v>
      <v>15</v>
      <v>4</v>
      <v>7</v>
      <v>8</v>
      <v>9</v>
      <v>4</v>
    </spb>
  </spbData>
</supportingPropertyBags>
</file>

<file path=xl/richData/rdsupportingpropertybagstructure.xml><?xml version="1.0" encoding="utf-8"?>
<spbStructures xmlns="http://schemas.microsoft.com/office/spreadsheetml/2017/richdata2" count="1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Price" t="s"/>
    <k n="Change" t="s"/>
    <k n="Change (%)" t="s"/>
    <k n="ExchangeID" t="s"/>
    <k n="Last trade time" t="s"/>
  </s>
  <s>
    <k n="P/E" t="i"/>
    <k n="Beta"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mm"/>
    </x:dxf>
    <x:dxf>
      <x:numFmt numFmtId="14" formatCode="0.00%"/>
    </x:dxf>
    <x:dxf>
      <x:numFmt numFmtId="3" formatCode="#,##0"/>
    </x:dxf>
    <x:dxf>
      <x:numFmt numFmtId="4" formatCode="#,##0.00"/>
    </x:dxf>
    <x:dxf>
      <x:numFmt numFmtId="1" formatCode="0"/>
    </x:dxf>
    <x:dxf>
      <x:numFmt numFmtId="35" formatCode="_-* #,##0.00_-;\-* #,##0.00_-;_-* &quot;-&quot;??_-;_-@_-"/>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dxfid="1">
      <rpv i="0">_-[$¥-ja-JP]* #,##0_-;-[$¥-ja-JP]* #,##0_-;_-[$¥-ja-JP]* "-"_-;_-@_-</rpv>
    </rSty>
    <rSty dxfid="1">
      <rpv i="0">_([$€-x-euro2] * #,##0.00_);_([$€-x-euro2] * (#,##0.00);_([$€-x-euro2] * "-"??_);_(@_)</rpv>
    </rSty>
    <rSty dxfid="1">
      <rpv i="0">_([$€-x-euro2] * #,##0_);_([$€-x-euro2] * (#,##0);_([$€-x-euro2] * "-"_);_(@_)</rpv>
    </rSty>
    <rSty dxfid="1">
      <rpv i="0">_-[$$-en-HK]* #,##0.00_-;-[$$-en-HK]* #,##0.00_-;_-[$$-en-HK]* "-"??_-;_-@_-</rpv>
    </rSty>
    <rSty dxfid="1">
      <rpv i="0">_-[$$-en-HK]* #,##0_-;-[$$-en-HK]* #,##0_-;_-[$$-en-HK]* "-"_-;_-@_-</rpv>
    </rSty>
    <rSty dxfid="7">
      <rpv i="0">_(* #,##0.00_);_(* (#,##0.00);_(* "-"??_);_(@_)</rpv>
    </rSty>
    <rSty dxfid="1">
      <rpv i="0">_-[$£-en-GB]* #,##0_-;-[$£-en-GB]* #,##0_-;_-[$£-en-GB]* "-"_-;_-@_-</rpv>
    </rSty>
    <rSty dxfid="1">
      <rpv i="0">_-* #,##0 [$kr-smj-SE]_-;-* #,##0 [$kr-smj-SE]_-;_-* "-" [$kr-smj-SE]_-;_-@_-</rpv>
    </rSty>
    <rSty dxfid="1">
      <rpv i="0">_-[$$-en-CA]* #,##0_-;-[$$-en-CA]* #,##0_-;_-[$$-en-CA]* "-"_-;_-@_-</rpv>
    </rSty>
    <rSty dxfid="1">
      <rpv i="0">_-* #,##0.00 [$zł-pl-PL]_-;-* #,##0.00 [$zł-pl-PL]_-;_-* "-"?? [$zł-pl-PL]_-;_-@_-</rpv>
    </rSty>
    <rSty dxfid="1">
      <rpv i="0">_-* #,##0 [$zł-pl-PL]_-;-* #,##0 [$zł-pl-PL]_-;_-* "-" [$zł-pl-PL]_-;_-@_-</rpv>
    </rSty>
    <rSty dxfid="1">
      <rpv i="0">_-[$$-en-AU]* #,##0.00_-;-[$$-en-AU]* #,##0.00_-;_-[$$-en-AU]* "-"??_-;_-@_-</rpv>
    </rSty>
    <rSty dxfid="1">
      <rpv i="0">_-[$$-en-AU]* #,##0_-;-[$$-en-AU]* #,##0_-;_-[$$-en-AU]*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33CFB4D-F199-4348-B07F-318ED2E8086B}" name="Tabla1" displayName="Tabla1" ref="A1:S34" totalsRowCount="1" headerRowDxfId="40" headerRowBorderDxfId="39" tableBorderDxfId="38">
  <autoFilter ref="A1:S33" xr:uid="{D33CFB4D-F199-4348-B07F-318ED2E8086B}"/>
  <tableColumns count="19">
    <tableColumn id="1" xr3:uid="{AD982FAD-8CBD-434C-B116-FA54BB443EA7}" name="Ticker" totalsRowLabel="Total" dataDxfId="37" totalsRowDxfId="36"/>
    <tableColumn id="2" xr3:uid="{13108310-4E80-4955-87D5-50ABFE9808A2}" name="Nombre" totalsRowFunction="count" dataDxfId="35" totalsRowDxfId="34"/>
    <tableColumn id="3" xr3:uid="{740DF2CF-2890-4346-8B3A-BFB6CD4B59AA}" name="Sector" dataDxfId="33" totalsRowDxfId="32"/>
    <tableColumn id="4" xr3:uid="{41539FCC-ECED-4C9A-9915-FAFD36FD0CC8}" name="IR" totalsRowFunction="custom" dataDxfId="31" totalsRowDxfId="30" dataCellStyle="Porcentaje" totalsRowCellStyle="Porcentaje">
      <totalsRowFormula>AVERAGE(Tabla1[IR])</totalsRowFormula>
    </tableColumn>
    <tableColumn id="5" xr3:uid="{0F48A4E9-12A0-4849-8E3D-DF2571E9AB8B}" name="Precio" dataDxfId="29" totalsRowDxfId="28"/>
    <tableColumn id="6" xr3:uid="{C9F1DB4D-800F-4CA2-BD21-15BCECD371B6}" name="Objetivo" dataDxfId="27" totalsRowDxfId="26"/>
    <tableColumn id="7" xr3:uid="{7EBD78EA-ED5D-4387-847F-8ECA8ECA92C0}" name="Valoración" totalsRowFunction="custom" dataDxfId="25" totalsRowDxfId="24">
      <calculatedColumnFormula>F2/E2</calculatedColumnFormula>
      <totalsRowFormula>MEDIAN(G2:G33)</totalsRowFormula>
    </tableColumn>
    <tableColumn id="19" xr3:uid="{15259FF9-9CB4-4AFE-8457-02B3DBE43287}" name="FCF Yield" totalsRowFunction="average" dataDxfId="23" totalsRowDxfId="22"/>
    <tableColumn id="8" xr3:uid="{0B4D075F-0F3B-4FB1-B921-344185EF4415}" name="Riesgo" dataDxfId="21" totalsRowDxfId="20"/>
    <tableColumn id="9" xr3:uid="{C49F1470-2779-468F-A64F-FC0565E035F5}" name="Moat" dataDxfId="19" totalsRowDxfId="18"/>
    <tableColumn id="17" xr3:uid="{94D5EF6D-7497-4194-A03E-7A862326A9AC}" name="M. Bruto" totalsRowFunction="average" dataDxfId="17" totalsRowDxfId="16"/>
    <tableColumn id="10" xr3:uid="{2A8AD1D3-EF6E-410F-A0CC-6BF0F0018451}" name="M. Neto" totalsRowFunction="average" dataDxfId="15" totalsRowDxfId="14"/>
    <tableColumn id="11" xr3:uid="{F6A86BAA-4D71-46F3-981F-B3F0E2949A83}" name="Δ Rev." totalsRowFunction="average" dataDxfId="13" totalsRowDxfId="12"/>
    <tableColumn id="18" xr3:uid="{85024266-0CA0-4075-B11B-2FFFA258AE95}" name="Δ FCF" totalsRowFunction="average" dataDxfId="11" totalsRowDxfId="10"/>
    <tableColumn id="12" xr3:uid="{9850475F-4858-420C-B9CE-D89A9ECD49FA}" name="Δ EPS" totalsRowFunction="average" dataDxfId="9" totalsRowDxfId="8"/>
    <tableColumn id="13" xr3:uid="{4C856960-446B-4F07-BE1B-9358422D151C}" name="CFROIC" totalsRowFunction="average" dataDxfId="7" totalsRowDxfId="6"/>
    <tableColumn id="14" xr3:uid="{774052FB-EC3A-4DF9-8F69-2FB1654E3240}" name="Deuda" dataDxfId="5" totalsRowDxfId="4"/>
    <tableColumn id="15" xr3:uid="{2B16D724-0F44-403B-A7FA-404D979CF702}" name="Directiva" dataDxfId="3" totalsRowDxfId="2"/>
    <tableColumn id="16" xr3:uid="{39A05311-6049-47AB-96D3-776646CA91DE}" name="Last Modified" totalsRowFunction="min" dataDxfId="1"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39"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34"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41"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37" Type="http://schemas.openxmlformats.org/officeDocument/2006/relationships/hyperlink" Target="https://app.tikr.com/account/subs?ref=q5ht48" TargetMode="External"/><Relationship Id="rId40"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36"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35"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38" Type="http://schemas.openxmlformats.org/officeDocument/2006/relationships/hyperlink" Target="https://app.tikr.com/account/subs?ref=q5ht48"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s>
</file>

<file path=xl/worksheets/_rels/sheet6.xml.rels><?xml version="1.0" encoding="UTF-8" standalone="yes"?>
<Relationships xmlns="http://schemas.openxmlformats.org/package/2006/relationships"><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26"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33"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29"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32"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28"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31"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 Id="rId27" Type="http://schemas.openxmlformats.org/officeDocument/2006/relationships/hyperlink" Target="https://app.tikr.com/account/subs?ref=q5ht48" TargetMode="External"/><Relationship Id="rId30" Type="http://schemas.openxmlformats.org/officeDocument/2006/relationships/hyperlink" Target="https://app.tikr.com/account/subs?ref=q5ht48" TargetMode="External"/><Relationship Id="rId8" Type="http://schemas.openxmlformats.org/officeDocument/2006/relationships/hyperlink" Target="https://app.tikr.com/account/subs?ref=q5ht48"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app.tikr.com/account/subs?ref=q5ht48" TargetMode="External"/><Relationship Id="rId13" Type="http://schemas.openxmlformats.org/officeDocument/2006/relationships/hyperlink" Target="https://app.tikr.com/account/subs?ref=q5ht48" TargetMode="External"/><Relationship Id="rId18" Type="http://schemas.openxmlformats.org/officeDocument/2006/relationships/hyperlink" Target="https://app.tikr.com/account/subs?ref=q5ht48" TargetMode="External"/><Relationship Id="rId3" Type="http://schemas.openxmlformats.org/officeDocument/2006/relationships/hyperlink" Target="https://app.tikr.com/account/subs?ref=q5ht48" TargetMode="External"/><Relationship Id="rId21" Type="http://schemas.openxmlformats.org/officeDocument/2006/relationships/hyperlink" Target="https://app.tikr.com/account/subs?ref=q5ht48" TargetMode="External"/><Relationship Id="rId7" Type="http://schemas.openxmlformats.org/officeDocument/2006/relationships/hyperlink" Target="https://app.tikr.com/account/subs?ref=q5ht48" TargetMode="External"/><Relationship Id="rId12" Type="http://schemas.openxmlformats.org/officeDocument/2006/relationships/hyperlink" Target="https://app.tikr.com/account/subs?ref=q5ht48" TargetMode="External"/><Relationship Id="rId17" Type="http://schemas.openxmlformats.org/officeDocument/2006/relationships/hyperlink" Target="https://app.tikr.com/account/subs?ref=q5ht48" TargetMode="External"/><Relationship Id="rId25" Type="http://schemas.openxmlformats.org/officeDocument/2006/relationships/hyperlink" Target="https://app.tikr.com/account/subs?ref=q5ht48" TargetMode="External"/><Relationship Id="rId2" Type="http://schemas.openxmlformats.org/officeDocument/2006/relationships/hyperlink" Target="https://app.tikr.com/account/subs?ref=q5ht48" TargetMode="External"/><Relationship Id="rId16" Type="http://schemas.openxmlformats.org/officeDocument/2006/relationships/hyperlink" Target="https://app.tikr.com/account/subs?ref=q5ht48" TargetMode="External"/><Relationship Id="rId20" Type="http://schemas.openxmlformats.org/officeDocument/2006/relationships/hyperlink" Target="https://app.tikr.com/account/subs?ref=q5ht48" TargetMode="External"/><Relationship Id="rId1" Type="http://schemas.openxmlformats.org/officeDocument/2006/relationships/hyperlink" Target="https://app.tikr.com/account/subs?ref=q5ht48" TargetMode="External"/><Relationship Id="rId6" Type="http://schemas.openxmlformats.org/officeDocument/2006/relationships/hyperlink" Target="https://app.tikr.com/account/subs?ref=q5ht48" TargetMode="External"/><Relationship Id="rId11" Type="http://schemas.openxmlformats.org/officeDocument/2006/relationships/hyperlink" Target="https://app.tikr.com/account/subs?ref=q5ht48" TargetMode="External"/><Relationship Id="rId24" Type="http://schemas.openxmlformats.org/officeDocument/2006/relationships/hyperlink" Target="https://app.tikr.com/account/subs?ref=q5ht48" TargetMode="External"/><Relationship Id="rId5" Type="http://schemas.openxmlformats.org/officeDocument/2006/relationships/hyperlink" Target="https://app.tikr.com/account/subs?ref=q5ht48" TargetMode="External"/><Relationship Id="rId15" Type="http://schemas.openxmlformats.org/officeDocument/2006/relationships/hyperlink" Target="https://app.tikr.com/account/subs?ref=q5ht48" TargetMode="External"/><Relationship Id="rId23" Type="http://schemas.openxmlformats.org/officeDocument/2006/relationships/hyperlink" Target="https://app.tikr.com/account/subs?ref=q5ht48" TargetMode="External"/><Relationship Id="rId10" Type="http://schemas.openxmlformats.org/officeDocument/2006/relationships/hyperlink" Target="https://app.tikr.com/account/subs?ref=q5ht48" TargetMode="External"/><Relationship Id="rId19" Type="http://schemas.openxmlformats.org/officeDocument/2006/relationships/hyperlink" Target="https://app.tikr.com/account/subs?ref=q5ht48" TargetMode="External"/><Relationship Id="rId4" Type="http://schemas.openxmlformats.org/officeDocument/2006/relationships/hyperlink" Target="https://app.tikr.com/account/subs?ref=q5ht48" TargetMode="External"/><Relationship Id="rId9" Type="http://schemas.openxmlformats.org/officeDocument/2006/relationships/hyperlink" Target="https://app.tikr.com/account/subs?ref=q5ht48" TargetMode="External"/><Relationship Id="rId14" Type="http://schemas.openxmlformats.org/officeDocument/2006/relationships/hyperlink" Target="https://app.tikr.com/account/subs?ref=q5ht48" TargetMode="External"/><Relationship Id="rId22" Type="http://schemas.openxmlformats.org/officeDocument/2006/relationships/hyperlink" Target="https://app.tikr.com/account/subs?ref=q5ht48"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D433F-DB5C-48B1-8714-FBF68AC1D68A}">
  <sheetPr codeName="Hoja1"/>
  <dimension ref="A1:AE117"/>
  <sheetViews>
    <sheetView tabSelected="1" topLeftCell="A86" zoomScaleNormal="100" workbookViewId="0">
      <selection activeCell="M103" sqref="M103"/>
    </sheetView>
  </sheetViews>
  <sheetFormatPr baseColWidth="10" defaultColWidth="9.140625" defaultRowHeight="15" x14ac:dyDescent="0.25"/>
  <cols>
    <col min="1" max="1" width="1.85546875" style="6" customWidth="1"/>
    <col min="2" max="2" width="2.7109375" style="11" customWidth="1"/>
    <col min="3" max="3" width="3.28515625" style="11" customWidth="1"/>
    <col min="4" max="4" width="35.7109375" style="11" bestFit="1" customWidth="1"/>
    <col min="5" max="8" width="10.7109375" style="11" customWidth="1"/>
    <col min="9" max="9" width="9" style="11" bestFit="1" customWidth="1"/>
    <col min="10" max="12" width="10.7109375" style="11" customWidth="1"/>
    <col min="13" max="13" width="13.28515625" style="11" bestFit="1" customWidth="1"/>
    <col min="14" max="14" width="20.28515625" style="11" bestFit="1" customWidth="1"/>
    <col min="15" max="15" width="3.5703125" style="11" customWidth="1"/>
    <col min="16" max="16" width="10.7109375" style="11" customWidth="1"/>
    <col min="17" max="17" width="3.28515625" style="11" customWidth="1"/>
    <col min="18" max="18" width="10.7109375" style="11" customWidth="1"/>
    <col min="19" max="19" width="11.42578125" style="11" bestFit="1" customWidth="1"/>
    <col min="20" max="21" width="10.7109375" style="11" customWidth="1"/>
    <col min="22" max="22" width="3.42578125" style="11" customWidth="1"/>
    <col min="23" max="29" width="9.140625" style="11"/>
    <col min="30" max="31" width="10.140625" style="11" bestFit="1" customWidth="1"/>
    <col min="32" max="16384" width="9.140625" style="11"/>
  </cols>
  <sheetData>
    <row r="1" spans="2:31" ht="18" customHeight="1" x14ac:dyDescent="0.25">
      <c r="B1" s="6" t="s">
        <v>0</v>
      </c>
      <c r="C1" s="6"/>
      <c r="E1" s="6"/>
      <c r="F1" s="6"/>
      <c r="G1" s="6"/>
      <c r="H1" s="234"/>
      <c r="I1" s="234"/>
      <c r="J1" s="234"/>
      <c r="K1" s="234"/>
      <c r="L1" s="6"/>
      <c r="M1" s="6"/>
      <c r="N1" s="6"/>
      <c r="O1" s="6"/>
      <c r="P1" s="6"/>
      <c r="Q1" s="6"/>
      <c r="R1" s="6"/>
      <c r="S1" s="234"/>
      <c r="T1" s="234"/>
      <c r="U1" s="6"/>
      <c r="V1" s="6"/>
      <c r="W1" s="6"/>
      <c r="X1" s="6"/>
      <c r="Y1" s="6"/>
      <c r="Z1" s="6"/>
      <c r="AA1" s="6"/>
      <c r="AB1" s="6"/>
      <c r="AC1" s="6"/>
    </row>
    <row r="2" spans="2:31" ht="37.5" customHeight="1" x14ac:dyDescent="0.25">
      <c r="B2" s="6"/>
      <c r="C2" s="45"/>
      <c r="D2" s="231" t="e" vm="1">
        <v>#VALUE!</v>
      </c>
      <c r="E2" s="231"/>
      <c r="F2" s="231"/>
      <c r="G2" s="232"/>
      <c r="H2" s="53" t="s">
        <v>39</v>
      </c>
      <c r="I2" s="99" cm="1">
        <f t="array" ref="I2">(_FV(D2,"Shares outstanding",TRUE)*J5)/1000000000</f>
        <v>14.985300000000001</v>
      </c>
      <c r="J2" s="52" t="s">
        <v>36</v>
      </c>
      <c r="K2" s="30" t="s">
        <v>34</v>
      </c>
      <c r="L2" s="224" t="str" cm="1">
        <f t="array" ref="L2">_FV(D2,"Industry")</f>
        <v>Software &amp; IT Services</v>
      </c>
      <c r="M2" s="224"/>
      <c r="N2" s="224"/>
      <c r="O2" s="225"/>
      <c r="P2" s="33"/>
      <c r="Q2" s="40"/>
      <c r="R2" s="238" t="s">
        <v>40</v>
      </c>
      <c r="S2" s="238"/>
      <c r="T2" s="41"/>
      <c r="U2" s="40"/>
      <c r="V2" s="42"/>
      <c r="W2" s="6"/>
      <c r="X2" s="6"/>
      <c r="Y2" s="6"/>
      <c r="Z2" s="6"/>
      <c r="AA2" s="6"/>
      <c r="AB2" s="6"/>
      <c r="AC2" s="6"/>
    </row>
    <row r="3" spans="2:31" ht="12.75" customHeight="1" x14ac:dyDescent="0.25">
      <c r="B3" s="6"/>
      <c r="C3" s="25"/>
      <c r="D3" s="46"/>
      <c r="E3" s="40"/>
      <c r="F3" s="40"/>
      <c r="G3" s="40"/>
      <c r="H3" s="39"/>
      <c r="I3" s="47"/>
      <c r="J3" s="6"/>
      <c r="K3" s="40"/>
      <c r="L3" s="6"/>
      <c r="M3" s="6"/>
      <c r="N3" s="6"/>
      <c r="O3" s="26"/>
      <c r="P3" s="33"/>
      <c r="Q3" s="6"/>
      <c r="R3" s="6"/>
      <c r="S3" s="38"/>
      <c r="T3" s="38"/>
      <c r="U3" s="6"/>
      <c r="V3" s="26"/>
      <c r="W3" s="6"/>
      <c r="X3" s="6"/>
      <c r="Y3" s="6"/>
      <c r="Z3" s="6"/>
      <c r="AA3" s="6"/>
      <c r="AB3" s="6"/>
      <c r="AC3" s="6"/>
    </row>
    <row r="4" spans="2:31" ht="14.25" customHeight="1" x14ac:dyDescent="0.25">
      <c r="B4" s="6"/>
      <c r="C4" s="25"/>
      <c r="D4" s="233" t="str" cm="1">
        <f t="array" ref="D4">_FV(D2,"Description")</f>
        <v>Cloudflare, Inc. is a global cloud services provider that delivers a range of services to businesses of all sizes and in all geographies. The Company's network serves as a scalable, unified control plane to deliver security, performance, and reliability across on-premise, hybrid, cloud, and software-as-a-service (SaaS) applications. The Company's integrated suite of products consists of solutions for an organization's external-facing infrastructure, such as Websites, applications, and application programming interfaces (APIs) to deliver security, performance, and reliability; solutions to serve an organization's internal resources, such as Internal networks and devices; developer-based solutions, and consumer offerings. Its security products include Cloud Firewall, Bot Management, Unmetered Mitigation, Cloudflare Orbit, SSL for SaaS, Dedicated &amp; Custom Certs and others. Its performance products include Content Delivery, Intelligent Routing, Content Optimization and others.</v>
      </c>
      <c r="E4" s="233"/>
      <c r="F4" s="233"/>
      <c r="G4" s="233"/>
      <c r="H4" s="38"/>
      <c r="I4" s="6"/>
      <c r="J4" s="6" t="s">
        <v>33</v>
      </c>
      <c r="K4" s="6"/>
      <c r="L4" s="6"/>
      <c r="M4" s="6"/>
      <c r="N4" s="6"/>
      <c r="O4" s="26"/>
      <c r="P4" s="33"/>
      <c r="Q4" s="6"/>
      <c r="R4" s="6" t="s">
        <v>45</v>
      </c>
      <c r="S4" s="58" t="s">
        <v>46</v>
      </c>
      <c r="T4" s="58" t="s">
        <v>47</v>
      </c>
      <c r="U4" s="58" t="s">
        <v>48</v>
      </c>
      <c r="V4" s="26"/>
      <c r="W4" s="6"/>
      <c r="X4" s="6"/>
      <c r="Y4" s="6"/>
      <c r="Z4" s="6"/>
      <c r="AA4" s="6"/>
      <c r="AB4" s="6"/>
      <c r="AC4" s="6"/>
      <c r="AD4" s="68">
        <f>T14</f>
        <v>776</v>
      </c>
      <c r="AE4" s="11">
        <v>0</v>
      </c>
    </row>
    <row r="5" spans="2:31" ht="37.5" customHeight="1" x14ac:dyDescent="0.25">
      <c r="B5" s="6"/>
      <c r="C5" s="25"/>
      <c r="D5" s="233"/>
      <c r="E5" s="233"/>
      <c r="F5" s="233"/>
      <c r="G5" s="233"/>
      <c r="H5" s="48"/>
      <c r="I5" s="38"/>
      <c r="J5" s="227" cm="1">
        <f t="array" ref="J5">_FV(D2,"Price")</f>
        <v>45.6</v>
      </c>
      <c r="K5" s="227"/>
      <c r="L5" s="227"/>
      <c r="M5" s="227"/>
      <c r="O5" s="26"/>
      <c r="P5" s="33"/>
      <c r="Q5" s="6"/>
      <c r="R5" s="264">
        <f ca="1">J5/N32</f>
        <v>-65.713295106014129</v>
      </c>
      <c r="S5" s="264">
        <f ca="1">J5/N33</f>
        <v>-323.41982060818196</v>
      </c>
      <c r="T5" s="264">
        <f ca="1">(R5)/(S32*100)</f>
        <v>47.832997777395853</v>
      </c>
      <c r="U5" s="59">
        <f ca="1">1/R5</f>
        <v>-1.5217620701970844E-2</v>
      </c>
      <c r="V5" s="26"/>
      <c r="W5" s="6"/>
      <c r="X5" s="6"/>
      <c r="Y5" s="6"/>
      <c r="Z5" s="6"/>
      <c r="AA5" s="6"/>
      <c r="AB5" s="6"/>
      <c r="AC5" s="6"/>
      <c r="AD5" s="11">
        <f>AD4+(AD4*$T$10)</f>
        <v>814.8</v>
      </c>
      <c r="AE5" s="11">
        <v>1</v>
      </c>
    </row>
    <row r="6" spans="2:31" ht="15" customHeight="1" x14ac:dyDescent="0.25">
      <c r="B6" s="6"/>
      <c r="C6" s="25"/>
      <c r="D6" s="233"/>
      <c r="E6" s="233"/>
      <c r="F6" s="233"/>
      <c r="G6" s="233"/>
      <c r="H6" s="48"/>
      <c r="I6" s="38"/>
      <c r="J6" s="6"/>
      <c r="K6" s="60" t="s">
        <v>35</v>
      </c>
      <c r="L6" s="50" cm="1">
        <f t="array" ref="L6">_FV(D2,"change")</f>
        <v>2.9</v>
      </c>
      <c r="M6" s="49" cm="1">
        <f t="array" ref="M6">_FV(D2,"Change (%)",TRUE)</f>
        <v>6.7916000000000004E-2</v>
      </c>
      <c r="N6" s="6"/>
      <c r="O6" s="26"/>
      <c r="P6" s="33"/>
      <c r="Q6" s="6"/>
      <c r="R6" s="58" t="s">
        <v>57</v>
      </c>
      <c r="S6" s="58" t="s">
        <v>56</v>
      </c>
      <c r="T6" s="58" t="s">
        <v>58</v>
      </c>
      <c r="U6" s="6" t="s">
        <v>59</v>
      </c>
      <c r="V6" s="26"/>
      <c r="W6" s="6"/>
      <c r="X6" s="6"/>
      <c r="Y6" s="6"/>
      <c r="Z6" s="6"/>
      <c r="AA6" s="6"/>
      <c r="AB6" s="6"/>
      <c r="AC6" s="6"/>
      <c r="AD6" s="11">
        <f>AD5+(AD5*$T$10)</f>
        <v>855.54</v>
      </c>
      <c r="AE6" s="11">
        <v>2</v>
      </c>
    </row>
    <row r="7" spans="2:31" ht="15" customHeight="1" x14ac:dyDescent="0.25">
      <c r="B7" s="6"/>
      <c r="C7" s="25"/>
      <c r="D7" s="233"/>
      <c r="E7" s="233"/>
      <c r="F7" s="233"/>
      <c r="G7" s="233"/>
      <c r="H7" s="48"/>
      <c r="I7" s="38"/>
      <c r="J7" s="6"/>
      <c r="K7" s="6"/>
      <c r="L7" s="6"/>
      <c r="M7" s="6"/>
      <c r="N7" s="6"/>
      <c r="O7" s="26"/>
      <c r="P7" s="33"/>
      <c r="Q7" s="6"/>
      <c r="R7" s="237">
        <f ca="1">(K17*1000)/N38/N32</f>
        <v>-66.304929546161716</v>
      </c>
      <c r="S7" s="237">
        <f ca="1">(K17*1000)/N26</f>
        <v>-326.33165609275869</v>
      </c>
      <c r="T7" s="237">
        <f ca="1">S7/(S33*100)</f>
        <v>8.8374082754215646</v>
      </c>
      <c r="U7" s="228">
        <f ca="1">1/S7</f>
        <v>-3.0643671287463245E-3</v>
      </c>
      <c r="V7" s="26"/>
      <c r="W7" s="6"/>
      <c r="X7" s="6"/>
      <c r="Y7" s="6"/>
      <c r="Z7" s="6"/>
      <c r="AA7" s="6"/>
      <c r="AB7" s="6"/>
      <c r="AC7" s="6"/>
      <c r="AD7" s="11">
        <f>AD6+(AD6*$T$10)</f>
        <v>898.31700000000001</v>
      </c>
      <c r="AE7" s="11">
        <v>3</v>
      </c>
    </row>
    <row r="8" spans="2:31" ht="15" customHeight="1" x14ac:dyDescent="0.25">
      <c r="B8" s="6"/>
      <c r="C8" s="25"/>
      <c r="D8" s="233"/>
      <c r="E8" s="233"/>
      <c r="F8" s="233"/>
      <c r="G8" s="233"/>
      <c r="H8" s="48"/>
      <c r="I8" s="38"/>
      <c r="J8" s="51" t="s">
        <v>37</v>
      </c>
      <c r="K8" s="78" cm="1">
        <f t="array" ref="K8">_FV(D2,"52 week high",TRUE)</f>
        <v>132.44999999999999</v>
      </c>
      <c r="L8" s="230" t="s">
        <v>41</v>
      </c>
      <c r="M8" s="230"/>
      <c r="N8" s="57"/>
      <c r="O8" s="26"/>
      <c r="P8" s="33"/>
      <c r="Q8" s="6"/>
      <c r="R8" s="237"/>
      <c r="S8" s="237"/>
      <c r="T8" s="237"/>
      <c r="U8" s="228"/>
      <c r="V8" s="26"/>
      <c r="W8" s="6"/>
      <c r="X8" s="6"/>
      <c r="Y8" s="6"/>
      <c r="Z8" s="6"/>
      <c r="AA8" s="6"/>
      <c r="AB8" s="6"/>
      <c r="AC8" s="6"/>
      <c r="AD8" s="11">
        <f>AD7+(AD7*$T$10)</f>
        <v>943.23284999999998</v>
      </c>
      <c r="AE8" s="11">
        <v>4</v>
      </c>
    </row>
    <row r="9" spans="2:31" ht="15" customHeight="1" x14ac:dyDescent="0.25">
      <c r="B9" s="6"/>
      <c r="C9" s="25"/>
      <c r="D9" s="233"/>
      <c r="E9" s="233"/>
      <c r="F9" s="233"/>
      <c r="G9" s="233"/>
      <c r="H9" s="48"/>
      <c r="I9" s="38"/>
      <c r="J9" s="54" t="s">
        <v>38</v>
      </c>
      <c r="K9" s="78" cm="1">
        <f t="array" ref="K9">_FV(D2,"52 week low",TRUE)</f>
        <v>37.369999999999997</v>
      </c>
      <c r="L9" s="230" t="s">
        <v>42</v>
      </c>
      <c r="M9" s="230"/>
      <c r="N9" s="57"/>
      <c r="O9" s="26"/>
      <c r="P9" s="33"/>
      <c r="Q9" s="6"/>
      <c r="R9" s="6"/>
      <c r="S9" s="38"/>
      <c r="T9" s="38"/>
      <c r="U9" s="6"/>
      <c r="V9" s="26"/>
      <c r="W9" s="6"/>
      <c r="X9" s="6"/>
      <c r="Y9" s="6"/>
      <c r="Z9" s="6"/>
      <c r="AA9" s="6"/>
      <c r="AB9" s="6"/>
      <c r="AC9" s="6"/>
      <c r="AD9" s="11">
        <f>AD8+(AD8*$T$10)</f>
        <v>990.39449249999996</v>
      </c>
      <c r="AE9" s="11">
        <v>5</v>
      </c>
    </row>
    <row r="10" spans="2:31" ht="15" customHeight="1" x14ac:dyDescent="0.25">
      <c r="B10" s="6"/>
      <c r="C10" s="25"/>
      <c r="D10" s="233"/>
      <c r="E10" s="233"/>
      <c r="F10" s="233"/>
      <c r="G10" s="233"/>
      <c r="H10" s="48"/>
      <c r="I10" s="38"/>
      <c r="J10" s="54"/>
      <c r="K10" s="51"/>
      <c r="L10" s="6"/>
      <c r="M10" s="6"/>
      <c r="N10" s="6"/>
      <c r="O10" s="26"/>
      <c r="P10" s="77"/>
      <c r="Q10" s="6"/>
      <c r="R10" s="229" t="s">
        <v>60</v>
      </c>
      <c r="S10" s="229"/>
      <c r="T10" s="65">
        <v>0.05</v>
      </c>
      <c r="U10" s="6"/>
      <c r="V10" s="26"/>
      <c r="W10" s="6"/>
      <c r="X10" s="6"/>
      <c r="Y10" s="6"/>
      <c r="Z10" s="6"/>
      <c r="AA10" s="6"/>
      <c r="AB10" s="6"/>
      <c r="AC10" s="6"/>
      <c r="AD10" s="11">
        <f>AD9+(AD9*$T$11)</f>
        <v>1089.43394175</v>
      </c>
      <c r="AE10" s="11">
        <v>6</v>
      </c>
    </row>
    <row r="11" spans="2:31" ht="15" customHeight="1" x14ac:dyDescent="0.25">
      <c r="B11" s="6"/>
      <c r="C11" s="25"/>
      <c r="D11" s="233"/>
      <c r="E11" s="233"/>
      <c r="F11" s="233"/>
      <c r="G11" s="233"/>
      <c r="H11" s="48"/>
      <c r="I11" s="38"/>
      <c r="J11" s="54"/>
      <c r="K11" s="51"/>
      <c r="L11" s="6"/>
      <c r="M11" s="6"/>
      <c r="N11" s="6"/>
      <c r="O11" s="26"/>
      <c r="P11" s="33"/>
      <c r="Q11" s="6"/>
      <c r="R11" s="229" t="s">
        <v>61</v>
      </c>
      <c r="S11" s="229"/>
      <c r="T11" s="66">
        <v>0.1</v>
      </c>
      <c r="U11" s="6"/>
      <c r="V11" s="26"/>
      <c r="W11" s="6"/>
      <c r="X11" s="6"/>
      <c r="Y11" s="6"/>
      <c r="Z11" s="6"/>
      <c r="AA11" s="6"/>
      <c r="AB11" s="6"/>
      <c r="AC11" s="6"/>
      <c r="AD11" s="11">
        <f>AD10+(AD10*$T$11)</f>
        <v>1198.3773359250001</v>
      </c>
      <c r="AE11" s="11">
        <v>7</v>
      </c>
    </row>
    <row r="12" spans="2:31" ht="15" customHeight="1" x14ac:dyDescent="0.25">
      <c r="B12" s="6"/>
      <c r="C12" s="25"/>
      <c r="D12" s="233"/>
      <c r="E12" s="233"/>
      <c r="F12" s="233"/>
      <c r="G12" s="233"/>
      <c r="H12" s="48"/>
      <c r="I12" s="38"/>
      <c r="J12" s="223" t="s">
        <v>44</v>
      </c>
      <c r="K12" s="223"/>
      <c r="L12" s="223" t="s">
        <v>43</v>
      </c>
      <c r="M12" s="223"/>
      <c r="N12" s="6"/>
      <c r="O12" s="26"/>
      <c r="P12" s="33"/>
      <c r="Q12" s="6"/>
      <c r="R12" s="229" t="s">
        <v>62</v>
      </c>
      <c r="S12" s="229"/>
      <c r="T12" s="66">
        <v>0.1</v>
      </c>
      <c r="U12" s="6"/>
      <c r="V12" s="26"/>
      <c r="W12" s="6"/>
      <c r="X12" s="6"/>
      <c r="Y12" s="6"/>
      <c r="Z12" s="6"/>
      <c r="AA12" s="6"/>
      <c r="AB12" s="6"/>
      <c r="AC12" s="6"/>
      <c r="AD12" s="11">
        <f>AD11+(AD11*$T$11)</f>
        <v>1318.2150695175001</v>
      </c>
      <c r="AE12" s="11">
        <v>8</v>
      </c>
    </row>
    <row r="13" spans="2:31" ht="15" customHeight="1" x14ac:dyDescent="0.25">
      <c r="B13" s="6"/>
      <c r="C13" s="25"/>
      <c r="D13" s="233"/>
      <c r="E13" s="233"/>
      <c r="F13" s="233"/>
      <c r="G13" s="233"/>
      <c r="H13" s="48"/>
      <c r="I13" s="38"/>
      <c r="J13" s="239" t="s">
        <v>86</v>
      </c>
      <c r="K13" s="240"/>
      <c r="L13" s="226" t="s">
        <v>86</v>
      </c>
      <c r="M13" s="226"/>
      <c r="N13" s="6"/>
      <c r="O13" s="26"/>
      <c r="P13" s="33"/>
      <c r="Q13" s="6"/>
      <c r="R13" s="229" t="s">
        <v>63</v>
      </c>
      <c r="S13" s="229"/>
      <c r="T13" s="20">
        <v>16</v>
      </c>
      <c r="U13" s="6"/>
      <c r="V13" s="26"/>
      <c r="W13" s="6"/>
      <c r="X13" s="6"/>
      <c r="Y13" s="6"/>
      <c r="Z13" s="6"/>
      <c r="AA13" s="6"/>
      <c r="AB13" s="6"/>
      <c r="AC13" s="6"/>
      <c r="AD13" s="11">
        <f>AD12+(AD12*$T$11)</f>
        <v>1450.0365764692501</v>
      </c>
      <c r="AE13" s="11">
        <v>9</v>
      </c>
    </row>
    <row r="14" spans="2:31" ht="15" customHeight="1" x14ac:dyDescent="0.25">
      <c r="B14" s="6"/>
      <c r="C14" s="25"/>
      <c r="D14" s="233"/>
      <c r="E14" s="233"/>
      <c r="F14" s="233"/>
      <c r="G14" s="233"/>
      <c r="H14" s="48"/>
      <c r="I14" s="38"/>
      <c r="J14" s="240"/>
      <c r="K14" s="240"/>
      <c r="L14" s="226"/>
      <c r="M14" s="226"/>
      <c r="N14" s="6"/>
      <c r="O14" s="26"/>
      <c r="P14" s="33"/>
      <c r="Q14" s="6"/>
      <c r="R14" s="229" t="s">
        <v>64</v>
      </c>
      <c r="S14" s="229"/>
      <c r="T14" s="67">
        <v>776</v>
      </c>
      <c r="U14" s="6"/>
      <c r="V14" s="26"/>
      <c r="W14" s="6"/>
      <c r="X14" s="6"/>
      <c r="Y14" s="6"/>
      <c r="Z14" s="6"/>
      <c r="AA14" s="6"/>
      <c r="AB14" s="6"/>
      <c r="AC14" s="6"/>
      <c r="AD14" s="11">
        <f>AD13+(AD13*$T$11)</f>
        <v>1595.040234116175</v>
      </c>
      <c r="AE14" s="11">
        <v>10</v>
      </c>
    </row>
    <row r="15" spans="2:31" ht="15" customHeight="1" x14ac:dyDescent="0.25">
      <c r="B15" s="6"/>
      <c r="C15" s="25"/>
      <c r="D15" s="233"/>
      <c r="E15" s="233"/>
      <c r="F15" s="233"/>
      <c r="G15" s="233"/>
      <c r="H15" s="38"/>
      <c r="I15" s="38"/>
      <c r="J15" s="54"/>
      <c r="K15" s="51"/>
      <c r="L15" s="6"/>
      <c r="M15" s="6"/>
      <c r="N15" s="6"/>
      <c r="O15" s="26"/>
      <c r="P15" s="33"/>
      <c r="Q15" s="6"/>
      <c r="R15" s="6"/>
      <c r="S15" s="38"/>
      <c r="T15" s="38"/>
      <c r="U15" s="6"/>
      <c r="V15" s="26"/>
      <c r="W15" s="6"/>
      <c r="X15" s="6"/>
      <c r="Y15" s="6"/>
      <c r="Z15" s="6"/>
      <c r="AA15" s="6"/>
      <c r="AB15" s="6"/>
      <c r="AC15" s="6"/>
      <c r="AD15" s="11" t="s">
        <v>65</v>
      </c>
      <c r="AE15" s="11">
        <f>AD14*T13</f>
        <v>25520.643745858801</v>
      </c>
    </row>
    <row r="16" spans="2:31" ht="15" customHeight="1" x14ac:dyDescent="0.25">
      <c r="B16" s="6"/>
      <c r="C16" s="25"/>
      <c r="D16" s="233"/>
      <c r="E16" s="233"/>
      <c r="F16" s="233"/>
      <c r="G16" s="233"/>
      <c r="H16" s="38"/>
      <c r="I16" s="38"/>
      <c r="J16" s="54"/>
      <c r="K16" s="235" t="s">
        <v>49</v>
      </c>
      <c r="L16" s="235"/>
      <c r="M16" s="6"/>
      <c r="N16" s="6"/>
      <c r="O16" s="26"/>
      <c r="P16" s="33"/>
      <c r="Q16" s="6"/>
      <c r="R16" s="157" t="s">
        <v>123</v>
      </c>
      <c r="S16" s="227" t="e">
        <f>((NPV(T12,AD5:AD13,AE15) - AE16)/N37)*R17</f>
        <v>#DIV/0!</v>
      </c>
      <c r="T16" s="227"/>
      <c r="U16" s="6" t="s">
        <v>85</v>
      </c>
      <c r="V16" s="26"/>
      <c r="W16" s="6"/>
      <c r="X16" s="6"/>
      <c r="Y16" s="6"/>
      <c r="Z16" s="6"/>
      <c r="AA16" s="6"/>
      <c r="AB16" s="6"/>
      <c r="AC16" s="6"/>
      <c r="AD16" s="11" t="s">
        <v>14</v>
      </c>
      <c r="AE16" s="68">
        <f>E76</f>
        <v>-68.680000000000064</v>
      </c>
    </row>
    <row r="17" spans="1:31" ht="19.5" customHeight="1" x14ac:dyDescent="0.25">
      <c r="B17" s="6"/>
      <c r="C17" s="25"/>
      <c r="D17" s="233"/>
      <c r="E17" s="233"/>
      <c r="F17" s="233"/>
      <c r="G17" s="233"/>
      <c r="H17" s="38"/>
      <c r="I17" s="38"/>
      <c r="J17" s="6"/>
      <c r="K17" s="236">
        <f>I2+(E76/1000)</f>
        <v>14.91662</v>
      </c>
      <c r="L17" s="236"/>
      <c r="M17" s="64" t="s">
        <v>55</v>
      </c>
      <c r="N17" s="6"/>
      <c r="O17" s="26"/>
      <c r="P17" s="33"/>
      <c r="Q17" s="6"/>
      <c r="R17" s="158">
        <v>1</v>
      </c>
      <c r="S17" s="227"/>
      <c r="T17" s="227"/>
      <c r="U17" s="76" t="e">
        <f>S16/J5 -1</f>
        <v>#DIV/0!</v>
      </c>
      <c r="V17" s="26"/>
      <c r="W17" s="6"/>
      <c r="X17" s="6"/>
      <c r="Y17" s="6"/>
      <c r="Z17" s="6"/>
      <c r="AA17" s="6"/>
      <c r="AB17" s="6"/>
      <c r="AC17" s="6"/>
      <c r="AE17" s="68"/>
    </row>
    <row r="18" spans="1:31" ht="14.25" customHeight="1" x14ac:dyDescent="0.25">
      <c r="B18" s="6"/>
      <c r="C18" s="27"/>
      <c r="D18" s="43"/>
      <c r="E18" s="28"/>
      <c r="F18" s="28"/>
      <c r="G18" s="28"/>
      <c r="H18" s="44"/>
      <c r="I18" s="44"/>
      <c r="J18" s="44"/>
      <c r="K18" s="44"/>
      <c r="L18" s="28"/>
      <c r="M18" s="28"/>
      <c r="N18" s="28"/>
      <c r="O18" s="29"/>
      <c r="P18" s="33"/>
      <c r="Q18" s="28"/>
      <c r="R18" s="28"/>
      <c r="S18" s="44"/>
      <c r="T18" s="44"/>
      <c r="U18" s="28"/>
      <c r="V18" s="29"/>
      <c r="W18" s="6"/>
      <c r="X18" s="6"/>
      <c r="Y18" s="6"/>
      <c r="Z18" s="6"/>
      <c r="AA18" s="6"/>
      <c r="AB18" s="6"/>
      <c r="AC18" s="6"/>
    </row>
    <row r="19" spans="1:31" ht="37.5" customHeight="1" x14ac:dyDescent="0.25">
      <c r="B19" s="245"/>
      <c r="C19" s="6"/>
      <c r="D19" s="79"/>
      <c r="E19" s="204" t="s">
        <v>350</v>
      </c>
      <c r="F19" s="204" t="s">
        <v>349</v>
      </c>
      <c r="G19" s="204" t="s">
        <v>348</v>
      </c>
      <c r="H19" s="205" t="s">
        <v>347</v>
      </c>
      <c r="I19" s="205" t="s">
        <v>346</v>
      </c>
      <c r="J19" s="205" t="s">
        <v>345</v>
      </c>
      <c r="K19" s="205" t="s">
        <v>344</v>
      </c>
      <c r="L19" s="204" t="s">
        <v>343</v>
      </c>
      <c r="M19" s="204" t="s">
        <v>342</v>
      </c>
      <c r="N19" s="204" t="s">
        <v>55</v>
      </c>
      <c r="O19" s="6"/>
      <c r="P19" s="6"/>
      <c r="Q19" s="6"/>
      <c r="R19" s="6"/>
      <c r="S19" s="38"/>
      <c r="T19" s="38"/>
      <c r="U19" s="6"/>
      <c r="V19" s="6"/>
      <c r="W19" s="6"/>
      <c r="X19" s="6"/>
      <c r="Y19" s="6"/>
      <c r="Z19" s="6"/>
      <c r="AA19" s="6"/>
      <c r="AB19" s="6"/>
      <c r="AC19" s="6"/>
    </row>
    <row r="20" spans="1:31" s="14" customFormat="1" ht="18.95" customHeight="1" x14ac:dyDescent="0.25">
      <c r="A20" s="6"/>
      <c r="B20" s="246" t="s">
        <v>351</v>
      </c>
      <c r="C20" s="12"/>
      <c r="D20" s="1"/>
      <c r="E20" s="212" cm="1">
        <f t="array" aca="1" ref="E20" ca="1">INDIRECT($B20&amp;"!"&amp;E$19&amp;$O20)</f>
        <v>0</v>
      </c>
      <c r="F20" s="212" cm="1">
        <f t="array" aca="1" ref="F20" ca="1">INDIRECT($B20&amp;"!"&amp;F$19&amp;$O20)</f>
        <v>0</v>
      </c>
      <c r="G20" s="212" cm="1">
        <f t="array" aca="1" ref="G20" ca="1">INDIRECT($B20&amp;"!"&amp;G$19&amp;$O20)</f>
        <v>0</v>
      </c>
      <c r="H20" s="212" cm="1">
        <f t="array" aca="1" ref="H20" ca="1">INDIRECT($B20&amp;"!"&amp;H$19&amp;$O20)</f>
        <v>42735</v>
      </c>
      <c r="I20" s="212" cm="1">
        <f t="array" aca="1" ref="I20" ca="1">INDIRECT($B20&amp;"!"&amp;I$19&amp;$O20)</f>
        <v>43100</v>
      </c>
      <c r="J20" s="212" cm="1">
        <f t="array" aca="1" ref="J20" ca="1">INDIRECT($B20&amp;"!"&amp;J$19&amp;$O20)</f>
        <v>43465</v>
      </c>
      <c r="K20" s="212" cm="1">
        <f t="array" aca="1" ref="K20" ca="1">INDIRECT($B20&amp;"!"&amp;K$19&amp;$O20)</f>
        <v>43830</v>
      </c>
      <c r="L20" s="212" cm="1">
        <f t="array" aca="1" ref="L20" ca="1">INDIRECT($B20&amp;"!"&amp;L$19&amp;$O20)</f>
        <v>44196</v>
      </c>
      <c r="M20" s="212" cm="1">
        <f t="array" aca="1" ref="M20" ca="1">INDIRECT($B20&amp;"!"&amp;M$19&amp;$O20)</f>
        <v>44561</v>
      </c>
      <c r="N20" s="213" t="str" cm="1">
        <f t="array" aca="1" ref="N20" ca="1">INDIRECT($B20&amp;"!"&amp;N$19&amp;$O20)</f>
        <v>LTM</v>
      </c>
      <c r="O20" s="218">
        <v>2</v>
      </c>
      <c r="P20" s="13"/>
      <c r="Q20" s="21"/>
      <c r="R20" s="30" t="s">
        <v>24</v>
      </c>
      <c r="S20" s="30" t="s">
        <v>25</v>
      </c>
      <c r="T20" s="30" t="s">
        <v>26</v>
      </c>
      <c r="U20" s="30" t="s">
        <v>27</v>
      </c>
      <c r="V20" s="22"/>
      <c r="W20" s="13"/>
      <c r="Y20" s="13"/>
      <c r="Z20" s="13"/>
      <c r="AA20" s="13"/>
      <c r="AB20" s="13"/>
      <c r="AC20" s="13"/>
    </row>
    <row r="21" spans="1:31" s="14" customFormat="1" ht="20.100000000000001" customHeight="1" x14ac:dyDescent="0.25">
      <c r="A21" s="6"/>
      <c r="B21" s="246" t="s">
        <v>351</v>
      </c>
      <c r="C21" s="15"/>
      <c r="D21" s="3" t="s">
        <v>1</v>
      </c>
      <c r="E21" s="4" cm="1">
        <f t="array" aca="1" ref="E21" ca="1">INDIRECT($B21&amp;"!"&amp;E$19&amp;$O21)</f>
        <v>0</v>
      </c>
      <c r="F21" s="4" cm="1">
        <f t="array" aca="1" ref="F21" ca="1">INDIRECT($B21&amp;"!"&amp;F$19&amp;$O21)</f>
        <v>0</v>
      </c>
      <c r="G21" s="4" cm="1">
        <f t="array" aca="1" ref="G21" ca="1">INDIRECT($B21&amp;"!"&amp;G$19&amp;$O21)</f>
        <v>0</v>
      </c>
      <c r="H21" s="4" cm="1">
        <f t="array" aca="1" ref="H21" ca="1">INDIRECT($B21&amp;"!"&amp;H$19&amp;$O21)</f>
        <v>0</v>
      </c>
      <c r="I21" s="4" cm="1">
        <f t="array" aca="1" ref="I21" ca="1">INDIRECT($B21&amp;"!"&amp;I$19&amp;$O21)</f>
        <v>134.91999999999999</v>
      </c>
      <c r="J21" s="4" cm="1">
        <f t="array" aca="1" ref="J21" ca="1">INDIRECT($B21&amp;"!"&amp;J$19&amp;$O21)</f>
        <v>192.67</v>
      </c>
      <c r="K21" s="4" cm="1">
        <f t="array" aca="1" ref="K21" ca="1">INDIRECT($B21&amp;"!"&amp;K$19&amp;$O21)</f>
        <v>287.02</v>
      </c>
      <c r="L21" s="4" cm="1">
        <f t="array" aca="1" ref="L21" ca="1">INDIRECT($B21&amp;"!"&amp;L$19&amp;$O21)</f>
        <v>431.06</v>
      </c>
      <c r="M21" s="4" cm="1">
        <f t="array" aca="1" ref="M21" ca="1">INDIRECT($B21&amp;"!"&amp;M$19&amp;$O21)</f>
        <v>656.43</v>
      </c>
      <c r="N21" s="4" cm="1">
        <f t="array" aca="1" ref="N21" ca="1">INDIRECT($B21&amp;"!"&amp;N$19&amp;$O21)</f>
        <v>894.14</v>
      </c>
      <c r="O21" s="198">
        <v>11</v>
      </c>
      <c r="P21" s="13"/>
      <c r="Q21" s="23"/>
      <c r="R21" s="31">
        <f t="shared" ref="R21" ca="1" si="0">IFERROR((N21/M21-1),"")</f>
        <v>0.36212543607086833</v>
      </c>
      <c r="S21" s="31">
        <f t="shared" ref="S21" ca="1" si="1">IFERROR(((N21/K21)^(1/3) -1),"")</f>
        <v>0.46048731034796098</v>
      </c>
      <c r="T21" s="31">
        <f t="shared" ref="T21" ca="1" si="2">IFERROR(((N21/I21)^(1/5) -1),"")</f>
        <v>0.45970749601672467</v>
      </c>
      <c r="U21" s="31" t="str">
        <f t="shared" ref="U21" ca="1" si="3">IFERROR(((N21/E21)^(1/9) -1),"")</f>
        <v/>
      </c>
      <c r="V21" s="24"/>
      <c r="W21" s="13"/>
      <c r="X21" s="32"/>
      <c r="Y21" s="13"/>
      <c r="Z21" s="13"/>
      <c r="AA21" s="13"/>
      <c r="AB21" s="13"/>
      <c r="AC21" s="13"/>
    </row>
    <row r="22" spans="1:31" s="14" customFormat="1" ht="20.100000000000001" customHeight="1" x14ac:dyDescent="0.25">
      <c r="A22" s="6"/>
      <c r="B22" s="246" t="s">
        <v>351</v>
      </c>
      <c r="C22" s="15"/>
      <c r="D22" s="3" t="s">
        <v>2</v>
      </c>
      <c r="E22" s="4" cm="1">
        <f t="array" aca="1" ref="E22" ca="1">INDIRECT($B22&amp;"!"&amp;E$19&amp;$O22)</f>
        <v>0</v>
      </c>
      <c r="F22" s="4" cm="1">
        <f t="array" aca="1" ref="F22" ca="1">INDIRECT($B22&amp;"!"&amp;F$19&amp;$O22)</f>
        <v>0</v>
      </c>
      <c r="G22" s="4" cm="1">
        <f t="array" aca="1" ref="G22" ca="1">INDIRECT($B22&amp;"!"&amp;G$19&amp;$O22)</f>
        <v>0</v>
      </c>
      <c r="H22" s="4" cm="1">
        <f t="array" aca="1" ref="H22" ca="1">INDIRECT($B22&amp;"!"&amp;H$19&amp;$O22)</f>
        <v>0</v>
      </c>
      <c r="I22" s="4" cm="1">
        <f t="array" aca="1" ref="I22" ca="1">INDIRECT($B22&amp;"!"&amp;I$19&amp;$O22)</f>
        <v>106.13</v>
      </c>
      <c r="J22" s="4" cm="1">
        <f t="array" aca="1" ref="J22" ca="1">INDIRECT($B22&amp;"!"&amp;J$19&amp;$O22)</f>
        <v>149.13999999999999</v>
      </c>
      <c r="K22" s="4" cm="1">
        <f t="array" aca="1" ref="K22" ca="1">INDIRECT($B22&amp;"!"&amp;K$19&amp;$O22)</f>
        <v>223.6</v>
      </c>
      <c r="L22" s="4" cm="1">
        <f t="array" aca="1" ref="L22" ca="1">INDIRECT($B22&amp;"!"&amp;L$19&amp;$O22)</f>
        <v>330</v>
      </c>
      <c r="M22" s="4" cm="1">
        <f t="array" aca="1" ref="M22" ca="1">INDIRECT($B22&amp;"!"&amp;M$19&amp;$O22)</f>
        <v>509.29</v>
      </c>
      <c r="N22" s="4" cm="1">
        <f t="array" aca="1" ref="N22" ca="1">INDIRECT($B22&amp;"!"&amp;N$19&amp;$O22)</f>
        <v>686.82</v>
      </c>
      <c r="O22" s="198">
        <v>17</v>
      </c>
      <c r="P22" s="13"/>
      <c r="Q22" s="23"/>
      <c r="R22" s="31">
        <f t="shared" ref="R22:R38" ca="1" si="4">IFERROR((N22/M22-1),"")</f>
        <v>0.34858332187947938</v>
      </c>
      <c r="S22" s="31">
        <f t="shared" ref="S22:S39" ca="1" si="5">IFERROR(((N22/K22)^(1/3) -1),"")</f>
        <v>0.45364060134869066</v>
      </c>
      <c r="T22" s="31">
        <f t="shared" ref="T22:T38" ca="1" si="6">IFERROR(((N22/I22)^(1/5) -1),"")</f>
        <v>0.45278368429344384</v>
      </c>
      <c r="U22" s="31" t="str">
        <f t="shared" ref="U22:U38" ca="1" si="7">IFERROR(((N22/E22)^(1/9) -1),"")</f>
        <v/>
      </c>
      <c r="V22" s="24"/>
      <c r="W22" s="13"/>
      <c r="X22" s="32"/>
      <c r="Y22" s="13"/>
      <c r="Z22" s="13"/>
      <c r="AA22" s="13"/>
      <c r="AB22" s="13"/>
      <c r="AC22" s="13"/>
    </row>
    <row r="23" spans="1:31" s="14" customFormat="1" ht="20.100000000000001" customHeight="1" x14ac:dyDescent="0.25">
      <c r="A23" s="13"/>
      <c r="B23" s="246" t="s">
        <v>351</v>
      </c>
      <c r="C23" s="15"/>
      <c r="D23" s="3" t="s">
        <v>3</v>
      </c>
      <c r="E23" s="4" cm="1">
        <f t="array" aca="1" ref="E23" ca="1">INDIRECT($B23&amp;"!"&amp;E$19&amp;$O23)</f>
        <v>0</v>
      </c>
      <c r="F23" s="4" cm="1">
        <f t="array" aca="1" ref="F23" ca="1">INDIRECT($B23&amp;"!"&amp;F$19&amp;$O23)</f>
        <v>0</v>
      </c>
      <c r="G23" s="4" cm="1">
        <f t="array" aca="1" ref="G23" ca="1">INDIRECT($B23&amp;"!"&amp;G$19&amp;$O23)</f>
        <v>0</v>
      </c>
      <c r="H23" s="4" cm="1">
        <f t="array" aca="1" ref="H23" ca="1">INDIRECT($B23&amp;"!"&amp;H$19&amp;$O23)</f>
        <v>0</v>
      </c>
      <c r="I23" s="4" cm="1">
        <f t="array" aca="1" ref="I23" ca="1">INDIRECT($B23&amp;"!"&amp;I$19&amp;$O23)</f>
        <v>0.98</v>
      </c>
      <c r="J23" s="4" cm="1">
        <f t="array" aca="1" ref="J23" ca="1">INDIRECT($B23&amp;"!"&amp;J$19&amp;$O23)</f>
        <v>-69.790000000000006</v>
      </c>
      <c r="K23" s="4" cm="1">
        <f t="array" aca="1" ref="K23" ca="1">INDIRECT($B23&amp;"!"&amp;K$19&amp;$O23)</f>
        <v>-85.27</v>
      </c>
      <c r="L23" s="4" cm="1">
        <f t="array" aca="1" ref="L23" ca="1">INDIRECT($B23&amp;"!"&amp;L$19&amp;$O23)</f>
        <v>-66.8</v>
      </c>
      <c r="M23" s="4" cm="1">
        <f t="array" aca="1" ref="M23" ca="1">INDIRECT($B23&amp;"!"&amp;M$19&amp;$O23)</f>
        <v>-81.5</v>
      </c>
      <c r="N23" s="4" cm="1">
        <f t="array" aca="1" ref="N23" ca="1">INDIRECT($B23&amp;"!"&amp;N$19&amp;$O23)</f>
        <v>-130.56</v>
      </c>
      <c r="O23" s="198">
        <v>77</v>
      </c>
      <c r="P23" s="13"/>
      <c r="Q23" s="23"/>
      <c r="R23" s="31">
        <f t="shared" ca="1" si="4"/>
        <v>0.6019631901840492</v>
      </c>
      <c r="S23" s="31">
        <f t="shared" ca="1" si="5"/>
        <v>0.15258056671332043</v>
      </c>
      <c r="T23" s="31">
        <f t="shared" ca="1" si="6"/>
        <v>-3.6602154605144284</v>
      </c>
      <c r="U23" s="31" t="str">
        <f t="shared" ca="1" si="7"/>
        <v/>
      </c>
      <c r="V23" s="24"/>
      <c r="W23" s="13"/>
      <c r="X23" s="32"/>
      <c r="Y23" s="13"/>
      <c r="Z23" s="13"/>
      <c r="AA23" s="13"/>
      <c r="AB23" s="13"/>
      <c r="AC23" s="13"/>
    </row>
    <row r="24" spans="1:31" s="14" customFormat="1" ht="20.100000000000001" customHeight="1" x14ac:dyDescent="0.25">
      <c r="A24" s="13"/>
      <c r="B24" s="246" t="s">
        <v>351</v>
      </c>
      <c r="C24" s="15"/>
      <c r="D24" s="3" t="s">
        <v>4</v>
      </c>
      <c r="E24" s="4" cm="1">
        <f t="array" aca="1" ref="E24" ca="1">INDIRECT($B24&amp;"!"&amp;E$19&amp;$O24)</f>
        <v>0</v>
      </c>
      <c r="F24" s="4" cm="1">
        <f t="array" aca="1" ref="F24" ca="1">INDIRECT($B24&amp;"!"&amp;F$19&amp;$O24)</f>
        <v>0</v>
      </c>
      <c r="G24" s="4" cm="1">
        <f t="array" aca="1" ref="G24" ca="1">INDIRECT($B24&amp;"!"&amp;G$19&amp;$O24)</f>
        <v>0</v>
      </c>
      <c r="H24" s="4" cm="1">
        <f t="array" aca="1" ref="H24" ca="1">INDIRECT($B24&amp;"!"&amp;H$19&amp;$O24)</f>
        <v>0</v>
      </c>
      <c r="I24" s="4" cm="1">
        <f t="array" aca="1" ref="I24" ca="1">INDIRECT($B24&amp;"!"&amp;I$19&amp;$O24)</f>
        <v>-9.73</v>
      </c>
      <c r="J24" s="4" cm="1">
        <f t="array" aca="1" ref="J24" ca="1">INDIRECT($B24&amp;"!"&amp;J$19&amp;$O24)</f>
        <v>-84.9</v>
      </c>
      <c r="K24" s="4" cm="1">
        <f t="array" aca="1" ref="K24" ca="1">INDIRECT($B24&amp;"!"&amp;K$19&amp;$O24)</f>
        <v>-107.95</v>
      </c>
      <c r="L24" s="4" cm="1">
        <f t="array" aca="1" ref="L24" ca="1">INDIRECT($B24&amp;"!"&amp;L$19&amp;$O24)</f>
        <v>-100.49</v>
      </c>
      <c r="M24" s="4" cm="1">
        <f t="array" aca="1" ref="M24" ca="1">INDIRECT($B24&amp;"!"&amp;M$19&amp;$O24)</f>
        <v>-127.3</v>
      </c>
      <c r="N24" s="4" cm="1">
        <f t="array" aca="1" ref="N24" ca="1">INDIRECT($B24&amp;"!"&amp;N$19&amp;$O24)</f>
        <v>-191.2</v>
      </c>
      <c r="O24" s="198">
        <v>31</v>
      </c>
      <c r="P24" s="13"/>
      <c r="Q24" s="23"/>
      <c r="R24" s="31">
        <f t="shared" ca="1" si="4"/>
        <v>0.50196386488609579</v>
      </c>
      <c r="S24" s="31">
        <f t="shared" ca="1" si="5"/>
        <v>0.20991561142452642</v>
      </c>
      <c r="T24" s="31">
        <f t="shared" ca="1" si="6"/>
        <v>0.81415758755700418</v>
      </c>
      <c r="U24" s="31" t="str">
        <f t="shared" ca="1" si="7"/>
        <v/>
      </c>
      <c r="V24" s="24"/>
      <c r="W24" s="13"/>
      <c r="X24" s="32"/>
      <c r="Y24" s="13"/>
      <c r="Z24" s="13"/>
      <c r="AA24" s="13"/>
      <c r="AB24" s="13"/>
      <c r="AC24" s="13"/>
    </row>
    <row r="25" spans="1:31" s="14" customFormat="1" ht="20.100000000000001" customHeight="1" x14ac:dyDescent="0.25">
      <c r="A25" s="13"/>
      <c r="B25" s="246" t="s">
        <v>351</v>
      </c>
      <c r="C25" s="15"/>
      <c r="D25" s="3" t="s">
        <v>5</v>
      </c>
      <c r="E25" s="4" cm="1">
        <f t="array" aca="1" ref="E25" ca="1">INDIRECT($B25&amp;"!"&amp;E$19&amp;$O25)</f>
        <v>0</v>
      </c>
      <c r="F25" s="4" cm="1">
        <f t="array" aca="1" ref="F25" ca="1">INDIRECT($B25&amp;"!"&amp;F$19&amp;$O25)</f>
        <v>0</v>
      </c>
      <c r="G25" s="4" cm="1">
        <f t="array" aca="1" ref="G25" ca="1">INDIRECT($B25&amp;"!"&amp;G$19&amp;$O25)</f>
        <v>0</v>
      </c>
      <c r="H25" s="4" cm="1">
        <f t="array" aca="1" ref="H25" ca="1">INDIRECT($B25&amp;"!"&amp;H$19&amp;$O25)</f>
        <v>0</v>
      </c>
      <c r="I25" s="4" cm="1">
        <f t="array" aca="1" ref="I25" ca="1">INDIRECT($B25&amp;"!"&amp;I$19&amp;$O25)</f>
        <v>-10.75</v>
      </c>
      <c r="J25" s="4" cm="1">
        <f t="array" aca="1" ref="J25" ca="1">INDIRECT($B25&amp;"!"&amp;J$19&amp;$O25)</f>
        <v>-87.16</v>
      </c>
      <c r="K25" s="4" cm="1">
        <f t="array" aca="1" ref="K25" ca="1">INDIRECT($B25&amp;"!"&amp;K$19&amp;$O25)</f>
        <v>-105.83</v>
      </c>
      <c r="L25" s="4" cm="1">
        <f t="array" aca="1" ref="L25" ca="1">INDIRECT($B25&amp;"!"&amp;L$19&amp;$O25)</f>
        <v>-119.37</v>
      </c>
      <c r="M25" s="4" cm="1">
        <f t="array" aca="1" ref="M25" ca="1">INDIRECT($B25&amp;"!"&amp;M$19&amp;$O25)</f>
        <v>-260.31</v>
      </c>
      <c r="N25" s="4" cm="1">
        <f t="array" aca="1" ref="N25" ca="1">INDIRECT($B25&amp;"!"&amp;N$19&amp;$O25)</f>
        <v>-224.97</v>
      </c>
      <c r="O25" s="198">
        <v>56</v>
      </c>
      <c r="P25" s="13"/>
      <c r="Q25" s="23"/>
      <c r="R25" s="31">
        <f t="shared" ca="1" si="4"/>
        <v>-0.1357612077907111</v>
      </c>
      <c r="S25" s="31">
        <f t="shared" ca="1" si="5"/>
        <v>0.28579560630008127</v>
      </c>
      <c r="T25" s="31">
        <f t="shared" ca="1" si="6"/>
        <v>0.8371441272104676</v>
      </c>
      <c r="U25" s="31" t="str">
        <f t="shared" ca="1" si="7"/>
        <v/>
      </c>
      <c r="V25" s="24"/>
      <c r="W25" s="13"/>
      <c r="X25" s="32"/>
      <c r="Y25" s="13"/>
      <c r="Z25" s="13"/>
      <c r="AA25" s="13"/>
      <c r="AB25" s="13"/>
      <c r="AC25" s="13"/>
    </row>
    <row r="26" spans="1:31" s="14" customFormat="1" ht="20.100000000000001" customHeight="1" x14ac:dyDescent="0.25">
      <c r="A26" s="13"/>
      <c r="B26" s="246" t="s">
        <v>352</v>
      </c>
      <c r="C26" s="15"/>
      <c r="D26" s="3" t="s">
        <v>11</v>
      </c>
      <c r="E26" s="4" cm="1">
        <f t="array" aca="1" ref="E26" ca="1">INDIRECT($B26&amp;"!"&amp;E$19&amp;$O26)</f>
        <v>0</v>
      </c>
      <c r="F26" s="4" cm="1">
        <f t="array" aca="1" ref="F26" ca="1">INDIRECT($B26&amp;"!"&amp;F$19&amp;$O26)</f>
        <v>0</v>
      </c>
      <c r="G26" s="4" cm="1">
        <f t="array" aca="1" ref="G26" ca="1">INDIRECT($B26&amp;"!"&amp;G$19&amp;$O26)</f>
        <v>0</v>
      </c>
      <c r="H26" s="4" cm="1">
        <f t="array" aca="1" ref="H26" ca="1">INDIRECT($B26&amp;"!"&amp;H$19&amp;$O26)</f>
        <v>0</v>
      </c>
      <c r="I26" s="4" cm="1">
        <f t="array" aca="1" ref="I26" ca="1">INDIRECT($B26&amp;"!"&amp;I$19&amp;$O26)</f>
        <v>-15.86</v>
      </c>
      <c r="J26" s="4" cm="1">
        <f t="array" aca="1" ref="J26" ca="1">INDIRECT($B26&amp;"!"&amp;J$19&amp;$O26)</f>
        <v>-68.75</v>
      </c>
      <c r="K26" s="4" cm="1">
        <f t="array" aca="1" ref="K26" ca="1">INDIRECT($B26&amp;"!"&amp;K$19&amp;$O26)</f>
        <v>-82.21</v>
      </c>
      <c r="L26" s="4" cm="1">
        <f t="array" aca="1" ref="L26" ca="1">INDIRECT($B26&amp;"!"&amp;L$19&amp;$O26)</f>
        <v>-73.5</v>
      </c>
      <c r="M26" s="4" cm="1">
        <f t="array" aca="1" ref="M26" ca="1">INDIRECT($B26&amp;"!"&amp;M$19&amp;$O26)</f>
        <v>-28.34</v>
      </c>
      <c r="N26" s="4" cm="1">
        <f t="array" aca="1" ref="N26" ca="1">INDIRECT($B26&amp;"!"&amp;N$19&amp;$O26)</f>
        <v>-45.71</v>
      </c>
      <c r="O26" s="198">
        <v>58</v>
      </c>
      <c r="P26" s="13"/>
      <c r="Q26" s="23"/>
      <c r="R26" s="31">
        <f t="shared" ca="1" si="4"/>
        <v>0.61291460832745237</v>
      </c>
      <c r="S26" s="31">
        <f t="shared" ca="1" si="5"/>
        <v>-0.17770271243554725</v>
      </c>
      <c r="T26" s="31">
        <f t="shared" ca="1" si="6"/>
        <v>0.23578126736981542</v>
      </c>
      <c r="U26" s="31" t="str">
        <f t="shared" ca="1" si="7"/>
        <v/>
      </c>
      <c r="V26" s="24"/>
      <c r="W26" s="13"/>
      <c r="X26" s="32"/>
      <c r="Y26" s="13"/>
      <c r="Z26" s="13"/>
      <c r="AA26" s="13"/>
      <c r="AB26" s="13"/>
      <c r="AC26" s="13"/>
    </row>
    <row r="27" spans="1:31" s="14" customFormat="1" ht="20.100000000000001" customHeight="1" x14ac:dyDescent="0.25">
      <c r="A27" s="13"/>
      <c r="B27" s="246" t="s">
        <v>355</v>
      </c>
      <c r="C27" s="15"/>
      <c r="D27" s="3" t="s">
        <v>354</v>
      </c>
      <c r="E27" s="4" cm="1">
        <f t="array" aca="1" ref="E27" ca="1">INDIRECT($B27&amp;"!"&amp;E$19&amp;$O27)</f>
        <v>0</v>
      </c>
      <c r="F27" s="4" cm="1">
        <f t="array" aca="1" ref="F27" ca="1">INDIRECT($B27&amp;"!"&amp;F$19&amp;$O27)</f>
        <v>0</v>
      </c>
      <c r="G27" s="4" cm="1">
        <f t="array" aca="1" ref="G27" ca="1">INDIRECT($B27&amp;"!"&amp;G$19&amp;$O27)</f>
        <v>0</v>
      </c>
      <c r="H27" s="4" cm="1">
        <f t="array" aca="1" ref="H27" ca="1">INDIRECT($B27&amp;"!"&amp;H$19&amp;$O27)</f>
        <v>0</v>
      </c>
      <c r="I27" s="4" cm="1">
        <f t="array" aca="1" ref="I27" ca="1">INDIRECT($B27&amp;"!"&amp;I$19&amp;$O27)</f>
        <v>121.71</v>
      </c>
      <c r="J27" s="4" cm="1">
        <f t="array" aca="1" ref="J27" ca="1">INDIRECT($B27&amp;"!"&amp;J$19&amp;$O27)</f>
        <v>218.02</v>
      </c>
      <c r="K27" s="4" cm="1">
        <f t="array" aca="1" ref="K27" ca="1">INDIRECT($B27&amp;"!"&amp;K$19&amp;$O27)</f>
        <v>725.83</v>
      </c>
      <c r="L27" s="4" cm="1">
        <f t="array" aca="1" ref="L27" ca="1">INDIRECT($B27&amp;"!"&amp;L$19&amp;$O27)</f>
        <v>816.94</v>
      </c>
      <c r="M27" s="4" cm="1">
        <f t="array" aca="1" ref="M27" ca="1">INDIRECT($B27&amp;"!"&amp;M$19&amp;$O27)</f>
        <v>811.36</v>
      </c>
      <c r="N27" s="4" cm="1">
        <f t="array" aca="1" ref="N27" ca="1">INDIRECT($B27&amp;"!"&amp;N$19&amp;$O27)</f>
        <v>593.99</v>
      </c>
      <c r="O27" s="198">
        <v>68</v>
      </c>
      <c r="P27" s="13"/>
      <c r="Q27" s="23"/>
      <c r="R27" s="31">
        <f ca="1">IFERROR((N27/M27-1),"")</f>
        <v>-0.26790820351015576</v>
      </c>
      <c r="S27" s="31">
        <f t="shared" ca="1" si="5"/>
        <v>-6.4634372933275452E-2</v>
      </c>
      <c r="T27" s="31">
        <f ca="1">IFERROR(((N27/I27)^(1/5) -1),"")</f>
        <v>0.37306334739438651</v>
      </c>
      <c r="U27" s="31" t="str">
        <f t="shared" ca="1" si="7"/>
        <v/>
      </c>
      <c r="V27" s="24"/>
      <c r="W27" s="13"/>
      <c r="X27" s="32"/>
      <c r="Y27" s="13"/>
      <c r="Z27" s="13"/>
      <c r="AA27" s="13"/>
      <c r="AB27" s="13"/>
      <c r="AC27" s="13"/>
    </row>
    <row r="28" spans="1:31" s="14" customFormat="1" ht="20.100000000000001" customHeight="1" x14ac:dyDescent="0.25">
      <c r="A28" s="13"/>
      <c r="B28" s="246" t="s">
        <v>355</v>
      </c>
      <c r="C28" s="15"/>
      <c r="D28" s="3" t="s">
        <v>237</v>
      </c>
      <c r="E28" s="4" cm="1">
        <f t="array" aca="1" ref="E28" ca="1">INDIRECT($B28&amp;"!"&amp;E$19&amp;$O28)</f>
        <v>0</v>
      </c>
      <c r="F28" s="4" cm="1">
        <f t="array" aca="1" ref="F28" ca="1">INDIRECT($B28&amp;"!"&amp;F$19&amp;$O28)</f>
        <v>0</v>
      </c>
      <c r="G28" s="4" cm="1">
        <f t="array" aca="1" ref="G28" ca="1">INDIRECT($B28&amp;"!"&amp;G$19&amp;$O28)</f>
        <v>0</v>
      </c>
      <c r="H28" s="4" cm="1">
        <f t="array" aca="1" ref="H28" ca="1">INDIRECT($B28&amp;"!"&amp;H$19&amp;$O28)</f>
        <v>0</v>
      </c>
      <c r="I28" s="4" cm="1">
        <f t="array" aca="1" ref="I28" ca="1">INDIRECT($B28&amp;"!"&amp;I$19&amp;$O28)</f>
        <v>-64.59</v>
      </c>
      <c r="J28" s="4" cm="1">
        <f t="array" aca="1" ref="J28" ca="1">INDIRECT($B28&amp;"!"&amp;J$19&amp;$O28)</f>
        <v>-117.74</v>
      </c>
      <c r="K28" s="4" cm="1">
        <f t="array" aca="1" ref="K28" ca="1">INDIRECT($B28&amp;"!"&amp;K$19&amp;$O28)</f>
        <v>721.71</v>
      </c>
      <c r="L28" s="4" cm="1">
        <f t="array" aca="1" ref="L28" ca="1">INDIRECT($B28&amp;"!"&amp;L$19&amp;$O28)</f>
        <v>796.97</v>
      </c>
      <c r="M28" s="4" cm="1">
        <f t="array" aca="1" ref="M28" ca="1">INDIRECT($B28&amp;"!"&amp;M$19&amp;$O28)</f>
        <v>786.58</v>
      </c>
      <c r="N28" s="4" cm="1">
        <f t="array" aca="1" ref="N28" ca="1">INDIRECT($B28&amp;"!"&amp;N$19&amp;$O28)</f>
        <v>407.5</v>
      </c>
      <c r="O28" s="198">
        <v>73</v>
      </c>
      <c r="P28" s="13"/>
      <c r="Q28" s="23"/>
      <c r="R28" s="31">
        <f t="shared" ca="1" si="4"/>
        <v>-0.48193445040555316</v>
      </c>
      <c r="S28" s="31">
        <f t="shared" ca="1" si="5"/>
        <v>-0.17347696190361905</v>
      </c>
      <c r="T28" s="31">
        <f t="shared" ca="1" si="6"/>
        <v>-2.4454146949658782</v>
      </c>
      <c r="U28" s="31" t="str">
        <f t="shared" ca="1" si="7"/>
        <v/>
      </c>
      <c r="V28" s="24"/>
      <c r="W28" s="13"/>
      <c r="X28" s="32"/>
      <c r="Y28" s="13"/>
      <c r="Z28" s="13"/>
      <c r="AA28" s="13"/>
      <c r="AB28" s="13"/>
      <c r="AC28" s="13"/>
    </row>
    <row r="29" spans="1:31" s="14" customFormat="1" ht="20.100000000000001" customHeight="1" x14ac:dyDescent="0.25">
      <c r="A29" s="13"/>
      <c r="B29" s="246" t="s">
        <v>355</v>
      </c>
      <c r="C29" s="15"/>
      <c r="D29" s="200" t="s">
        <v>379</v>
      </c>
      <c r="E29" s="201" cm="1">
        <f t="array" aca="1" ref="E29" ca="1">INDIRECT($B29&amp;"!"&amp;E$19&amp;4)+INDIRECT($B29&amp;"!"&amp;E$19&amp;5)*0.9+INDIRECT($B29&amp;"!"&amp;E$19&amp;6)*0.9+INDIRECT($B29&amp;"!"&amp;E$19&amp;11)*0.8+INDIRECT($B29&amp;"!"&amp;E$19&amp;12)*0.67+INDIRECT($B29&amp;"!"&amp;E$19&amp;13)*0.2+INDIRECT($B29&amp;"!"&amp;E$19&amp;23)*0.15-INDIRECT($B29&amp;"!"&amp;E$19&amp;55)-INDIRECT($B29&amp;"!"&amp;E$19&amp;60)</f>
        <v>0</v>
      </c>
      <c r="F29" s="201" cm="1">
        <f t="array" aca="1" ref="F29" ca="1">INDIRECT($B29&amp;"!"&amp;F$19&amp;4)+INDIRECT($B29&amp;"!"&amp;F$19&amp;5)*0.9+INDIRECT($B29&amp;"!"&amp;F$19&amp;6)*0.9+INDIRECT($B29&amp;"!"&amp;F$19&amp;11)*0.8+INDIRECT($B29&amp;"!"&amp;F$19&amp;12)*0.67+INDIRECT($B29&amp;"!"&amp;F$19&amp;13)*0.2+INDIRECT($B29&amp;"!"&amp;F$19&amp;23)*0.15-INDIRECT($B29&amp;"!"&amp;F$19&amp;55)-INDIRECT($B29&amp;"!"&amp;F$19&amp;60)</f>
        <v>0</v>
      </c>
      <c r="G29" s="201" cm="1">
        <f t="array" aca="1" ref="G29" ca="1">INDIRECT($B29&amp;"!"&amp;G$19&amp;4)+INDIRECT($B29&amp;"!"&amp;G$19&amp;5)*0.9+INDIRECT($B29&amp;"!"&amp;G$19&amp;6)*0.9+INDIRECT($B29&amp;"!"&amp;G$19&amp;11)*0.8+INDIRECT($B29&amp;"!"&amp;G$19&amp;12)*0.67+INDIRECT($B29&amp;"!"&amp;G$19&amp;13)*0.2+INDIRECT($B29&amp;"!"&amp;G$19&amp;23)*0.15-INDIRECT($B29&amp;"!"&amp;G$19&amp;55)-INDIRECT($B29&amp;"!"&amp;G$19&amp;60)</f>
        <v>0</v>
      </c>
      <c r="H29" s="201" cm="1">
        <f t="array" aca="1" ref="H29" ca="1">INDIRECT($B29&amp;"!"&amp;H$19&amp;4)+INDIRECT($B29&amp;"!"&amp;H$19&amp;5)*0.9+INDIRECT($B29&amp;"!"&amp;H$19&amp;6)*0.9+INDIRECT($B29&amp;"!"&amp;H$19&amp;11)*0.8+INDIRECT($B29&amp;"!"&amp;H$19&amp;12)*0.67+INDIRECT($B29&amp;"!"&amp;H$19&amp;13)*0.2+INDIRECT($B29&amp;"!"&amp;H$19&amp;23)*0.15-INDIRECT($B29&amp;"!"&amp;H$19&amp;55)-INDIRECT($B29&amp;"!"&amp;H$19&amp;60)</f>
        <v>0</v>
      </c>
      <c r="I29" s="201" cm="1">
        <f t="array" aca="1" ref="I29" ca="1">INDIRECT($B29&amp;"!"&amp;I$19&amp;4)+INDIRECT($B29&amp;"!"&amp;I$19&amp;5)*0.9+INDIRECT($B29&amp;"!"&amp;I$19&amp;6)*0.9+INDIRECT($B29&amp;"!"&amp;I$19&amp;11)*0.8+INDIRECT($B29&amp;"!"&amp;I$19&amp;12)*0.67+INDIRECT($B29&amp;"!"&amp;I$19&amp;13)*0.2+INDIRECT($B29&amp;"!"&amp;I$19&amp;23)*0.15-INDIRECT($B29&amp;"!"&amp;I$19&amp;55)-INDIRECT($B29&amp;"!"&amp;I$19&amp;60)</f>
        <v>-133.9325</v>
      </c>
      <c r="J29" s="201" cm="1">
        <f t="array" aca="1" ref="J29" ca="1">INDIRECT($B29&amp;"!"&amp;J$19&amp;4)+INDIRECT($B29&amp;"!"&amp;J$19&amp;5)*0.9+INDIRECT($B29&amp;"!"&amp;J$19&amp;6)*0.9+INDIRECT($B29&amp;"!"&amp;J$19&amp;11)*0.8+INDIRECT($B29&amp;"!"&amp;J$19&amp;12)*0.67+INDIRECT($B29&amp;"!"&amp;J$19&amp;13)*0.2+INDIRECT($B29&amp;"!"&amp;J$19&amp;23)*0.15-INDIRECT($B29&amp;"!"&amp;J$19&amp;55)-INDIRECT($B29&amp;"!"&amp;J$19&amp;60)</f>
        <v>-228.94599999999997</v>
      </c>
      <c r="K29" s="201" cm="1">
        <f t="array" aca="1" ref="K29" ca="1">INDIRECT($B29&amp;"!"&amp;K$19&amp;4)+INDIRECT($B29&amp;"!"&amp;K$19&amp;5)*0.9+INDIRECT($B29&amp;"!"&amp;K$19&amp;6)*0.9+INDIRECT($B29&amp;"!"&amp;K$19&amp;11)*0.8+INDIRECT($B29&amp;"!"&amp;K$19&amp;12)*0.67+INDIRECT($B29&amp;"!"&amp;K$19&amp;13)*0.2+INDIRECT($B29&amp;"!"&amp;K$19&amp;23)*0.15-INDIRECT($B29&amp;"!"&amp;K$19&amp;55)-INDIRECT($B29&amp;"!"&amp;K$19&amp;60)</f>
        <v>530.76700000000005</v>
      </c>
      <c r="L29" s="201" cm="1">
        <f t="array" aca="1" ref="L29" ca="1">INDIRECT($B29&amp;"!"&amp;L$19&amp;4)+INDIRECT($B29&amp;"!"&amp;L$19&amp;5)*0.9+INDIRECT($B29&amp;"!"&amp;L$19&amp;6)*0.9+INDIRECT($B29&amp;"!"&amp;L$19&amp;11)*0.8+INDIRECT($B29&amp;"!"&amp;L$19&amp;12)*0.67+INDIRECT($B29&amp;"!"&amp;L$19&amp;13)*0.2+INDIRECT($B29&amp;"!"&amp;L$19&amp;23)*0.15-INDIRECT($B29&amp;"!"&amp;L$19&amp;55)-INDIRECT($B29&amp;"!"&amp;L$19&amp;60)</f>
        <v>460.30949999999984</v>
      </c>
      <c r="M29" s="201" cm="1">
        <f t="array" aca="1" ref="M29" ca="1">INDIRECT($B29&amp;"!"&amp;M$19&amp;4)+INDIRECT($B29&amp;"!"&amp;M$19&amp;5)*0.9+INDIRECT($B29&amp;"!"&amp;M$19&amp;6)*0.9+INDIRECT($B29&amp;"!"&amp;M$19&amp;11)*0.8+INDIRECT($B29&amp;"!"&amp;M$19&amp;12)*0.67+INDIRECT($B29&amp;"!"&amp;M$19&amp;13)*0.2+INDIRECT($B29&amp;"!"&amp;M$19&amp;23)*0.15-INDIRECT($B29&amp;"!"&amp;M$19&amp;55)-INDIRECT($B29&amp;"!"&amp;M$19&amp;60)</f>
        <v>244.55799999999977</v>
      </c>
      <c r="N29" s="201" cm="1">
        <f t="array" aca="1" ref="N29" ca="1">INDIRECT($B29&amp;"!"&amp;N$19&amp;4)+INDIRECT($B29&amp;"!"&amp;N$19&amp;5)*0.9+INDIRECT($B29&amp;"!"&amp;N$19&amp;6)*0.9+INDIRECT($B29&amp;"!"&amp;N$19&amp;11)*0.8+INDIRECT($B29&amp;"!"&amp;N$19&amp;12)*0.67+INDIRECT($B29&amp;"!"&amp;N$19&amp;13)*0.2+INDIRECT($B29&amp;"!"&amp;N$19&amp;23)*0.15-INDIRECT($B29&amp;"!"&amp;N$19&amp;55)-INDIRECT($B29&amp;"!"&amp;N$19&amp;60)</f>
        <v>-236.55949999999984</v>
      </c>
      <c r="O29" s="221" t="s">
        <v>380</v>
      </c>
      <c r="P29" s="13"/>
      <c r="Q29" s="23"/>
      <c r="R29" s="31">
        <f t="shared" ca="1" si="4"/>
        <v>-1.9672940570335058</v>
      </c>
      <c r="S29" s="31">
        <f t="shared" ca="1" si="5"/>
        <v>-1.7638571711104456</v>
      </c>
      <c r="T29" s="31">
        <f t="shared" ca="1" si="6"/>
        <v>0.12049747863731342</v>
      </c>
      <c r="U29" s="31" t="str">
        <f t="shared" ca="1" si="7"/>
        <v/>
      </c>
      <c r="V29" s="24"/>
      <c r="W29" s="13"/>
      <c r="X29" s="32"/>
      <c r="Y29" s="13"/>
      <c r="Z29" s="13"/>
      <c r="AA29" s="13"/>
      <c r="AB29" s="13"/>
      <c r="AC29" s="13"/>
    </row>
    <row r="30" spans="1:31" s="14" customFormat="1" ht="20.100000000000001" customHeight="1" x14ac:dyDescent="0.25">
      <c r="A30" s="13"/>
      <c r="B30" s="246"/>
      <c r="C30" s="15"/>
      <c r="D30" s="9" t="s">
        <v>15</v>
      </c>
      <c r="E30" s="10" t="e">
        <f t="shared" ref="E30:N30" ca="1" si="8">E21/E$38</f>
        <v>#DIV/0!</v>
      </c>
      <c r="F30" s="10" t="e">
        <f t="shared" ca="1" si="8"/>
        <v>#DIV/0!</v>
      </c>
      <c r="G30" s="10" t="e">
        <f t="shared" ca="1" si="8"/>
        <v>#DIV/0!</v>
      </c>
      <c r="H30" s="10" t="e">
        <f t="shared" ca="1" si="8"/>
        <v>#DIV/0!</v>
      </c>
      <c r="I30" s="10">
        <f t="shared" ca="1" si="8"/>
        <v>1.7488010369410236</v>
      </c>
      <c r="J30" s="10">
        <f t="shared" ca="1" si="8"/>
        <v>2.3792294393677449</v>
      </c>
      <c r="K30" s="10">
        <f t="shared" ca="1" si="8"/>
        <v>1.9617251042307429</v>
      </c>
      <c r="L30" s="10">
        <f t="shared" ca="1" si="8"/>
        <v>1.4379691096507323</v>
      </c>
      <c r="M30" s="10">
        <f t="shared" ca="1" si="8"/>
        <v>2.1017866290983607</v>
      </c>
      <c r="N30" s="10">
        <f t="shared" ca="1" si="8"/>
        <v>2.7579888957433685</v>
      </c>
      <c r="O30" s="203"/>
      <c r="P30" s="13"/>
      <c r="Q30" s="23"/>
      <c r="R30" s="31">
        <f t="shared" ca="1" si="4"/>
        <v>0.31221164772872778</v>
      </c>
      <c r="S30" s="31">
        <f t="shared" ca="1" si="5"/>
        <v>0.12025817328382993</v>
      </c>
      <c r="T30" s="31">
        <f t="shared" ca="1" si="6"/>
        <v>9.5394162616330824E-2</v>
      </c>
      <c r="U30" s="31" t="str">
        <f t="shared" ca="1" si="7"/>
        <v/>
      </c>
      <c r="V30" s="24"/>
      <c r="W30" s="13"/>
      <c r="X30" s="32"/>
      <c r="Y30" s="13"/>
      <c r="Z30" s="13"/>
      <c r="AA30" s="13"/>
      <c r="AB30" s="13"/>
      <c r="AC30" s="13"/>
    </row>
    <row r="31" spans="1:31" s="14" customFormat="1" ht="20.100000000000001" customHeight="1" x14ac:dyDescent="0.25">
      <c r="A31" s="13"/>
      <c r="B31" s="246"/>
      <c r="C31" s="15"/>
      <c r="D31" s="3" t="s">
        <v>16</v>
      </c>
      <c r="E31" s="10" t="e">
        <f t="shared" ref="E31:N31" ca="1" si="9">E24/E$38</f>
        <v>#DIV/0!</v>
      </c>
      <c r="F31" s="10" t="e">
        <f t="shared" ca="1" si="9"/>
        <v>#DIV/0!</v>
      </c>
      <c r="G31" s="10" t="e">
        <f t="shared" ca="1" si="9"/>
        <v>#DIV/0!</v>
      </c>
      <c r="H31" s="10" t="e">
        <f t="shared" ca="1" si="9"/>
        <v>#DIV/0!</v>
      </c>
      <c r="I31" s="10">
        <f t="shared" ca="1" si="9"/>
        <v>-0.12611795204147763</v>
      </c>
      <c r="J31" s="10">
        <f t="shared" ca="1" si="9"/>
        <v>-1.0484070140775501</v>
      </c>
      <c r="K31" s="10">
        <f t="shared" ca="1" si="9"/>
        <v>-0.73781696398058916</v>
      </c>
      <c r="L31" s="10">
        <f t="shared" ca="1" si="9"/>
        <v>-0.33522367148146914</v>
      </c>
      <c r="M31" s="10">
        <f t="shared" ca="1" si="9"/>
        <v>-0.40759477459016391</v>
      </c>
      <c r="N31" s="10">
        <f t="shared" ca="1" si="9"/>
        <v>-0.58975940777297964</v>
      </c>
      <c r="O31" s="203"/>
      <c r="P31" s="13"/>
      <c r="Q31" s="23"/>
      <c r="R31" s="31">
        <f t="shared" ca="1" si="4"/>
        <v>0.44692583060217594</v>
      </c>
      <c r="S31" s="31">
        <f t="shared" ca="1" si="5"/>
        <v>-7.1941369789033094E-2</v>
      </c>
      <c r="T31" s="31">
        <f t="shared" ca="1" si="6"/>
        <v>0.36138071284748641</v>
      </c>
      <c r="U31" s="31" t="str">
        <f t="shared" ca="1" si="7"/>
        <v/>
      </c>
      <c r="V31" s="24"/>
      <c r="W31" s="13"/>
      <c r="X31" s="32"/>
      <c r="Y31" s="13"/>
      <c r="Z31" s="13"/>
      <c r="AA31" s="13"/>
      <c r="AB31" s="13"/>
      <c r="AC31" s="13"/>
    </row>
    <row r="32" spans="1:31" s="14" customFormat="1" ht="20.100000000000001" customHeight="1" x14ac:dyDescent="0.25">
      <c r="A32" s="13"/>
      <c r="B32" s="246"/>
      <c r="C32" s="15"/>
      <c r="D32" s="3" t="s">
        <v>6</v>
      </c>
      <c r="E32" s="10" t="e">
        <f t="shared" ref="E32:N32" ca="1" si="10">E25/E$38</f>
        <v>#DIV/0!</v>
      </c>
      <c r="F32" s="10" t="e">
        <f t="shared" ca="1" si="10"/>
        <v>#DIV/0!</v>
      </c>
      <c r="G32" s="10" t="e">
        <f t="shared" ca="1" si="10"/>
        <v>#DIV/0!</v>
      </c>
      <c r="H32" s="10" t="e">
        <f t="shared" ca="1" si="10"/>
        <v>#DIV/0!</v>
      </c>
      <c r="I32" s="10">
        <f t="shared" ca="1" si="10"/>
        <v>-0.1393389500972132</v>
      </c>
      <c r="J32" s="10">
        <f t="shared" ca="1" si="10"/>
        <v>-1.0763151395406272</v>
      </c>
      <c r="K32" s="10">
        <f t="shared" ca="1" si="10"/>
        <v>-0.72332718201079893</v>
      </c>
      <c r="L32" s="10">
        <f t="shared" ca="1" si="10"/>
        <v>-0.39820529072288757</v>
      </c>
      <c r="M32" s="10">
        <f t="shared" ca="1" si="10"/>
        <v>-0.83347207991803285</v>
      </c>
      <c r="N32" s="10">
        <f t="shared" ca="1" si="10"/>
        <v>-0.69392350400987046</v>
      </c>
      <c r="O32" s="203"/>
      <c r="P32" s="13"/>
      <c r="Q32" s="23"/>
      <c r="R32" s="31">
        <f t="shared" ca="1" si="4"/>
        <v>-0.16743041461195218</v>
      </c>
      <c r="S32" s="31">
        <f t="shared" ca="1" si="5"/>
        <v>-1.3738067476311899E-2</v>
      </c>
      <c r="T32" s="31">
        <f t="shared" ca="1" si="6"/>
        <v>0.37863027923243808</v>
      </c>
      <c r="U32" s="31" t="str">
        <f t="shared" ca="1" si="7"/>
        <v/>
      </c>
      <c r="V32" s="24"/>
      <c r="W32" s="13"/>
      <c r="X32" s="32"/>
      <c r="Y32" s="13"/>
      <c r="Z32" s="13"/>
      <c r="AA32" s="13"/>
      <c r="AB32" s="13"/>
      <c r="AC32" s="13"/>
    </row>
    <row r="33" spans="1:29" s="14" customFormat="1" ht="20.100000000000001" customHeight="1" x14ac:dyDescent="0.25">
      <c r="A33" s="13"/>
      <c r="B33" s="246"/>
      <c r="C33" s="15"/>
      <c r="D33" s="3" t="s">
        <v>12</v>
      </c>
      <c r="E33" s="10" t="e">
        <f t="shared" ref="E33:N33" ca="1" si="11">E26/E$38</f>
        <v>#DIV/0!</v>
      </c>
      <c r="F33" s="10" t="e">
        <f t="shared" ca="1" si="11"/>
        <v>#DIV/0!</v>
      </c>
      <c r="G33" s="10" t="e">
        <f t="shared" ca="1" si="11"/>
        <v>#DIV/0!</v>
      </c>
      <c r="H33" s="10" t="e">
        <f t="shared" ca="1" si="11"/>
        <v>#DIV/0!</v>
      </c>
      <c r="I33" s="10">
        <f t="shared" ca="1" si="11"/>
        <v>-0.20557355800388852</v>
      </c>
      <c r="J33" s="10">
        <f t="shared" ca="1" si="11"/>
        <v>-0.84897505556927633</v>
      </c>
      <c r="K33" s="10">
        <f t="shared" ca="1" si="11"/>
        <v>-0.56188913949832542</v>
      </c>
      <c r="L33" s="10">
        <f t="shared" ca="1" si="11"/>
        <v>-0.24518797744937787</v>
      </c>
      <c r="M33" s="10">
        <f t="shared" ca="1" si="11"/>
        <v>-9.0740266393442626E-2</v>
      </c>
      <c r="N33" s="10">
        <f t="shared" ca="1" si="11"/>
        <v>-0.14099321406539175</v>
      </c>
      <c r="O33" s="203"/>
      <c r="P33" s="13"/>
      <c r="Q33" s="23"/>
      <c r="R33" s="31">
        <f t="shared" ca="1" si="4"/>
        <v>0.55381088979898196</v>
      </c>
      <c r="S33" s="31">
        <f t="shared" ca="1" si="5"/>
        <v>-0.36926171782777784</v>
      </c>
      <c r="T33" s="31">
        <f t="shared" ca="1" si="6"/>
        <v>-7.2644628981204162E-2</v>
      </c>
      <c r="U33" s="31" t="str">
        <f t="shared" ca="1" si="7"/>
        <v/>
      </c>
      <c r="V33" s="24"/>
      <c r="W33" s="13"/>
      <c r="X33" s="32"/>
      <c r="Y33" s="13"/>
      <c r="Z33" s="13"/>
      <c r="AA33" s="13"/>
      <c r="AB33" s="13"/>
      <c r="AC33" s="13"/>
    </row>
    <row r="34" spans="1:29" s="14" customFormat="1" ht="20.100000000000001" customHeight="1" x14ac:dyDescent="0.25">
      <c r="A34" s="13"/>
      <c r="B34" s="246"/>
      <c r="C34" s="15"/>
      <c r="D34" s="3" t="s">
        <v>356</v>
      </c>
      <c r="E34" s="10" t="e">
        <f t="shared" ref="E34:N34" ca="1" si="12">E27/E$38</f>
        <v>#DIV/0!</v>
      </c>
      <c r="F34" s="10" t="e">
        <f t="shared" ca="1" si="12"/>
        <v>#DIV/0!</v>
      </c>
      <c r="G34" s="10" t="e">
        <f t="shared" ca="1" si="12"/>
        <v>#DIV/0!</v>
      </c>
      <c r="H34" s="10" t="e">
        <f t="shared" ca="1" si="12"/>
        <v>#DIV/0!</v>
      </c>
      <c r="I34" s="10">
        <f t="shared" ca="1" si="12"/>
        <v>1.5775761503564483</v>
      </c>
      <c r="J34" s="10">
        <f t="shared" ca="1" si="12"/>
        <v>2.6922696962212891</v>
      </c>
      <c r="K34" s="10">
        <f t="shared" ca="1" si="12"/>
        <v>4.9609049278928303</v>
      </c>
      <c r="L34" s="10">
        <f t="shared" ca="1" si="12"/>
        <v>2.7252226707142144</v>
      </c>
      <c r="M34" s="10">
        <f t="shared" ca="1" si="12"/>
        <v>2.5978483606557377</v>
      </c>
      <c r="N34" s="10">
        <f t="shared" ca="1" si="12"/>
        <v>1.8321714990746454</v>
      </c>
      <c r="O34" s="203"/>
      <c r="P34" s="13"/>
      <c r="Q34" s="23"/>
      <c r="R34" s="31">
        <f t="shared" ca="1" si="4"/>
        <v>-0.29473500962458921</v>
      </c>
      <c r="S34" s="31">
        <f t="shared" ca="1" si="5"/>
        <v>-0.28253331521202851</v>
      </c>
      <c r="T34" s="31">
        <f t="shared" ca="1" si="6"/>
        <v>3.0374633097737913E-2</v>
      </c>
      <c r="U34" s="31" t="str">
        <f t="shared" ca="1" si="7"/>
        <v/>
      </c>
      <c r="V34" s="24"/>
      <c r="W34" s="13"/>
      <c r="X34" s="32"/>
      <c r="Y34" s="13"/>
      <c r="Z34" s="13"/>
      <c r="AA34" s="13"/>
      <c r="AB34" s="13"/>
      <c r="AC34" s="13"/>
    </row>
    <row r="35" spans="1:29" s="14" customFormat="1" ht="20.100000000000001" customHeight="1" x14ac:dyDescent="0.25">
      <c r="A35" s="13"/>
      <c r="B35" s="246"/>
      <c r="C35" s="15"/>
      <c r="D35" s="3" t="s">
        <v>357</v>
      </c>
      <c r="E35" s="10" t="e">
        <f t="shared" ref="E35:N35" ca="1" si="13">E28/E$38</f>
        <v>#DIV/0!</v>
      </c>
      <c r="F35" s="10" t="e">
        <f t="shared" ca="1" si="13"/>
        <v>#DIV/0!</v>
      </c>
      <c r="G35" s="10" t="e">
        <f t="shared" ca="1" si="13"/>
        <v>#DIV/0!</v>
      </c>
      <c r="H35" s="10" t="e">
        <f t="shared" ca="1" si="13"/>
        <v>#DIV/0!</v>
      </c>
      <c r="I35" s="10">
        <f t="shared" ca="1" si="13"/>
        <v>-0.83720025923525598</v>
      </c>
      <c r="J35" s="10">
        <f t="shared" ca="1" si="13"/>
        <v>-1.4539392442578414</v>
      </c>
      <c r="K35" s="10">
        <f t="shared" ca="1" si="13"/>
        <v>4.9327455402911626</v>
      </c>
      <c r="L35" s="10">
        <f t="shared" ca="1" si="13"/>
        <v>2.6586049304466761</v>
      </c>
      <c r="M35" s="10">
        <f t="shared" ca="1" si="13"/>
        <v>2.5185066598360657</v>
      </c>
      <c r="N35" s="10">
        <f t="shared" ca="1" si="13"/>
        <v>1.256940160394818</v>
      </c>
      <c r="O35" s="203"/>
      <c r="P35" s="13"/>
      <c r="Q35" s="23"/>
      <c r="R35" s="31">
        <f t="shared" ca="1" si="4"/>
        <v>-0.50091846869420842</v>
      </c>
      <c r="S35" s="31">
        <f t="shared" ca="1" si="5"/>
        <v>-0.3660203808177882</v>
      </c>
      <c r="T35" s="31">
        <f t="shared" ca="1" si="6"/>
        <v>-2.0846685543138062</v>
      </c>
      <c r="U35" s="31" t="str">
        <f t="shared" ca="1" si="7"/>
        <v/>
      </c>
      <c r="V35" s="24"/>
      <c r="W35" s="13"/>
      <c r="X35" s="32"/>
      <c r="Y35" s="13"/>
      <c r="Z35" s="13"/>
      <c r="AA35" s="13"/>
      <c r="AB35" s="13"/>
      <c r="AC35" s="13"/>
    </row>
    <row r="36" spans="1:29" s="14" customFormat="1" ht="20.100000000000001" customHeight="1" x14ac:dyDescent="0.25">
      <c r="B36" s="13"/>
      <c r="C36" s="15"/>
      <c r="D36" s="200" t="s">
        <v>381</v>
      </c>
      <c r="E36" s="206" t="e">
        <f t="shared" ref="E36:N36" ca="1" si="14">E29/E$38</f>
        <v>#DIV/0!</v>
      </c>
      <c r="F36" s="206" t="e">
        <f t="shared" ca="1" si="14"/>
        <v>#DIV/0!</v>
      </c>
      <c r="G36" s="206" t="e">
        <f t="shared" ca="1" si="14"/>
        <v>#DIV/0!</v>
      </c>
      <c r="H36" s="206" t="e">
        <f t="shared" ca="1" si="14"/>
        <v>#DIV/0!</v>
      </c>
      <c r="I36" s="206">
        <f t="shared" ca="1" si="14"/>
        <v>-1.7360012961762799</v>
      </c>
      <c r="J36" s="206">
        <f t="shared" ca="1" si="14"/>
        <v>-2.8271918992343785</v>
      </c>
      <c r="K36" s="206">
        <f t="shared" ca="1" si="14"/>
        <v>3.6276877862073684</v>
      </c>
      <c r="L36" s="206">
        <f t="shared" ca="1" si="14"/>
        <v>1.5355422490576105</v>
      </c>
      <c r="M36" s="206">
        <f t="shared" ca="1" si="14"/>
        <v>0.78303662909835992</v>
      </c>
      <c r="N36" s="206">
        <f t="shared" ca="1" si="14"/>
        <v>-0.72967149907464479</v>
      </c>
      <c r="O36" s="203"/>
      <c r="P36" s="13"/>
      <c r="Q36" s="23"/>
      <c r="R36" s="31">
        <f t="shared" ca="1" si="4"/>
        <v>-1.9318484882563371</v>
      </c>
      <c r="S36" s="31">
        <f t="shared" ca="1" si="5"/>
        <v>-1.5859121356926185</v>
      </c>
      <c r="T36" s="31">
        <f t="shared" ca="1" si="6"/>
        <v>-0.15915592632431941</v>
      </c>
      <c r="U36" s="31" t="str">
        <f t="shared" ca="1" si="7"/>
        <v/>
      </c>
      <c r="V36" s="24"/>
      <c r="W36" s="13"/>
      <c r="X36" s="32"/>
      <c r="Y36" s="13"/>
      <c r="Z36" s="13"/>
      <c r="AA36" s="13"/>
      <c r="AB36" s="13"/>
      <c r="AC36" s="13"/>
    </row>
    <row r="37" spans="1:29" s="14" customFormat="1" ht="20.100000000000001" customHeight="1" x14ac:dyDescent="0.25">
      <c r="A37" s="13"/>
      <c r="B37" s="246"/>
      <c r="C37" s="15"/>
      <c r="D37" s="9"/>
      <c r="E37" s="10"/>
      <c r="F37" s="10"/>
      <c r="G37" s="10"/>
      <c r="H37" s="10"/>
      <c r="I37" s="10"/>
      <c r="J37" s="10"/>
      <c r="K37" s="10"/>
      <c r="L37" s="10"/>
      <c r="M37" s="10"/>
      <c r="N37" s="10"/>
      <c r="O37" s="203"/>
      <c r="P37" s="13"/>
      <c r="Q37" s="23"/>
      <c r="R37" s="31" t="str">
        <f t="shared" si="4"/>
        <v/>
      </c>
      <c r="S37" s="31" t="str">
        <f t="shared" si="5"/>
        <v/>
      </c>
      <c r="T37" s="31" t="str">
        <f t="shared" si="6"/>
        <v/>
      </c>
      <c r="U37" s="31" t="str">
        <f t="shared" si="7"/>
        <v/>
      </c>
      <c r="V37" s="24"/>
      <c r="W37" s="13"/>
      <c r="X37" s="32"/>
      <c r="Y37" s="13"/>
      <c r="Z37" s="13"/>
      <c r="AA37" s="13"/>
      <c r="AB37" s="13"/>
      <c r="AC37" s="13"/>
    </row>
    <row r="38" spans="1:29" s="14" customFormat="1" ht="20.100000000000001" customHeight="1" x14ac:dyDescent="0.25">
      <c r="A38" s="13"/>
      <c r="B38" s="246" t="s">
        <v>351</v>
      </c>
      <c r="C38" s="15"/>
      <c r="D38" s="3" t="s">
        <v>28</v>
      </c>
      <c r="E38" s="249" cm="1">
        <f t="array" aca="1" ref="E38" ca="1">INDIRECT($B38&amp;"!"&amp;E$19&amp;$O38)</f>
        <v>0</v>
      </c>
      <c r="F38" s="249" cm="1">
        <f t="array" aca="1" ref="F38" ca="1">INDIRECT($B38&amp;"!"&amp;F$19&amp;$O38)</f>
        <v>0</v>
      </c>
      <c r="G38" s="249" cm="1">
        <f t="array" aca="1" ref="G38" ca="1">INDIRECT($B38&amp;"!"&amp;G$19&amp;$O38)</f>
        <v>0</v>
      </c>
      <c r="H38" s="249" cm="1">
        <f t="array" aca="1" ref="H38" ca="1">INDIRECT($B38&amp;"!"&amp;H$19&amp;$O38)</f>
        <v>0</v>
      </c>
      <c r="I38" s="249" cm="1">
        <f t="array" aca="1" ref="I38" ca="1">INDIRECT($B38&amp;"!"&amp;I$19&amp;$O38)</f>
        <v>77.150000000000006</v>
      </c>
      <c r="J38" s="249" cm="1">
        <f t="array" aca="1" ref="J38" ca="1">INDIRECT($B38&amp;"!"&amp;J$19&amp;$O38)</f>
        <v>80.98</v>
      </c>
      <c r="K38" s="249" cm="1">
        <f t="array" aca="1" ref="K38" ca="1">INDIRECT($B38&amp;"!"&amp;K$19&amp;$O38)</f>
        <v>146.31</v>
      </c>
      <c r="L38" s="249" cm="1">
        <f t="array" aca="1" ref="L38" ca="1">INDIRECT($B38&amp;"!"&amp;L$19&amp;$O38)</f>
        <v>299.77</v>
      </c>
      <c r="M38" s="249" cm="1">
        <f t="array" aca="1" ref="M38" ca="1">INDIRECT($B38&amp;"!"&amp;M$19&amp;$O38)</f>
        <v>312.32</v>
      </c>
      <c r="N38" s="249" cm="1">
        <f t="array" aca="1" ref="N38" ca="1">INDIRECT($B38&amp;"!"&amp;N$19&amp;$O38)</f>
        <v>324.2</v>
      </c>
      <c r="O38" s="198">
        <v>65</v>
      </c>
      <c r="P38" s="13"/>
      <c r="Q38" s="23"/>
      <c r="R38" s="31">
        <f t="shared" ca="1" si="4"/>
        <v>3.8037909836065475E-2</v>
      </c>
      <c r="S38" s="31">
        <f t="shared" ca="1" si="5"/>
        <v>0.30370600739900189</v>
      </c>
      <c r="T38" s="31">
        <f t="shared" ca="1" si="6"/>
        <v>0.33258652075544881</v>
      </c>
      <c r="U38" s="31" t="str">
        <f t="shared" ca="1" si="7"/>
        <v/>
      </c>
      <c r="V38" s="24"/>
      <c r="W38" s="13"/>
      <c r="X38" s="34"/>
      <c r="Y38" s="13"/>
      <c r="Z38" s="13"/>
      <c r="AA38" s="13"/>
      <c r="AB38" s="13"/>
      <c r="AC38" s="13"/>
    </row>
    <row r="39" spans="1:29" ht="20.100000000000001" customHeight="1" x14ac:dyDescent="0.25">
      <c r="B39" s="246" t="s">
        <v>351</v>
      </c>
      <c r="C39" s="15"/>
      <c r="D39" s="3" t="s">
        <v>17</v>
      </c>
      <c r="E39" s="4" cm="1">
        <f t="array" aca="1" ref="E39" ca="1">INDIRECT($B39&amp;"!"&amp;E$19&amp;$O39)</f>
        <v>0</v>
      </c>
      <c r="F39" s="4" cm="1">
        <f t="array" aca="1" ref="F39" ca="1">INDIRECT($B39&amp;"!"&amp;F$19&amp;$O39)</f>
        <v>0</v>
      </c>
      <c r="G39" s="4" cm="1">
        <f t="array" aca="1" ref="G39" ca="1">INDIRECT($B39&amp;"!"&amp;G$19&amp;$O39)</f>
        <v>0</v>
      </c>
      <c r="H39" s="4" cm="1">
        <f t="array" aca="1" ref="H39" ca="1">INDIRECT($B39&amp;"!"&amp;H$19&amp;$O39)</f>
        <v>0</v>
      </c>
      <c r="I39" s="4" cm="1">
        <f t="array" aca="1" ref="I39" ca="1">INDIRECT($B39&amp;"!"&amp;I$19&amp;$O39)</f>
        <v>0</v>
      </c>
      <c r="J39" s="4" cm="1">
        <f t="array" aca="1" ref="J39" ca="1">INDIRECT($B39&amp;"!"&amp;J$19&amp;$O39)</f>
        <v>0</v>
      </c>
      <c r="K39" s="4" cm="1">
        <f t="array" aca="1" ref="K39" ca="1">INDIRECT($B39&amp;"!"&amp;K$19&amp;$O39)</f>
        <v>0</v>
      </c>
      <c r="L39" s="4" cm="1">
        <f t="array" aca="1" ref="L39" ca="1">INDIRECT($B39&amp;"!"&amp;L$19&amp;$O39)</f>
        <v>0</v>
      </c>
      <c r="M39" s="4" cm="1">
        <f t="array" aca="1" ref="M39" ca="1">INDIRECT($B39&amp;"!"&amp;M$19&amp;$O39)</f>
        <v>0</v>
      </c>
      <c r="N39" s="4" cm="1">
        <f t="array" aca="1" ref="N39" ca="1">INDIRECT($B39&amp;"!"&amp;N$19&amp;$O39)</f>
        <v>0</v>
      </c>
      <c r="O39" s="198">
        <v>69</v>
      </c>
      <c r="P39" s="6"/>
      <c r="Q39" s="25"/>
      <c r="R39" s="31" t="str">
        <f t="shared" ref="R39:R40" ca="1" si="15">IFERROR((N39/M39-1),"")</f>
        <v/>
      </c>
      <c r="S39" s="31" t="str">
        <f t="shared" ref="S39:S40" ca="1" si="16">IFERROR(((N39/K39)^(1/3) -1),"")</f>
        <v/>
      </c>
      <c r="T39" s="31" t="str">
        <f t="shared" ref="T39:T40" ca="1" si="17">IFERROR(((N39/I39)^(1/5) -1),"")</f>
        <v/>
      </c>
      <c r="U39" s="31" t="str">
        <f t="shared" ref="U39:U40" ca="1" si="18">IFERROR(((N39/E39)^(1/9) -1),"")</f>
        <v/>
      </c>
      <c r="V39" s="26"/>
      <c r="W39" s="6"/>
      <c r="X39" s="32"/>
      <c r="Y39" s="6"/>
      <c r="Z39" s="6"/>
      <c r="AA39" s="6"/>
      <c r="AB39" s="6"/>
      <c r="AC39" s="6"/>
    </row>
    <row r="40" spans="1:29" ht="20.100000000000001" customHeight="1" x14ac:dyDescent="0.25">
      <c r="B40" s="246" t="s">
        <v>351</v>
      </c>
      <c r="C40" s="15"/>
      <c r="D40" s="3" t="s">
        <v>449</v>
      </c>
      <c r="E40" s="222" t="str" cm="1">
        <f t="array" aca="1" ref="E40" ca="1">SUBSTITUTE(INDIRECT($B40&amp;"!"&amp;E$19&amp;$O40)," %","")</f>
        <v/>
      </c>
      <c r="F40" s="222" t="str" cm="1">
        <f t="array" aca="1" ref="F40" ca="1">SUBSTITUTE(INDIRECT($B40&amp;"!"&amp;F$19&amp;$O40)," %","")</f>
        <v/>
      </c>
      <c r="G40" s="222" t="str" cm="1">
        <f t="array" aca="1" ref="G40" ca="1">SUBSTITUTE(INDIRECT($B40&amp;"!"&amp;G$19&amp;$O40)," %","")</f>
        <v/>
      </c>
      <c r="H40" s="222" t="str" cm="1">
        <f t="array" aca="1" ref="H40" ca="1">SUBSTITUTE(INDIRECT($B40&amp;"!"&amp;H$19&amp;$O40)," %","")</f>
        <v/>
      </c>
      <c r="I40" s="222" t="str" cm="1">
        <f t="array" aca="1" ref="I40" ca="1">SUBSTITUTE(INDIRECT($B40&amp;"!"&amp;I$19&amp;$O40)," %","")</f>
        <v>(10.6)</v>
      </c>
      <c r="J40" s="222" t="str" cm="1">
        <f t="array" aca="1" ref="J40" ca="1">SUBSTITUTE(INDIRECT($B40&amp;"!"&amp;J$19&amp;$O40)," %","")</f>
        <v>(1.3)</v>
      </c>
      <c r="K40" s="222" t="str" cm="1">
        <f t="array" aca="1" ref="K40" ca="1">SUBSTITUTE(INDIRECT($B40&amp;"!"&amp;K$19&amp;$O40)," %","")</f>
        <v>(1.1)</v>
      </c>
      <c r="L40" s="222" t="str" cm="1">
        <f t="array" aca="1" ref="L40" ca="1">SUBSTITUTE(INDIRECT($B40&amp;"!"&amp;L$19&amp;$O40)," %","")</f>
        <v>4.5</v>
      </c>
      <c r="M40" s="222" t="str" cm="1">
        <f t="array" aca="1" ref="M40" ca="1">SUBSTITUTE(INDIRECT($B40&amp;"!"&amp;M$19&amp;$O40)," %","")</f>
        <v>(5.0)</v>
      </c>
      <c r="N40" s="222" t="str" cm="1">
        <f t="array" aca="1" ref="N40" ca="1">SUBSTITUTE(INDIRECT($B40&amp;"!"&amp;N$19&amp;$O40)," %","")</f>
        <v>(10.9)</v>
      </c>
      <c r="O40" s="198">
        <v>83</v>
      </c>
      <c r="P40" s="62"/>
      <c r="Q40" s="25"/>
      <c r="R40" s="31">
        <f t="shared" ca="1" si="15"/>
        <v>1.1800000000000002</v>
      </c>
      <c r="S40" s="31">
        <f t="shared" ca="1" si="16"/>
        <v>1.1478862159292946</v>
      </c>
      <c r="T40" s="31">
        <f t="shared" ca="1" si="17"/>
        <v>5.5973646572131663E-3</v>
      </c>
      <c r="U40" s="31" t="str">
        <f ca="1">IFERROR(((N40/E40)^(1/9) -1),"")</f>
        <v/>
      </c>
      <c r="V40" s="26"/>
      <c r="W40" s="6"/>
      <c r="X40" s="32"/>
      <c r="Y40" s="6"/>
      <c r="Z40" s="6"/>
      <c r="AA40" s="6"/>
      <c r="AB40" s="6"/>
      <c r="AC40" s="6"/>
    </row>
    <row r="41" spans="1:29" ht="20.100000000000001" customHeight="1" x14ac:dyDescent="0.25">
      <c r="B41" s="247"/>
      <c r="C41" s="16"/>
      <c r="D41" s="74"/>
      <c r="E41" s="209"/>
      <c r="F41" s="210"/>
      <c r="G41" s="210"/>
      <c r="H41" s="210"/>
      <c r="I41" s="210"/>
      <c r="J41" s="210"/>
      <c r="K41" s="210"/>
      <c r="L41" s="210"/>
      <c r="M41" s="210"/>
      <c r="N41" s="75"/>
      <c r="O41" s="5"/>
      <c r="P41" s="6"/>
      <c r="Q41" s="25"/>
      <c r="R41" s="6"/>
      <c r="S41" s="6"/>
      <c r="T41" s="6"/>
      <c r="U41" s="6"/>
      <c r="V41" s="26"/>
      <c r="W41" s="6"/>
      <c r="X41" s="6"/>
      <c r="Y41" s="6"/>
      <c r="Z41" s="6"/>
      <c r="AA41" s="6"/>
      <c r="AB41" s="6"/>
      <c r="AC41" s="6"/>
    </row>
    <row r="42" spans="1:29" ht="20.100000000000001" customHeight="1" x14ac:dyDescent="0.25">
      <c r="B42" s="247"/>
      <c r="C42" s="16"/>
      <c r="D42" s="7"/>
      <c r="E42" s="211">
        <f t="shared" ref="E42:N42" ca="1" si="19">E20</f>
        <v>0</v>
      </c>
      <c r="F42" s="211">
        <f t="shared" ca="1" si="19"/>
        <v>0</v>
      </c>
      <c r="G42" s="211">
        <f t="shared" ca="1" si="19"/>
        <v>0</v>
      </c>
      <c r="H42" s="211">
        <f t="shared" ca="1" si="19"/>
        <v>42735</v>
      </c>
      <c r="I42" s="211">
        <f t="shared" ca="1" si="19"/>
        <v>43100</v>
      </c>
      <c r="J42" s="211">
        <f t="shared" ca="1" si="19"/>
        <v>43465</v>
      </c>
      <c r="K42" s="211">
        <f t="shared" ca="1" si="19"/>
        <v>43830</v>
      </c>
      <c r="L42" s="211">
        <f t="shared" ca="1" si="19"/>
        <v>44196</v>
      </c>
      <c r="M42" s="211">
        <f t="shared" ca="1" si="19"/>
        <v>44561</v>
      </c>
      <c r="N42" s="208" t="str">
        <f t="shared" ca="1" si="19"/>
        <v>LTM</v>
      </c>
      <c r="O42" s="5"/>
      <c r="P42" s="6"/>
      <c r="Q42" s="25"/>
      <c r="R42" s="6"/>
      <c r="S42" s="6"/>
      <c r="T42" s="6"/>
      <c r="U42" s="6"/>
      <c r="V42" s="26"/>
      <c r="W42" s="6"/>
      <c r="X42" s="6"/>
      <c r="Y42" s="6"/>
      <c r="Z42" s="6"/>
      <c r="AA42" s="6"/>
      <c r="AB42" s="6"/>
      <c r="AC42" s="6"/>
    </row>
    <row r="43" spans="1:29" ht="20.100000000000001" customHeight="1" x14ac:dyDescent="0.25">
      <c r="B43" s="247"/>
      <c r="C43" s="16"/>
      <c r="D43" s="1" t="s">
        <v>29</v>
      </c>
      <c r="E43" s="2">
        <v>100</v>
      </c>
      <c r="F43" s="2">
        <v>100</v>
      </c>
      <c r="G43" s="2">
        <v>100</v>
      </c>
      <c r="H43" s="2">
        <v>100</v>
      </c>
      <c r="I43" s="2">
        <v>100</v>
      </c>
      <c r="J43" s="2">
        <v>100</v>
      </c>
      <c r="K43" s="2">
        <v>100</v>
      </c>
      <c r="L43" s="2">
        <v>100</v>
      </c>
      <c r="M43" s="2">
        <v>100</v>
      </c>
      <c r="N43" s="2">
        <v>100</v>
      </c>
      <c r="O43" s="5"/>
      <c r="P43" s="6"/>
      <c r="Q43" s="25"/>
      <c r="R43" s="31">
        <f t="shared" ref="R43:R53" si="20">IFERROR((N43/M43-1),"")</f>
        <v>0</v>
      </c>
      <c r="S43" s="31">
        <f t="shared" ref="S43:S53" si="21">IFERROR(((N43/K43)^(1/3) -1),"")</f>
        <v>0</v>
      </c>
      <c r="T43" s="31">
        <f t="shared" ref="T43:T53" si="22">IFERROR(((N43/I43)^(1/5) -1),"")</f>
        <v>0</v>
      </c>
      <c r="U43" s="31">
        <f t="shared" ref="U43:U53" si="23">IFERROR(((N43/E43)^(1/9) -1),"")</f>
        <v>0</v>
      </c>
      <c r="V43" s="26"/>
      <c r="W43" s="6"/>
      <c r="X43" s="35"/>
      <c r="Y43" s="6"/>
      <c r="Z43" s="6"/>
      <c r="AA43" s="6"/>
      <c r="AB43" s="6"/>
      <c r="AC43" s="6"/>
    </row>
    <row r="44" spans="1:29" ht="20.100000000000001" customHeight="1" x14ac:dyDescent="0.25">
      <c r="B44" s="247"/>
      <c r="C44" s="16"/>
      <c r="D44" s="8" t="s">
        <v>80</v>
      </c>
      <c r="E44" s="207" t="e">
        <f t="shared" ref="E44:N44" ca="1" si="24">E22/E21</f>
        <v>#DIV/0!</v>
      </c>
      <c r="F44" s="207" t="e">
        <f t="shared" ca="1" si="24"/>
        <v>#DIV/0!</v>
      </c>
      <c r="G44" s="207" t="e">
        <f t="shared" ca="1" si="24"/>
        <v>#DIV/0!</v>
      </c>
      <c r="H44" s="207" t="e">
        <f t="shared" ca="1" si="24"/>
        <v>#DIV/0!</v>
      </c>
      <c r="I44" s="207">
        <f t="shared" ca="1" si="24"/>
        <v>0.78661428994959981</v>
      </c>
      <c r="J44" s="207">
        <f t="shared" ca="1" si="24"/>
        <v>0.77406965277417339</v>
      </c>
      <c r="K44" s="207">
        <f t="shared" ca="1" si="24"/>
        <v>0.77903978816807196</v>
      </c>
      <c r="L44" s="207">
        <f t="shared" ca="1" si="24"/>
        <v>0.76555467916299358</v>
      </c>
      <c r="M44" s="207">
        <f t="shared" ca="1" si="24"/>
        <v>0.775848148317414</v>
      </c>
      <c r="N44" s="207">
        <f t="shared" ca="1" si="24"/>
        <v>0.76813474399982118</v>
      </c>
      <c r="O44" s="5"/>
      <c r="P44" s="6"/>
      <c r="Q44" s="25"/>
      <c r="R44" s="31">
        <f t="shared" ca="1" si="20"/>
        <v>-9.9418994996907095E-3</v>
      </c>
      <c r="S44" s="31">
        <f t="shared" ca="1" si="21"/>
        <v>-4.687961991014622E-3</v>
      </c>
      <c r="T44" s="31">
        <f t="shared" ca="1" si="22"/>
        <v>-4.7432870915402603E-3</v>
      </c>
      <c r="U44" s="31" t="str">
        <f t="shared" ca="1" si="23"/>
        <v/>
      </c>
      <c r="V44" s="26"/>
      <c r="W44" s="6"/>
      <c r="X44" s="35"/>
      <c r="Y44" s="6"/>
      <c r="Z44" s="6"/>
      <c r="AA44" s="6"/>
      <c r="AB44" s="6"/>
      <c r="AC44" s="6"/>
    </row>
    <row r="45" spans="1:29" ht="20.100000000000001" customHeight="1" x14ac:dyDescent="0.25">
      <c r="B45" s="246" t="s">
        <v>351</v>
      </c>
      <c r="C45" s="16"/>
      <c r="D45" s="3" t="s">
        <v>19</v>
      </c>
      <c r="E45" s="31" t="e" cm="1">
        <f t="array" aca="1" ref="E45" ca="1">INDIRECT($B45&amp;"!"&amp;E$19&amp;$O45)/E21</f>
        <v>#DIV/0!</v>
      </c>
      <c r="F45" s="31" t="e" cm="1">
        <f t="array" aca="1" ref="F45" ca="1">INDIRECT($B45&amp;"!"&amp;F$19&amp;$O45)/F21</f>
        <v>#DIV/0!</v>
      </c>
      <c r="G45" s="31" t="e" cm="1">
        <f t="array" aca="1" ref="G45" ca="1">INDIRECT($B45&amp;"!"&amp;G$19&amp;$O45)/G21</f>
        <v>#DIV/0!</v>
      </c>
      <c r="H45" s="31" t="e" cm="1">
        <f t="array" aca="1" ref="H45" ca="1">INDIRECT($B45&amp;"!"&amp;H$19&amp;$O45)/H21</f>
        <v>#DIV/0!</v>
      </c>
      <c r="I45" s="31" cm="1">
        <f t="array" aca="1" ref="I45" ca="1">INDIRECT($B45&amp;"!"&amp;I$19&amp;$O45)/I21</f>
        <v>-0.24940705603320487</v>
      </c>
      <c r="J45" s="31" cm="1">
        <f t="array" aca="1" ref="J45" ca="1">INDIRECT($B45&amp;"!"&amp;J$19&amp;$O45)/J21</f>
        <v>-0.28265946955935023</v>
      </c>
      <c r="K45" s="31" cm="1">
        <f t="array" aca="1" ref="K45" ca="1">INDIRECT($B45&amp;"!"&amp;K$19&amp;$O45)/K21</f>
        <v>-0.31590133091770611</v>
      </c>
      <c r="L45" s="31" cm="1">
        <f t="array" aca="1" ref="L45" ca="1">INDIRECT($B45&amp;"!"&amp;L$19&amp;$O45)/L21</f>
        <v>-0.29494733911752424</v>
      </c>
      <c r="M45" s="31" cm="1">
        <f t="array" aca="1" ref="M45" ca="1">INDIRECT($B45&amp;"!"&amp;M$19&amp;$O45)/M21</f>
        <v>-0.28854561796383471</v>
      </c>
      <c r="N45" s="31" cm="1">
        <f t="array" aca="1" ref="N45" ca="1">INDIRECT($B45&amp;"!"&amp;N$19&amp;$O45)/N$21</f>
        <v>-0.31355268749860205</v>
      </c>
      <c r="O45" s="219">
        <v>25</v>
      </c>
      <c r="P45" s="199"/>
      <c r="Q45" s="25"/>
      <c r="R45" s="31">
        <f t="shared" ca="1" si="20"/>
        <v>8.6665913387399485E-2</v>
      </c>
      <c r="S45" s="31">
        <f t="shared" ca="1" si="21"/>
        <v>-2.4844129745925647E-3</v>
      </c>
      <c r="T45" s="31">
        <f t="shared" ca="1" si="22"/>
        <v>4.6840119357827392E-2</v>
      </c>
      <c r="U45" s="31" t="str">
        <f t="shared" ca="1" si="23"/>
        <v/>
      </c>
      <c r="V45" s="26"/>
      <c r="W45" s="6"/>
      <c r="X45" s="35"/>
      <c r="Y45" s="6"/>
      <c r="Z45" s="6"/>
      <c r="AA45" s="6"/>
      <c r="AB45" s="6"/>
      <c r="AC45" s="6"/>
    </row>
    <row r="46" spans="1:29" ht="20.100000000000001" customHeight="1" x14ac:dyDescent="0.25">
      <c r="B46" s="246" t="s">
        <v>351</v>
      </c>
      <c r="C46" s="16"/>
      <c r="D46" s="3" t="s">
        <v>20</v>
      </c>
      <c r="E46" s="31" t="e" cm="1">
        <f t="array" aca="1" ref="E46" ca="1">INDIRECT($B46&amp;"!"&amp;E$19&amp;$O46)/E21</f>
        <v>#DIV/0!</v>
      </c>
      <c r="F46" s="31" t="e" cm="1">
        <f t="array" aca="1" ref="F46" ca="1">INDIRECT($B46&amp;"!"&amp;F$19&amp;$O46)/F21</f>
        <v>#DIV/0!</v>
      </c>
      <c r="G46" s="31" t="e" cm="1">
        <f t="array" aca="1" ref="G46" ca="1">INDIRECT($B46&amp;"!"&amp;G$19&amp;$O46)/G21</f>
        <v>#DIV/0!</v>
      </c>
      <c r="H46" s="31" t="e" cm="1">
        <f t="array" aca="1" ref="H46" ca="1">INDIRECT($B46&amp;"!"&amp;H$19&amp;$O46)/H21</f>
        <v>#DIV/0!</v>
      </c>
      <c r="I46" s="31" cm="1">
        <f t="array" aca="1" ref="I46" ca="1">INDIRECT($B46&amp;"!"&amp;I$19&amp;$O46)/I21</f>
        <v>-0.60932404387785355</v>
      </c>
      <c r="J46" s="31" cm="1">
        <f t="array" aca="1" ref="J46" ca="1">INDIRECT($B46&amp;"!"&amp;J$19&amp;$O46)/J21</f>
        <v>-0.93200809674573104</v>
      </c>
      <c r="K46" s="31" cm="1">
        <f t="array" aca="1" ref="K46" ca="1">INDIRECT($B46&amp;"!"&amp;K$19&amp;$O46)/K21</f>
        <v>-0.83924465194063136</v>
      </c>
      <c r="L46" s="31" cm="1">
        <f t="array" aca="1" ref="L46" ca="1">INDIRECT($B46&amp;"!"&amp;L$19&amp;$O46)/L21</f>
        <v>-0.70373033916392158</v>
      </c>
      <c r="M46" s="31" cm="1">
        <f t="array" aca="1" ref="M46" ca="1">INDIRECT($B46&amp;"!"&amp;M$19&amp;$O46)/M21</f>
        <v>-0.68124552503694225</v>
      </c>
      <c r="N46" s="31" cm="1">
        <f t="array" aca="1" ref="N46" ca="1">INDIRECT($B46&amp;"!"&amp;N$19&amp;$O46)/N21</f>
        <v>-0.66840763191446528</v>
      </c>
      <c r="O46" s="219">
        <v>20</v>
      </c>
      <c r="P46" s="199"/>
      <c r="Q46" s="25"/>
      <c r="R46" s="31">
        <f t="shared" ca="1" si="20"/>
        <v>-1.8844737544192691E-2</v>
      </c>
      <c r="S46" s="31">
        <f t="shared" ca="1" si="21"/>
        <v>-7.3061460634437969E-2</v>
      </c>
      <c r="T46" s="31">
        <f t="shared" ca="1" si="22"/>
        <v>1.8681963835412763E-2</v>
      </c>
      <c r="U46" s="31" t="str">
        <f t="shared" ca="1" si="23"/>
        <v/>
      </c>
      <c r="V46" s="26"/>
      <c r="W46" s="6"/>
      <c r="X46" s="35"/>
      <c r="Y46" s="6"/>
      <c r="Z46" s="6"/>
      <c r="AA46" s="6"/>
      <c r="AB46" s="6"/>
      <c r="AC46" s="6"/>
    </row>
    <row r="47" spans="1:29" ht="20.100000000000001" customHeight="1" x14ac:dyDescent="0.25">
      <c r="B47" s="246" t="s">
        <v>351</v>
      </c>
      <c r="C47" s="16"/>
      <c r="D47" s="3" t="s">
        <v>21</v>
      </c>
      <c r="E47" s="31" t="e">
        <f t="shared" ref="E47:N47" ca="1" si="25">SUM(INDIRECT($B47&amp;"!"&amp;E$19&amp;$P47&amp;":"&amp;E$19&amp;$O47))/E$21</f>
        <v>#DIV/0!</v>
      </c>
      <c r="F47" s="31" t="e">
        <f t="shared" ca="1" si="25"/>
        <v>#DIV/0!</v>
      </c>
      <c r="G47" s="31" t="e">
        <f t="shared" ca="1" si="25"/>
        <v>#DIV/0!</v>
      </c>
      <c r="H47" s="31" t="e">
        <f t="shared" ca="1" si="25"/>
        <v>#DIV/0!</v>
      </c>
      <c r="I47" s="31">
        <f t="shared" ca="1" si="25"/>
        <v>0</v>
      </c>
      <c r="J47" s="31">
        <f t="shared" ca="1" si="25"/>
        <v>0</v>
      </c>
      <c r="K47" s="31">
        <f t="shared" ca="1" si="25"/>
        <v>0</v>
      </c>
      <c r="L47" s="31">
        <f t="shared" ca="1" si="25"/>
        <v>0</v>
      </c>
      <c r="M47" s="31">
        <f t="shared" ca="1" si="25"/>
        <v>0</v>
      </c>
      <c r="N47" s="31">
        <f t="shared" ca="1" si="25"/>
        <v>0</v>
      </c>
      <c r="O47" s="219">
        <v>21</v>
      </c>
      <c r="P47" s="220">
        <v>24</v>
      </c>
      <c r="Q47" s="25"/>
      <c r="R47" s="31" t="str">
        <f t="shared" ca="1" si="20"/>
        <v/>
      </c>
      <c r="S47" s="31" t="str">
        <f t="shared" ca="1" si="21"/>
        <v/>
      </c>
      <c r="T47" s="31" t="str">
        <f t="shared" ca="1" si="22"/>
        <v/>
      </c>
      <c r="U47" s="31" t="str">
        <f t="shared" ca="1" si="23"/>
        <v/>
      </c>
      <c r="V47" s="26"/>
      <c r="W47" s="6"/>
      <c r="X47" s="35"/>
      <c r="Y47" s="6"/>
      <c r="Z47" s="6"/>
      <c r="AA47" s="6"/>
      <c r="AB47" s="6"/>
      <c r="AC47" s="6"/>
    </row>
    <row r="48" spans="1:29" ht="20.100000000000001" customHeight="1" x14ac:dyDescent="0.25">
      <c r="B48" s="247"/>
      <c r="C48" s="16"/>
      <c r="D48" s="8" t="s">
        <v>81</v>
      </c>
      <c r="E48" s="207" t="e">
        <f t="shared" ref="E48:N48" ca="1" si="26">E23/E21</f>
        <v>#DIV/0!</v>
      </c>
      <c r="F48" s="207" t="e">
        <f t="shared" ca="1" si="26"/>
        <v>#DIV/0!</v>
      </c>
      <c r="G48" s="207" t="e">
        <f t="shared" ca="1" si="26"/>
        <v>#DIV/0!</v>
      </c>
      <c r="H48" s="207" t="e">
        <f t="shared" ca="1" si="26"/>
        <v>#DIV/0!</v>
      </c>
      <c r="I48" s="207">
        <f t="shared" ca="1" si="26"/>
        <v>7.2635635932404392E-3</v>
      </c>
      <c r="J48" s="207">
        <f t="shared" ca="1" si="26"/>
        <v>-0.36222556703171233</v>
      </c>
      <c r="K48" s="207">
        <f t="shared" ca="1" si="26"/>
        <v>-0.29708731098878127</v>
      </c>
      <c r="L48" s="207">
        <f t="shared" ca="1" si="26"/>
        <v>-0.15496682596390293</v>
      </c>
      <c r="M48" s="207">
        <f t="shared" ca="1" si="26"/>
        <v>-0.12415642185762382</v>
      </c>
      <c r="N48" s="207">
        <f t="shared" ca="1" si="26"/>
        <v>-0.14601740219652404</v>
      </c>
      <c r="O48" s="219"/>
      <c r="P48" s="199"/>
      <c r="Q48" s="25"/>
      <c r="R48" s="31">
        <f t="shared" ca="1" si="20"/>
        <v>0.17607611440324256</v>
      </c>
      <c r="S48" s="31">
        <f t="shared" ca="1" si="21"/>
        <v>-0.21082466205151895</v>
      </c>
      <c r="T48" s="31">
        <f t="shared" ca="1" si="22"/>
        <v>-2.8224304991059315</v>
      </c>
      <c r="U48" s="31" t="str">
        <f t="shared" ca="1" si="23"/>
        <v/>
      </c>
      <c r="V48" s="26"/>
      <c r="W48" s="6"/>
      <c r="X48" s="35"/>
      <c r="Y48" s="6"/>
      <c r="Z48" s="6"/>
      <c r="AA48" s="6"/>
      <c r="AB48" s="6"/>
      <c r="AC48" s="6"/>
    </row>
    <row r="49" spans="2:29" ht="20.100000000000001" customHeight="1" x14ac:dyDescent="0.25">
      <c r="B49" s="246" t="s">
        <v>351</v>
      </c>
      <c r="C49" s="16"/>
      <c r="D49" s="3" t="s">
        <v>22</v>
      </c>
      <c r="E49" s="31" t="e">
        <f t="shared" ref="E49:N49" ca="1" si="27">SUM(INDIRECT($B49&amp;"!"&amp;E$19&amp;$P49&amp;":"&amp;E$19&amp;$O49))/E$21</f>
        <v>#DIV/0!</v>
      </c>
      <c r="F49" s="31" t="e">
        <f t="shared" ca="1" si="27"/>
        <v>#DIV/0!</v>
      </c>
      <c r="G49" s="31" t="e">
        <f t="shared" ca="1" si="27"/>
        <v>#DIV/0!</v>
      </c>
      <c r="H49" s="31" t="e">
        <f t="shared" ca="1" si="27"/>
        <v>#DIV/0!</v>
      </c>
      <c r="I49" s="31">
        <f t="shared" ca="1" si="27"/>
        <v>0</v>
      </c>
      <c r="J49" s="31">
        <f t="shared" ca="1" si="27"/>
        <v>0</v>
      </c>
      <c r="K49" s="31">
        <f t="shared" ca="1" si="27"/>
        <v>0</v>
      </c>
      <c r="L49" s="31">
        <f t="shared" ca="1" si="27"/>
        <v>0</v>
      </c>
      <c r="M49" s="31">
        <f t="shared" ca="1" si="27"/>
        <v>0</v>
      </c>
      <c r="N49" s="31">
        <f t="shared" ca="1" si="27"/>
        <v>0</v>
      </c>
      <c r="O49" s="219">
        <v>26</v>
      </c>
      <c r="P49" s="220">
        <v>27</v>
      </c>
      <c r="Q49" s="25"/>
      <c r="R49" s="31" t="str">
        <f t="shared" ca="1" si="20"/>
        <v/>
      </c>
      <c r="S49" s="31" t="str">
        <f t="shared" ca="1" si="21"/>
        <v/>
      </c>
      <c r="T49" s="31" t="str">
        <f t="shared" ca="1" si="22"/>
        <v/>
      </c>
      <c r="U49" s="31" t="str">
        <f t="shared" ca="1" si="23"/>
        <v/>
      </c>
      <c r="V49" s="26"/>
      <c r="W49" s="6"/>
      <c r="X49" s="35"/>
      <c r="Y49" s="6"/>
      <c r="Z49" s="6"/>
      <c r="AA49" s="6"/>
      <c r="AB49" s="6"/>
      <c r="AC49" s="6"/>
    </row>
    <row r="50" spans="2:29" ht="20.100000000000001" customHeight="1" x14ac:dyDescent="0.25">
      <c r="B50" s="247"/>
      <c r="C50" s="16"/>
      <c r="D50" s="8" t="s">
        <v>82</v>
      </c>
      <c r="E50" s="207" t="e">
        <f t="shared" ref="E50:N50" ca="1" si="28">E24/E21</f>
        <v>#DIV/0!</v>
      </c>
      <c r="F50" s="207" t="e">
        <f t="shared" ca="1" si="28"/>
        <v>#DIV/0!</v>
      </c>
      <c r="G50" s="207" t="e">
        <f t="shared" ca="1" si="28"/>
        <v>#DIV/0!</v>
      </c>
      <c r="H50" s="207" t="e">
        <f t="shared" ca="1" si="28"/>
        <v>#DIV/0!</v>
      </c>
      <c r="I50" s="207">
        <f t="shared" ca="1" si="28"/>
        <v>-7.2116809961458653E-2</v>
      </c>
      <c r="J50" s="207">
        <f t="shared" ca="1" si="28"/>
        <v>-0.44064981574713247</v>
      </c>
      <c r="K50" s="207">
        <f t="shared" ca="1" si="28"/>
        <v>-0.37610619469026552</v>
      </c>
      <c r="L50" s="207">
        <f t="shared" ca="1" si="28"/>
        <v>-0.23312299911845216</v>
      </c>
      <c r="M50" s="207">
        <f t="shared" ca="1" si="28"/>
        <v>-0.1939277607665707</v>
      </c>
      <c r="N50" s="207">
        <f t="shared" ca="1" si="28"/>
        <v>-0.21383675934417429</v>
      </c>
      <c r="O50" s="219"/>
      <c r="P50" s="199"/>
      <c r="Q50" s="25"/>
      <c r="R50" s="31">
        <f t="shared" ca="1" si="20"/>
        <v>0.10266193194262629</v>
      </c>
      <c r="S50" s="31">
        <f t="shared" ca="1" si="21"/>
        <v>-0.17156718661508663</v>
      </c>
      <c r="T50" s="31">
        <f t="shared" ca="1" si="22"/>
        <v>0.24282268365923265</v>
      </c>
      <c r="U50" s="31" t="str">
        <f t="shared" ca="1" si="23"/>
        <v/>
      </c>
      <c r="V50" s="26"/>
      <c r="W50" s="6"/>
      <c r="X50" s="35"/>
      <c r="Y50" s="6"/>
      <c r="Z50" s="6"/>
      <c r="AA50" s="6"/>
      <c r="AB50" s="6"/>
      <c r="AC50" s="6"/>
    </row>
    <row r="51" spans="2:29" ht="20.100000000000001" customHeight="1" x14ac:dyDescent="0.25">
      <c r="B51" s="246" t="s">
        <v>351</v>
      </c>
      <c r="C51" s="16"/>
      <c r="D51" s="3" t="s">
        <v>23</v>
      </c>
      <c r="E51" s="31" t="e">
        <f t="shared" ref="E51:N51" ca="1" si="29">SUM(INDIRECT($B51&amp;"!"&amp;E$19&amp;$P51&amp;":"&amp;E$19&amp;$O51))/E$21</f>
        <v>#DIV/0!</v>
      </c>
      <c r="F51" s="31" t="e">
        <f t="shared" ca="1" si="29"/>
        <v>#DIV/0!</v>
      </c>
      <c r="G51" s="31" t="e">
        <f t="shared" ca="1" si="29"/>
        <v>#DIV/0!</v>
      </c>
      <c r="H51" s="31" t="e">
        <f t="shared" ca="1" si="29"/>
        <v>#DIV/0!</v>
      </c>
      <c r="I51" s="31">
        <f t="shared" ca="1" si="29"/>
        <v>7.4117995849392514E-5</v>
      </c>
      <c r="J51" s="31">
        <f t="shared" ca="1" si="29"/>
        <v>-6.1244615145066711E-3</v>
      </c>
      <c r="K51" s="31">
        <f t="shared" ca="1" si="29"/>
        <v>1.1288411957354886E-2</v>
      </c>
      <c r="L51" s="31">
        <f t="shared" ca="1" si="29"/>
        <v>-4.222150048717116E-2</v>
      </c>
      <c r="M51" s="31">
        <f t="shared" ca="1" si="29"/>
        <v>-7.3198970187224835E-2</v>
      </c>
      <c r="N51" s="31">
        <f t="shared" ca="1" si="29"/>
        <v>-1.2581922294047912E-2</v>
      </c>
      <c r="O51" s="219">
        <v>34</v>
      </c>
      <c r="P51" s="220">
        <v>38</v>
      </c>
      <c r="Q51" s="25"/>
      <c r="R51" s="31">
        <f t="shared" ca="1" si="20"/>
        <v>-0.82811339747176127</v>
      </c>
      <c r="S51" s="31">
        <f t="shared" ca="1" si="21"/>
        <v>-2.0368232232929673</v>
      </c>
      <c r="T51" s="31">
        <f t="shared" ca="1" si="22"/>
        <v>-3.7923166518992177</v>
      </c>
      <c r="U51" s="31" t="str">
        <f t="shared" ca="1" si="23"/>
        <v/>
      </c>
      <c r="V51" s="26"/>
      <c r="W51" s="6"/>
      <c r="X51" s="35"/>
      <c r="Y51" s="6"/>
      <c r="Z51" s="6"/>
      <c r="AA51" s="6"/>
      <c r="AB51" s="6"/>
      <c r="AC51" s="6"/>
    </row>
    <row r="52" spans="2:29" ht="20.100000000000001" customHeight="1" x14ac:dyDescent="0.25">
      <c r="B52" s="247"/>
      <c r="C52" s="16"/>
      <c r="D52" s="8" t="s">
        <v>83</v>
      </c>
      <c r="E52" s="207" t="e">
        <f t="shared" ref="E52:N52" ca="1" si="30">E25/E21</f>
        <v>#DIV/0!</v>
      </c>
      <c r="F52" s="207" t="e">
        <f t="shared" ca="1" si="30"/>
        <v>#DIV/0!</v>
      </c>
      <c r="G52" s="207" t="e">
        <f t="shared" ca="1" si="30"/>
        <v>#DIV/0!</v>
      </c>
      <c r="H52" s="207" t="e">
        <f t="shared" ca="1" si="30"/>
        <v>#DIV/0!</v>
      </c>
      <c r="I52" s="207">
        <f t="shared" ca="1" si="30"/>
        <v>-7.9676845538096661E-2</v>
      </c>
      <c r="J52" s="207">
        <f t="shared" ca="1" si="30"/>
        <v>-0.45237971661389942</v>
      </c>
      <c r="K52" s="207">
        <f t="shared" ca="1" si="30"/>
        <v>-0.36871994982928019</v>
      </c>
      <c r="L52" s="207">
        <f t="shared" ca="1" si="30"/>
        <v>-0.27692200621723195</v>
      </c>
      <c r="M52" s="207">
        <f t="shared" ca="1" si="30"/>
        <v>-0.39655408802157127</v>
      </c>
      <c r="N52" s="207">
        <f t="shared" ca="1" si="30"/>
        <v>-0.2516048940881741</v>
      </c>
      <c r="O52" s="219"/>
      <c r="P52" s="199"/>
      <c r="Q52" s="25"/>
      <c r="R52" s="31">
        <f t="shared" ca="1" si="20"/>
        <v>-0.36552187535515301</v>
      </c>
      <c r="S52" s="31">
        <f t="shared" ca="1" si="21"/>
        <v>-0.11961192871046555</v>
      </c>
      <c r="T52" s="31">
        <f t="shared" ca="1" si="22"/>
        <v>0.2585700438092553</v>
      </c>
      <c r="U52" s="31" t="str">
        <f t="shared" ca="1" si="23"/>
        <v/>
      </c>
      <c r="V52" s="26"/>
      <c r="W52" s="6"/>
      <c r="X52" s="35"/>
      <c r="Y52" s="6"/>
      <c r="Z52" s="6"/>
      <c r="AA52" s="6"/>
      <c r="AB52" s="6"/>
      <c r="AC52" s="6"/>
    </row>
    <row r="53" spans="2:29" ht="20.100000000000001" customHeight="1" x14ac:dyDescent="0.25">
      <c r="B53" s="245"/>
      <c r="C53" s="16"/>
      <c r="D53" s="8" t="s">
        <v>84</v>
      </c>
      <c r="E53" s="207" t="e">
        <f t="shared" ref="E53:N53" ca="1" si="31">E26/E21</f>
        <v>#DIV/0!</v>
      </c>
      <c r="F53" s="207" t="e">
        <f t="shared" ca="1" si="31"/>
        <v>#DIV/0!</v>
      </c>
      <c r="G53" s="207" t="e">
        <f t="shared" ca="1" si="31"/>
        <v>#DIV/0!</v>
      </c>
      <c r="H53" s="207" t="e">
        <f t="shared" ca="1" si="31"/>
        <v>#DIV/0!</v>
      </c>
      <c r="I53" s="207">
        <f t="shared" ca="1" si="31"/>
        <v>-0.11755114141713609</v>
      </c>
      <c r="J53" s="207">
        <f t="shared" ca="1" si="31"/>
        <v>-0.35682773654435046</v>
      </c>
      <c r="K53" s="207">
        <f t="shared" ca="1" si="31"/>
        <v>-0.28642603302905723</v>
      </c>
      <c r="L53" s="207">
        <f t="shared" ca="1" si="31"/>
        <v>-0.17050990581357583</v>
      </c>
      <c r="M53" s="207">
        <f t="shared" ca="1" si="31"/>
        <v>-4.3172920189509925E-2</v>
      </c>
      <c r="N53" s="207">
        <f t="shared" ca="1" si="31"/>
        <v>-5.112174827208267E-2</v>
      </c>
      <c r="O53" s="5"/>
      <c r="P53" s="6"/>
      <c r="Q53" s="25"/>
      <c r="R53" s="31">
        <f t="shared" ca="1" si="20"/>
        <v>0.18411606274676173</v>
      </c>
      <c r="S53" s="31">
        <f t="shared" ca="1" si="21"/>
        <v>-0.43697060444260871</v>
      </c>
      <c r="T53" s="31">
        <f t="shared" ca="1" si="22"/>
        <v>-0.1534048631372813</v>
      </c>
      <c r="U53" s="31" t="str">
        <f t="shared" ca="1" si="23"/>
        <v/>
      </c>
      <c r="V53" s="26"/>
      <c r="W53" s="6"/>
      <c r="X53" s="37"/>
      <c r="Y53" s="6"/>
      <c r="Z53" s="6"/>
      <c r="AA53" s="6"/>
      <c r="AB53" s="6"/>
      <c r="AC53" s="6"/>
    </row>
    <row r="54" spans="2:29" ht="20.100000000000001" customHeight="1" x14ac:dyDescent="0.25">
      <c r="B54" s="6"/>
      <c r="C54" s="16"/>
      <c r="D54" s="5"/>
      <c r="E54" s="6"/>
      <c r="F54" s="6"/>
      <c r="G54" s="6"/>
      <c r="H54" s="69"/>
      <c r="I54" s="6"/>
      <c r="J54" s="6"/>
      <c r="K54" s="6"/>
      <c r="L54" s="6"/>
      <c r="M54" s="69"/>
      <c r="N54" s="6"/>
      <c r="O54" s="5"/>
      <c r="P54" s="6"/>
      <c r="Q54" s="25"/>
      <c r="R54" s="6"/>
      <c r="S54" s="6"/>
      <c r="T54" s="6"/>
      <c r="U54" s="6"/>
      <c r="V54" s="26"/>
      <c r="W54" s="6"/>
      <c r="X54" s="6"/>
      <c r="Y54" s="6"/>
      <c r="Z54" s="6"/>
      <c r="AA54" s="6"/>
      <c r="AB54" s="6"/>
      <c r="AC54" s="6"/>
    </row>
    <row r="55" spans="2:29" ht="18.95" customHeight="1" x14ac:dyDescent="0.25">
      <c r="B55" s="6"/>
      <c r="C55" s="16"/>
      <c r="D55" s="5"/>
      <c r="E55" s="211">
        <f t="shared" ref="E55:N55" ca="1" si="32">E$20</f>
        <v>0</v>
      </c>
      <c r="F55" s="211">
        <f t="shared" ca="1" si="32"/>
        <v>0</v>
      </c>
      <c r="G55" s="211">
        <f t="shared" ca="1" si="32"/>
        <v>0</v>
      </c>
      <c r="H55" s="211">
        <f t="shared" ca="1" si="32"/>
        <v>42735</v>
      </c>
      <c r="I55" s="211">
        <f t="shared" ca="1" si="32"/>
        <v>43100</v>
      </c>
      <c r="J55" s="211">
        <f t="shared" ca="1" si="32"/>
        <v>43465</v>
      </c>
      <c r="K55" s="211">
        <f t="shared" ca="1" si="32"/>
        <v>43830</v>
      </c>
      <c r="L55" s="211">
        <f t="shared" ca="1" si="32"/>
        <v>44196</v>
      </c>
      <c r="M55" s="211">
        <f t="shared" ca="1" si="32"/>
        <v>44561</v>
      </c>
      <c r="N55" s="208" t="str">
        <f t="shared" ca="1" si="32"/>
        <v>LTM</v>
      </c>
      <c r="O55" s="219"/>
      <c r="P55" s="6"/>
      <c r="Q55" s="25"/>
      <c r="R55" s="6"/>
      <c r="S55" s="6"/>
      <c r="T55" s="6"/>
      <c r="U55" s="6"/>
      <c r="V55" s="26"/>
      <c r="W55" s="6"/>
      <c r="X55" s="6"/>
      <c r="Y55" s="6"/>
      <c r="Z55" s="6"/>
      <c r="AA55" s="6"/>
      <c r="AB55" s="6"/>
      <c r="AC55" s="6"/>
    </row>
    <row r="56" spans="2:29" ht="18.95" customHeight="1" x14ac:dyDescent="0.25">
      <c r="B56" s="247" t="s">
        <v>448</v>
      </c>
      <c r="C56" s="16"/>
      <c r="D56" s="3" t="s">
        <v>30</v>
      </c>
      <c r="E56" s="4" t="str" cm="1">
        <f t="array" aca="1" ref="E56" ca="1">SUBSTITUTE(INDIRECT($B56&amp;"!"&amp;E$19&amp;$O56)," %","")</f>
        <v/>
      </c>
      <c r="F56" s="4" t="str" cm="1">
        <f t="array" aca="1" ref="F56" ca="1">SUBSTITUTE(INDIRECT($B56&amp;"!"&amp;F$19&amp;$O56)," %","")</f>
        <v/>
      </c>
      <c r="G56" s="4" t="str" cm="1">
        <f t="array" aca="1" ref="G56" ca="1">SUBSTITUTE(INDIRECT($B56&amp;"!"&amp;G$19&amp;$O56)," %","")</f>
        <v/>
      </c>
      <c r="H56" s="4" t="str" cm="1">
        <f t="array" aca="1" ref="H56" ca="1">SUBSTITUTE(INDIRECT($B56&amp;"!"&amp;H$19&amp;$O56)," %","")</f>
        <v/>
      </c>
      <c r="I56" s="4" t="str" cm="1">
        <f t="array" aca="1" ref="I56" ca="1">SUBSTITUTE(INDIRECT($B56&amp;"!"&amp;I$19&amp;$O56)," %","")</f>
        <v/>
      </c>
      <c r="J56" s="4" t="str" cm="1">
        <f t="array" aca="1" ref="J56" ca="1">SUBSTITUTE(INDIRECT($B56&amp;"!"&amp;J$19&amp;$O56)," %","")</f>
        <v>(23.0)</v>
      </c>
      <c r="K56" s="4" t="str" cm="1">
        <f t="array" aca="1" ref="K56" ca="1">SUBSTITUTE(INDIRECT($B56&amp;"!"&amp;K$19&amp;$O56)," %","")</f>
        <v>(11.9)</v>
      </c>
      <c r="L56" s="4" t="str" cm="1">
        <f t="array" aca="1" ref="L56" ca="1">SUBSTITUTE(INDIRECT($B56&amp;"!"&amp;L$19&amp;$O56)," %","")</f>
        <v>(5.7)</v>
      </c>
      <c r="M56" s="4" t="str" cm="1">
        <f t="array" aca="1" ref="M56" ca="1">SUBSTITUTE(INDIRECT($B56&amp;"!"&amp;M$19&amp;$O56)," %","")</f>
        <v>(4.2)</v>
      </c>
      <c r="N56" s="4" t="str" cm="1">
        <f t="array" aca="1" ref="N56" ca="1">SUBSTITUTE(INDIRECT($B56&amp;"!"&amp;N$19&amp;$O56)," %","")</f>
        <v>(5.0)</v>
      </c>
      <c r="O56" s="219">
        <v>5</v>
      </c>
      <c r="P56" s="6"/>
      <c r="Q56" s="25"/>
      <c r="R56" s="31">
        <f ca="1">IFERROR((N56/M56-1),"")</f>
        <v>0.19047619047619047</v>
      </c>
      <c r="S56" s="31">
        <f ca="1">IFERROR(((N56/K56)^(1/3) -1),"")</f>
        <v>-0.25101288301093116</v>
      </c>
      <c r="T56" s="31" t="str">
        <f ca="1">IFERROR(((N56/I56)^(1/5) -1),"")</f>
        <v/>
      </c>
      <c r="U56" s="31" t="str">
        <f ca="1">IFERROR(((N56/E56)^(1/9) -1),"")</f>
        <v/>
      </c>
      <c r="V56" s="26"/>
      <c r="W56" s="6"/>
      <c r="X56" s="35"/>
      <c r="Y56" s="6"/>
      <c r="Z56" s="6"/>
      <c r="AA56" s="6"/>
      <c r="AB56" s="6"/>
      <c r="AC56" s="6"/>
    </row>
    <row r="57" spans="2:29" ht="18.95" customHeight="1" x14ac:dyDescent="0.25">
      <c r="B57" s="247" t="s">
        <v>448</v>
      </c>
      <c r="C57" s="16"/>
      <c r="D57" s="3" t="s">
        <v>31</v>
      </c>
      <c r="E57" s="4" t="str" cm="1">
        <f t="array" aca="1" ref="E57" ca="1">SUBSTITUTE(INDIRECT($B57&amp;"!"&amp;E$19&amp;$O57)," %","")</f>
        <v/>
      </c>
      <c r="F57" s="4" t="str" cm="1">
        <f t="array" aca="1" ref="F57" ca="1">SUBSTITUTE(INDIRECT($B57&amp;"!"&amp;F$19&amp;$O57)," %","")</f>
        <v/>
      </c>
      <c r="G57" s="4" t="str" cm="1">
        <f t="array" aca="1" ref="G57" ca="1">SUBSTITUTE(INDIRECT($B57&amp;"!"&amp;G$19&amp;$O57)," %","")</f>
        <v/>
      </c>
      <c r="H57" s="4" t="str" cm="1">
        <f t="array" aca="1" ref="H57" ca="1">SUBSTITUTE(INDIRECT($B57&amp;"!"&amp;H$19&amp;$O57)," %","")</f>
        <v/>
      </c>
      <c r="I57" s="4" t="str" cm="1">
        <f t="array" aca="1" ref="I57" ca="1">SUBSTITUTE(INDIRECT($B57&amp;"!"&amp;I$19&amp;$O57)," %","")</f>
        <v/>
      </c>
      <c r="J57" s="4" t="str" cm="1">
        <f t="array" aca="1" ref="J57" ca="1">SUBSTITUTE(INDIRECT($B57&amp;"!"&amp;J$19&amp;$O57)," %","")</f>
        <v>(51.3)</v>
      </c>
      <c r="K57" s="4" t="str" cm="1">
        <f t="array" aca="1" ref="K57" ca="1">SUBSTITUTE(INDIRECT($B57&amp;"!"&amp;K$19&amp;$O57)," %","")</f>
        <v>(22.4)</v>
      </c>
      <c r="L57" s="4" t="str" cm="1">
        <f t="array" aca="1" ref="L57" ca="1">SUBSTITUTE(INDIRECT($B57&amp;"!"&amp;L$19&amp;$O57)," %","")</f>
        <v>(15.5)</v>
      </c>
      <c r="M57" s="4" t="str" cm="1">
        <f t="array" aca="1" ref="M57" ca="1">SUBSTITUTE(INDIRECT($B57&amp;"!"&amp;M$19&amp;$O57)," %","")</f>
        <v>(32.0)</v>
      </c>
      <c r="N57" s="4" t="str" cm="1">
        <f t="array" aca="1" ref="N57" ca="1">SUBSTITUTE(INDIRECT($B57&amp;"!"&amp;N$19&amp;$O57)," %","")</f>
        <v>(31.1)</v>
      </c>
      <c r="O57" s="219">
        <v>7</v>
      </c>
      <c r="P57" s="6"/>
      <c r="Q57" s="25"/>
      <c r="R57" s="31">
        <f ca="1">IFERROR((N57/M57-1),"")</f>
        <v>-2.8124999999999956E-2</v>
      </c>
      <c r="S57" s="31">
        <f ca="1">IFERROR(((N57/K57)^(1/3) -1),"")</f>
        <v>0.11558874365673155</v>
      </c>
      <c r="T57" s="31" t="str">
        <f ca="1">IFERROR(((N57/I57)^(1/5) -1),"")</f>
        <v/>
      </c>
      <c r="U57" s="31" t="str">
        <f ca="1">IFERROR(((N57/E57)^(1/9) -1),"")</f>
        <v/>
      </c>
      <c r="V57" s="26"/>
      <c r="W57" s="6"/>
      <c r="X57" s="35"/>
      <c r="Y57" s="6"/>
      <c r="Z57" s="6"/>
      <c r="AA57" s="6"/>
      <c r="AB57" s="6"/>
      <c r="AC57" s="6"/>
    </row>
    <row r="58" spans="2:29" ht="18.95" customHeight="1" x14ac:dyDescent="0.25">
      <c r="B58" s="247" t="s">
        <v>448</v>
      </c>
      <c r="C58" s="16"/>
      <c r="D58" s="3" t="s">
        <v>78</v>
      </c>
      <c r="E58" s="4" t="str" cm="1">
        <f t="array" aca="1" ref="E58" ca="1">SUBSTITUTE(INDIRECT($B58&amp;"!"&amp;E$19&amp;$O58)," %","")</f>
        <v/>
      </c>
      <c r="F58" s="4" t="str" cm="1">
        <f t="array" aca="1" ref="F58" ca="1">SUBSTITUTE(INDIRECT($B58&amp;"!"&amp;F$19&amp;$O58)," %","")</f>
        <v/>
      </c>
      <c r="G58" s="4" t="str" cm="1">
        <f t="array" aca="1" ref="G58" ca="1">SUBSTITUTE(INDIRECT($B58&amp;"!"&amp;G$19&amp;$O58)," %","")</f>
        <v/>
      </c>
      <c r="H58" s="4" t="str" cm="1">
        <f t="array" aca="1" ref="H58" ca="1">SUBSTITUTE(INDIRECT($B58&amp;"!"&amp;H$19&amp;$O58)," %","")</f>
        <v/>
      </c>
      <c r="I58" s="4" t="str" cm="1">
        <f t="array" aca="1" ref="I58" ca="1">SUBSTITUTE(INDIRECT($B58&amp;"!"&amp;I$19&amp;$O58)," %","")</f>
        <v>(7.3)</v>
      </c>
      <c r="J58" s="4" t="str" cm="1">
        <f t="array" aca="1" ref="J58" ca="1">SUBSTITUTE(INDIRECT($B58&amp;"!"&amp;J$19&amp;$O58)," %","")</f>
        <v>(37.1)</v>
      </c>
      <c r="K58" s="4" t="str" cm="1">
        <f t="array" aca="1" ref="K58" ca="1">SUBSTITUTE(INDIRECT($B58&amp;"!"&amp;K$19&amp;$O58)," %","")</f>
        <v>(14.7)</v>
      </c>
      <c r="L58" s="4" t="str" cm="1">
        <f t="array" aca="1" ref="L58" ca="1">SUBSTITUTE(INDIRECT($B58&amp;"!"&amp;L$19&amp;$O58)," %","")</f>
        <v>(8.1)</v>
      </c>
      <c r="M58" s="4" t="str" cm="1">
        <f t="array" aca="1" ref="M58" ca="1">SUBSTITUTE(INDIRECT($B58&amp;"!"&amp;M$19&amp;$O58)," %","")</f>
        <v>(6.0)</v>
      </c>
      <c r="N58" s="4" t="str" cm="1">
        <f t="array" aca="1" ref="N58" ca="1">SUBSTITUTE(INDIRECT($B58&amp;"!"&amp;N$19&amp;$O58)," %","")</f>
        <v>(8.8)</v>
      </c>
      <c r="O58" s="219">
        <v>6</v>
      </c>
      <c r="P58" s="6"/>
      <c r="Q58" s="25"/>
      <c r="R58" s="31">
        <f ca="1">IFERROR((N58/M58-1),"")</f>
        <v>0.46666666666666679</v>
      </c>
      <c r="S58" s="31">
        <f ca="1">IFERROR(((N58/K58)^(1/3) -1),"")</f>
        <v>-0.15720533241924706</v>
      </c>
      <c r="T58" s="31">
        <f ca="1">IFERROR(((N58/I58)^(1/5) -1),"")</f>
        <v>3.8082721435301004E-2</v>
      </c>
      <c r="U58" s="31" t="str">
        <f ca="1">IFERROR(((N58/E58)^(1/9) -1),"")</f>
        <v/>
      </c>
      <c r="V58" s="26"/>
      <c r="W58" s="6"/>
      <c r="X58" s="37"/>
      <c r="Y58" s="6"/>
      <c r="Z58" s="6"/>
      <c r="AA58" s="6"/>
      <c r="AB58" s="6"/>
      <c r="AC58" s="6"/>
    </row>
    <row r="59" spans="2:29" ht="20.100000000000001" customHeight="1" x14ac:dyDescent="0.25">
      <c r="B59" s="247" t="s">
        <v>448</v>
      </c>
      <c r="C59" s="16"/>
      <c r="D59" s="3" t="s">
        <v>32</v>
      </c>
      <c r="E59" s="31" t="e" cm="1">
        <f t="array" aca="1" ref="E59" ca="1">(E24-(1-E40))/(INDIRECT($B29&amp;"!"&amp;E$19&amp;46)+INDIRECT($B29&amp;"!"&amp;E$19&amp;47)+INDIRECT($B29&amp;"!"&amp;E$19&amp;48)+INDIRECT($B29&amp;"!"&amp;E$19&amp;61)+INDIRECT($B29&amp;"!"&amp;E$19&amp;63)+INDIRECT("CashFlow!"&amp;E$19&amp;41)+INDIRECT("CashFlow!"&amp;E$19&amp;53))</f>
        <v>#VALUE!</v>
      </c>
      <c r="F59" s="31" t="e" cm="1">
        <f t="array" aca="1" ref="F59" ca="1">(F24-(1-F40))/(INDIRECT($B29&amp;"!"&amp;F$19&amp;46)+INDIRECT($B29&amp;"!"&amp;F$19&amp;47)+INDIRECT($B29&amp;"!"&amp;F$19&amp;48)+INDIRECT($B29&amp;"!"&amp;F$19&amp;61)+INDIRECT($B29&amp;"!"&amp;F$19&amp;63)+INDIRECT("CashFlow!"&amp;F$19&amp;41)+INDIRECT("CashFlow!"&amp;F$19&amp;53))</f>
        <v>#VALUE!</v>
      </c>
      <c r="G59" s="31" t="e" cm="1">
        <f t="array" aca="1" ref="G59" ca="1">(G24-(1-G40))/(INDIRECT($B29&amp;"!"&amp;G$19&amp;46)+INDIRECT($B29&amp;"!"&amp;G$19&amp;47)+INDIRECT($B29&amp;"!"&amp;G$19&amp;48)+INDIRECT($B29&amp;"!"&amp;G$19&amp;61)+INDIRECT($B29&amp;"!"&amp;G$19&amp;63)+INDIRECT("CashFlow!"&amp;G$19&amp;41)+INDIRECT("CashFlow!"&amp;G$19&amp;53))</f>
        <v>#VALUE!</v>
      </c>
      <c r="H59" s="31" t="e" cm="1">
        <f t="array" aca="1" ref="H59" ca="1">(H24-(1-H40))/(INDIRECT($B29&amp;"!"&amp;H$19&amp;46)+INDIRECT($B29&amp;"!"&amp;H$19&amp;47)+INDIRECT($B29&amp;"!"&amp;H$19&amp;48)+INDIRECT($B29&amp;"!"&amp;H$19&amp;61)+INDIRECT($B29&amp;"!"&amp;H$19&amp;63)+INDIRECT("CashFlow!"&amp;H$19&amp;41)+INDIRECT("CashFlow!"&amp;H$19&amp;53))</f>
        <v>#VALUE!</v>
      </c>
      <c r="I59" s="31" cm="1">
        <f t="array" aca="1" ref="I59" ca="1">(I24-(1-I40))/(INDIRECT($B29&amp;"!"&amp;I$19&amp;46)+INDIRECT($B29&amp;"!"&amp;I$19&amp;47)+INDIRECT($B29&amp;"!"&amp;I$19&amp;48)+INDIRECT($B29&amp;"!"&amp;I$19&amp;61)+INDIRECT($B29&amp;"!"&amp;I$19&amp;63)+INDIRECT("CashFlow!"&amp;I$19&amp;41)+INDIRECT("CashFlow!"&amp;I$19&amp;53))</f>
        <v>0.34677288245813692</v>
      </c>
      <c r="J59" s="31" cm="1">
        <f t="array" aca="1" ref="J59" ca="1">(J24-(1-J40))/(INDIRECT($B29&amp;"!"&amp;J$19&amp;46)+INDIRECT($B29&amp;"!"&amp;J$19&amp;47)+INDIRECT($B29&amp;"!"&amp;J$19&amp;48)+INDIRECT($B29&amp;"!"&amp;J$19&amp;61)+INDIRECT($B29&amp;"!"&amp;J$19&amp;63)+INDIRECT("CashFlow!"&amp;J$19&amp;41)+INDIRECT("CashFlow!"&amp;J$19&amp;53))</f>
        <v>1.1451083388049905</v>
      </c>
      <c r="K59" s="31" cm="1">
        <f t="array" aca="1" ref="K59" ca="1">(K24-(1-K40))/(INDIRECT($B29&amp;"!"&amp;K$19&amp;46)+INDIRECT($B29&amp;"!"&amp;K$19&amp;47)+INDIRECT($B29&amp;"!"&amp;K$19&amp;48)+INDIRECT($B29&amp;"!"&amp;K$19&amp;61)+INDIRECT($B29&amp;"!"&amp;K$19&amp;63)+INDIRECT("CashFlow!"&amp;K$19&amp;41)+INDIRECT("CashFlow!"&amp;K$19&amp;53))</f>
        <v>2.0417439703153999</v>
      </c>
      <c r="L59" s="31" cm="1">
        <f t="array" aca="1" ref="L59" ca="1">(L24-(1-L40))/(INDIRECT($B29&amp;"!"&amp;L$19&amp;46)+INDIRECT($B29&amp;"!"&amp;L$19&amp;47)+INDIRECT($B29&amp;"!"&amp;L$19&amp;48)+INDIRECT($B29&amp;"!"&amp;L$19&amp;61)+INDIRECT($B29&amp;"!"&amp;L$19&amp;63)+INDIRECT("CashFlow!"&amp;L$19&amp;41)+INDIRECT("CashFlow!"&amp;L$19&amp;53))</f>
        <v>-0.79899497487437232</v>
      </c>
      <c r="M59" s="31" cm="1">
        <f t="array" aca="1" ref="M59" ca="1">(M24-(1-M40))/(INDIRECT($B29&amp;"!"&amp;M$19&amp;46)+INDIRECT($B29&amp;"!"&amp;M$19&amp;47)+INDIRECT($B29&amp;"!"&amp;M$19&amp;48)+INDIRECT($B29&amp;"!"&amp;M$19&amp;61)+INDIRECT($B29&amp;"!"&amp;M$19&amp;63)+INDIRECT("CashFlow!"&amp;M$19&amp;41)+INDIRECT("CashFlow!"&amp;M$19&amp;53))</f>
        <v>-0.13301401985730682</v>
      </c>
      <c r="N59" s="31" cm="1">
        <f t="array" aca="1" ref="N59" ca="1">(N24-(1-N40))/(INDIRECT($B29&amp;"!"&amp;N$19&amp;46)+INDIRECT($B29&amp;"!"&amp;N$19&amp;47)+INDIRECT($B29&amp;"!"&amp;N$19&amp;48)+INDIRECT($B29&amp;"!"&amp;N$19&amp;61)+INDIRECT($B29&amp;"!"&amp;N$19&amp;63)+INDIRECT("CashFlow!"&amp;N$19&amp;41)+INDIRECT("CashFlow!"&amp;N$19&amp;53))</f>
        <v>-0.38888676138321915</v>
      </c>
      <c r="O59" s="221" t="s">
        <v>380</v>
      </c>
      <c r="P59" s="6"/>
      <c r="Q59" s="25"/>
      <c r="R59" s="31">
        <f ca="1">IFERROR((N59/M59-1),"")</f>
        <v>1.9236524225070744</v>
      </c>
      <c r="S59" s="31">
        <f ca="1">IFERROR(((N59/K59)^(1/3) -1),"")</f>
        <v>-1.575361271887352</v>
      </c>
      <c r="T59" s="31">
        <f ca="1">IFERROR(((N59/I59)^(1/5) -1),"")</f>
        <v>-2.0231883959013661</v>
      </c>
      <c r="U59" s="31" t="str">
        <f ca="1">IFERROR(((N59/E59)^(1/9) -1),"")</f>
        <v/>
      </c>
      <c r="V59" s="26"/>
      <c r="W59" s="6"/>
      <c r="X59" s="37"/>
      <c r="Y59" s="6"/>
      <c r="Z59" s="6"/>
      <c r="AA59" s="6"/>
      <c r="AB59" s="6"/>
      <c r="AC59" s="6"/>
    </row>
    <row r="60" spans="2:29" ht="20.100000000000001" customHeight="1" x14ac:dyDescent="0.25">
      <c r="B60" s="246" t="s">
        <v>355</v>
      </c>
      <c r="C60" s="16"/>
      <c r="D60" s="3" t="s">
        <v>79</v>
      </c>
      <c r="E60" s="31" t="e" cm="1">
        <f t="array" aca="1" ref="E60" ca="1">E24/(INDIRECT($B60&amp;"!"&amp;E$19&amp;68)+INDIRECT($B60&amp;"!"&amp;E$19&amp;46)+INDIRECT($B60&amp;"!"&amp;E$19&amp;48)+INDIRECT($B60&amp;"!"&amp;E$19&amp;47))</f>
        <v>#DIV/0!</v>
      </c>
      <c r="F60" s="31" t="e" cm="1">
        <f t="array" aca="1" ref="F60" ca="1">F24/(INDIRECT($B60&amp;"!"&amp;F$19&amp;68)+INDIRECT($B60&amp;"!"&amp;F$19&amp;46)+INDIRECT($B60&amp;"!"&amp;F$19&amp;48)+INDIRECT($B60&amp;"!"&amp;F$19&amp;47))</f>
        <v>#DIV/0!</v>
      </c>
      <c r="G60" s="31" t="e" cm="1">
        <f t="array" aca="1" ref="G60" ca="1">G24/(INDIRECT($B60&amp;"!"&amp;G$19&amp;68)+INDIRECT($B60&amp;"!"&amp;G$19&amp;46)+INDIRECT($B60&amp;"!"&amp;G$19&amp;48)+INDIRECT($B60&amp;"!"&amp;G$19&amp;47))</f>
        <v>#DIV/0!</v>
      </c>
      <c r="H60" s="31" t="e" cm="1">
        <f t="array" aca="1" ref="H60" ca="1">H24/(INDIRECT($B60&amp;"!"&amp;H$19&amp;68)+INDIRECT($B60&amp;"!"&amp;H$19&amp;46)+INDIRECT($B60&amp;"!"&amp;H$19&amp;48)+INDIRECT($B60&amp;"!"&amp;H$19&amp;47))</f>
        <v>#DIV/0!</v>
      </c>
      <c r="I60" s="31" cm="1">
        <f t="array" aca="1" ref="I60" ca="1">I24/(INDIRECT($B60&amp;"!"&amp;I$19&amp;68)+INDIRECT($B60&amp;"!"&amp;I$19&amp;46)+INDIRECT($B60&amp;"!"&amp;I$19&amp;48)+INDIRECT($B60&amp;"!"&amp;I$19&amp;47))</f>
        <v>-6.1026091319618669E-2</v>
      </c>
      <c r="J60" s="31" cm="1">
        <f t="array" aca="1" ref="J60" ca="1">J24/(INDIRECT($B60&amp;"!"&amp;J$19&amp;68)+INDIRECT($B60&amp;"!"&amp;J$19&amp;46)+INDIRECT($B60&amp;"!"&amp;J$19&amp;48)+INDIRECT($B60&amp;"!"&amp;J$19&amp;47))</f>
        <v>-0.29292023185205629</v>
      </c>
      <c r="K60" s="31" cm="1">
        <f t="array" aca="1" ref="K60" ca="1">K24/(INDIRECT($B60&amp;"!"&amp;K$19&amp;68)+INDIRECT($B60&amp;"!"&amp;K$19&amp;46)+INDIRECT($B60&amp;"!"&amp;K$19&amp;48)+INDIRECT($B60&amp;"!"&amp;K$19&amp;47))</f>
        <v>-0.13161103118675477</v>
      </c>
      <c r="L60" s="31" cm="1">
        <f t="array" aca="1" ref="L60" ca="1">L24/(INDIRECT($B60&amp;"!"&amp;L$19&amp;68)+INDIRECT($B60&amp;"!"&amp;L$19&amp;46)+INDIRECT($B60&amp;"!"&amp;L$19&amp;48)+INDIRECT($B60&amp;"!"&amp;L$19&amp;47))</f>
        <v>-7.3408770481624072E-2</v>
      </c>
      <c r="M60" s="31" cm="1">
        <f t="array" aca="1" ref="M60" ca="1">M24/(INDIRECT($B60&amp;"!"&amp;M$19&amp;68)+INDIRECT($B60&amp;"!"&amp;M$19&amp;46)+INDIRECT($B60&amp;"!"&amp;M$19&amp;48)+INDIRECT($B60&amp;"!"&amp;M$19&amp;47))</f>
        <v>-5.4035698367892682E-2</v>
      </c>
      <c r="N60" s="31" cm="1">
        <f t="array" aca="1" ref="N60" ca="1">N24/(INDIRECT($B60&amp;"!"&amp;N$19&amp;68)+INDIRECT($B60&amp;"!"&amp;N$19&amp;46)+INDIRECT($B60&amp;"!"&amp;N$19&amp;48)+INDIRECT($B60&amp;"!"&amp;N$19&amp;47))</f>
        <v>-7.7335954342664603E-2</v>
      </c>
      <c r="O60" s="221" t="s">
        <v>380</v>
      </c>
      <c r="P60" s="6"/>
      <c r="Q60" s="25"/>
      <c r="R60" s="31">
        <f ca="1">IFERROR((N60/M60-1),"")</f>
        <v>0.43120116290782762</v>
      </c>
      <c r="S60" s="31">
        <f ca="1">IFERROR(((N60/K60)^(1/3) -1),"")</f>
        <v>-0.16241340314630492</v>
      </c>
      <c r="T60" s="31">
        <f ca="1">IFERROR(((N60/I60)^(1/5) -1),"")</f>
        <v>4.8511453606298716E-2</v>
      </c>
      <c r="U60" s="31" t="str">
        <f ca="1">IFERROR(((N60/E60)^(1/9) -1),"")</f>
        <v/>
      </c>
      <c r="V60" s="26"/>
      <c r="W60" s="6"/>
      <c r="X60" s="37"/>
      <c r="Y60" s="6"/>
      <c r="Z60" s="6"/>
      <c r="AA60" s="6"/>
      <c r="AB60" s="6"/>
      <c r="AC60" s="6"/>
    </row>
    <row r="61" spans="2:29" ht="20.100000000000001" customHeight="1" x14ac:dyDescent="0.25">
      <c r="B61" s="247"/>
      <c r="C61" s="16"/>
      <c r="D61" s="5"/>
      <c r="E61" s="6"/>
      <c r="F61" s="6"/>
      <c r="G61" s="6"/>
      <c r="H61" s="6"/>
      <c r="I61" s="6"/>
      <c r="J61" s="6"/>
      <c r="K61" s="6"/>
      <c r="L61" s="6"/>
      <c r="M61" s="6"/>
      <c r="N61" s="6"/>
      <c r="O61" s="5"/>
      <c r="P61" s="6"/>
      <c r="Q61" s="25"/>
      <c r="R61" s="6" t="str">
        <f t="shared" ref="R61" si="33">IFERROR((N61/M61-1),"")</f>
        <v/>
      </c>
      <c r="S61" s="6" t="str">
        <f t="shared" ref="S61" si="34">IFERROR(((N61/K61)^(1/3) -1),"")</f>
        <v/>
      </c>
      <c r="T61" s="6" t="str">
        <f t="shared" ref="T61" si="35">IFERROR(((N61/I61)^(1/5) -1),"")</f>
        <v/>
      </c>
      <c r="U61" s="6" t="str">
        <f t="shared" ref="U61" si="36">IFERROR(((N61/E61)^(1/9) -1),"")</f>
        <v/>
      </c>
      <c r="V61" s="26"/>
      <c r="W61" s="6"/>
      <c r="X61" s="37"/>
      <c r="Y61" s="6"/>
      <c r="Z61" s="6"/>
      <c r="AA61" s="6"/>
      <c r="AB61" s="6"/>
      <c r="AC61" s="6"/>
    </row>
    <row r="62" spans="2:29" ht="20.100000000000001" customHeight="1" x14ac:dyDescent="0.25">
      <c r="B62" s="247"/>
      <c r="C62" s="16"/>
      <c r="D62" s="5"/>
      <c r="E62" s="6"/>
      <c r="F62" s="6"/>
      <c r="G62" s="6"/>
      <c r="H62" s="6"/>
      <c r="I62" s="6"/>
      <c r="J62" s="6"/>
      <c r="K62" s="6"/>
      <c r="L62" s="6"/>
      <c r="M62" s="6"/>
      <c r="N62" s="6"/>
      <c r="O62" s="5"/>
      <c r="P62" s="6"/>
      <c r="Q62" s="25"/>
      <c r="R62" s="6"/>
      <c r="S62" s="6"/>
      <c r="T62" s="6"/>
      <c r="U62" s="6"/>
      <c r="V62" s="26"/>
      <c r="W62" s="6"/>
      <c r="X62" s="6"/>
      <c r="Y62" s="6"/>
      <c r="Z62" s="6"/>
      <c r="AA62" s="6"/>
      <c r="AB62" s="6"/>
      <c r="AC62" s="6"/>
    </row>
    <row r="63" spans="2:29" ht="20.100000000000001" customHeight="1" x14ac:dyDescent="0.25">
      <c r="B63" s="6"/>
      <c r="C63" s="55"/>
      <c r="D63" s="56"/>
      <c r="E63" s="28"/>
      <c r="F63" s="28"/>
      <c r="G63" s="28"/>
      <c r="H63" s="28"/>
      <c r="I63" s="28"/>
      <c r="J63" s="28"/>
      <c r="K63" s="28"/>
      <c r="L63" s="28"/>
      <c r="M63" s="28"/>
      <c r="N63" s="28"/>
      <c r="O63" s="56"/>
      <c r="P63" s="6"/>
      <c r="Q63" s="27"/>
      <c r="R63" s="28"/>
      <c r="S63" s="28"/>
      <c r="T63" s="28"/>
      <c r="U63" s="28"/>
      <c r="V63" s="29"/>
      <c r="W63" s="6"/>
      <c r="X63" s="6"/>
      <c r="Y63" s="6"/>
      <c r="Z63" s="6"/>
      <c r="AA63" s="6"/>
      <c r="AB63" s="6"/>
      <c r="AC63" s="6"/>
    </row>
    <row r="64" spans="2:29" ht="20.100000000000001" customHeight="1" x14ac:dyDescent="0.25">
      <c r="B64" s="6"/>
      <c r="C64" s="28"/>
      <c r="D64" s="28"/>
      <c r="E64" s="28"/>
      <c r="F64" s="28"/>
      <c r="G64" s="28"/>
      <c r="H64" s="28"/>
      <c r="I64" s="28"/>
      <c r="J64" s="28"/>
      <c r="K64" s="28"/>
      <c r="L64" s="28"/>
      <c r="M64" s="28"/>
      <c r="N64" s="28"/>
      <c r="O64" s="28"/>
      <c r="P64" s="6"/>
      <c r="Q64" s="28"/>
      <c r="R64" s="28"/>
      <c r="S64" s="28"/>
      <c r="T64" s="28"/>
      <c r="U64" s="28"/>
      <c r="V64" s="28"/>
      <c r="W64" s="6"/>
      <c r="X64" s="6"/>
      <c r="Y64" s="6"/>
      <c r="Z64" s="6"/>
      <c r="AA64" s="6"/>
      <c r="AB64" s="6"/>
      <c r="AC64" s="6"/>
    </row>
    <row r="65" spans="2:29" ht="20.100000000000001" customHeight="1" x14ac:dyDescent="0.25">
      <c r="B65" s="26"/>
      <c r="C65" s="6"/>
      <c r="D65" s="6"/>
      <c r="E65" s="6"/>
      <c r="F65" s="6"/>
      <c r="G65" s="6"/>
      <c r="H65" s="6"/>
      <c r="I65" s="6"/>
      <c r="J65" s="6"/>
      <c r="K65" s="6"/>
      <c r="L65" s="6"/>
      <c r="M65" s="6"/>
      <c r="N65" s="6"/>
      <c r="O65" s="42"/>
      <c r="P65" s="36"/>
      <c r="Q65" s="25"/>
      <c r="R65" s="6"/>
      <c r="S65" s="6"/>
      <c r="T65" s="6"/>
      <c r="U65" s="6"/>
      <c r="V65" s="42"/>
      <c r="W65" s="6"/>
      <c r="X65" s="6"/>
      <c r="Y65" s="6"/>
      <c r="Z65" s="6"/>
      <c r="AA65" s="6"/>
      <c r="AB65" s="6"/>
      <c r="AC65" s="6"/>
    </row>
    <row r="66" spans="2:29" ht="20.100000000000001" customHeight="1" x14ac:dyDescent="0.25">
      <c r="B66" s="26"/>
      <c r="C66" s="6"/>
      <c r="D66" s="6"/>
      <c r="E66" s="156" t="s">
        <v>122</v>
      </c>
      <c r="F66" s="6"/>
      <c r="G66" s="257" t="s">
        <v>568</v>
      </c>
      <c r="H66" s="257"/>
      <c r="I66" s="261"/>
      <c r="J66" s="261"/>
      <c r="K66" s="257" t="s">
        <v>569</v>
      </c>
      <c r="L66" s="257"/>
      <c r="M66" s="257"/>
      <c r="N66" s="257"/>
      <c r="O66" s="26"/>
      <c r="P66" s="36"/>
      <c r="Q66" s="6"/>
      <c r="R66" s="6"/>
      <c r="S66" s="6"/>
      <c r="T66" s="6"/>
      <c r="U66" s="6"/>
      <c r="V66" s="26"/>
      <c r="W66" s="6"/>
      <c r="X66" s="6"/>
      <c r="Y66" s="6"/>
      <c r="Z66" s="6"/>
      <c r="AA66" s="6"/>
      <c r="AB66" s="6"/>
      <c r="AC66" s="6"/>
    </row>
    <row r="67" spans="2:29" ht="18.95" customHeight="1" x14ac:dyDescent="0.25">
      <c r="B67" s="26"/>
      <c r="C67" s="6"/>
      <c r="D67" s="6" t="s">
        <v>52</v>
      </c>
      <c r="E67" s="62">
        <f>BalanceSheet!B4</f>
        <v>137.84</v>
      </c>
      <c r="F67" s="6"/>
      <c r="G67" s="258" t="s">
        <v>112</v>
      </c>
      <c r="H67" s="258"/>
      <c r="I67" s="259"/>
      <c r="J67" s="259"/>
      <c r="K67" s="258" t="s">
        <v>414</v>
      </c>
      <c r="L67" s="258"/>
      <c r="M67" s="258" t="s">
        <v>418</v>
      </c>
      <c r="N67" s="258"/>
      <c r="O67" s="26"/>
      <c r="P67" s="36"/>
      <c r="Q67" s="6"/>
      <c r="R67" s="6"/>
      <c r="S67" s="6"/>
      <c r="T67" s="6"/>
      <c r="U67" s="6"/>
      <c r="V67" s="26"/>
      <c r="W67" s="6"/>
      <c r="X67" s="6"/>
      <c r="Y67" s="6"/>
      <c r="Z67" s="6"/>
      <c r="AA67" s="6"/>
      <c r="AB67" s="6"/>
      <c r="AC67" s="6"/>
    </row>
    <row r="68" spans="2:29" ht="18.95" customHeight="1" x14ac:dyDescent="0.25">
      <c r="B68" s="6"/>
      <c r="C68" s="16"/>
      <c r="D68" s="6" t="s">
        <v>7</v>
      </c>
      <c r="E68" s="62">
        <f>BalanceSheet!B5</f>
        <v>1498.42</v>
      </c>
      <c r="F68" s="6"/>
      <c r="G68" s="259">
        <f>Ratios!B30</f>
        <v>5.35</v>
      </c>
      <c r="H68" s="259"/>
      <c r="I68" s="259"/>
      <c r="J68" s="259"/>
      <c r="K68" s="263" t="str">
        <f>Ratios!B40</f>
        <v>263.9 %</v>
      </c>
      <c r="L68" s="263"/>
      <c r="M68" s="259">
        <f>Ratios!B44</f>
        <v>-4.76</v>
      </c>
      <c r="N68" s="259"/>
      <c r="O68" s="5"/>
      <c r="P68" s="6"/>
      <c r="Q68" s="25"/>
      <c r="R68" s="6"/>
      <c r="S68" s="6"/>
      <c r="T68" s="6"/>
      <c r="U68" s="6"/>
      <c r="V68" s="26"/>
      <c r="W68" s="6"/>
      <c r="X68" s="6"/>
      <c r="Y68" s="6"/>
      <c r="Z68" s="6"/>
      <c r="AA68" s="6"/>
      <c r="AB68" s="6"/>
      <c r="AC68" s="6"/>
    </row>
    <row r="69" spans="2:29" ht="18.95" customHeight="1" x14ac:dyDescent="0.25">
      <c r="B69" s="6"/>
      <c r="C69" s="16"/>
      <c r="D69" s="6" t="s">
        <v>53</v>
      </c>
      <c r="E69" s="62">
        <f>BalanceSheet!B7</f>
        <v>1636.26</v>
      </c>
      <c r="F69" s="6"/>
      <c r="G69" s="259"/>
      <c r="H69" s="259"/>
      <c r="I69" s="260"/>
      <c r="J69" s="260"/>
      <c r="K69" s="263"/>
      <c r="L69" s="263"/>
      <c r="M69" s="259"/>
      <c r="N69" s="259"/>
      <c r="O69" s="5"/>
      <c r="P69" s="6"/>
      <c r="Q69" s="25"/>
      <c r="R69" s="6"/>
      <c r="S69" s="6"/>
      <c r="T69" s="6"/>
      <c r="U69" s="6"/>
      <c r="V69" s="26"/>
      <c r="W69" s="6"/>
      <c r="X69" s="6"/>
      <c r="Y69" s="6"/>
      <c r="Z69" s="6"/>
      <c r="AA69" s="6"/>
      <c r="AB69" s="6"/>
      <c r="AC69" s="6"/>
    </row>
    <row r="70" spans="2:29" ht="20.100000000000001" customHeight="1" x14ac:dyDescent="0.25">
      <c r="B70" s="6"/>
      <c r="C70" s="16"/>
      <c r="D70" s="6" t="s">
        <v>54</v>
      </c>
      <c r="E70" s="62">
        <f>BalanceSheet!B24</f>
        <v>0</v>
      </c>
      <c r="F70" s="6"/>
      <c r="G70" s="258" t="s">
        <v>405</v>
      </c>
      <c r="H70" s="258"/>
      <c r="I70" s="260"/>
      <c r="J70" s="260"/>
      <c r="K70" s="258" t="s">
        <v>423</v>
      </c>
      <c r="L70" s="258"/>
      <c r="M70" s="6"/>
      <c r="N70" s="6"/>
      <c r="O70" s="5"/>
      <c r="P70" s="6"/>
      <c r="Q70" s="25"/>
      <c r="R70" s="6"/>
      <c r="S70" s="6"/>
      <c r="T70" s="6"/>
      <c r="U70" s="6"/>
      <c r="V70" s="26"/>
      <c r="W70" s="6"/>
      <c r="X70" s="6"/>
      <c r="Y70" s="6"/>
      <c r="Z70" s="6"/>
      <c r="AA70" s="6"/>
      <c r="AB70" s="6"/>
      <c r="AC70" s="6"/>
    </row>
    <row r="71" spans="2:29" ht="20.100000000000001" customHeight="1" x14ac:dyDescent="0.25">
      <c r="B71" s="6"/>
      <c r="C71" s="16"/>
      <c r="D71" s="6" t="s">
        <v>50</v>
      </c>
      <c r="E71" s="62">
        <f>E69+E70</f>
        <v>1636.26</v>
      </c>
      <c r="F71" s="6"/>
      <c r="G71" s="259">
        <f>Ratios!B31</f>
        <v>5.22</v>
      </c>
      <c r="H71" s="259"/>
      <c r="I71" s="260"/>
      <c r="J71" s="260"/>
      <c r="K71" s="259">
        <f>Ratios!B49</f>
        <v>0.71</v>
      </c>
      <c r="L71" s="259"/>
      <c r="M71" s="6"/>
      <c r="N71" s="6"/>
      <c r="O71" s="5"/>
      <c r="P71" s="6"/>
      <c r="Q71" s="25"/>
      <c r="R71" s="6"/>
      <c r="S71" s="6"/>
      <c r="T71" s="6"/>
      <c r="U71" s="6"/>
      <c r="V71" s="26"/>
      <c r="W71" s="6"/>
      <c r="X71" s="6"/>
      <c r="Y71" s="6"/>
      <c r="Z71" s="6"/>
      <c r="AA71" s="6"/>
      <c r="AB71" s="6"/>
      <c r="AC71" s="6"/>
    </row>
    <row r="72" spans="2:29" ht="20.100000000000001" customHeight="1" x14ac:dyDescent="0.25">
      <c r="B72" s="6"/>
      <c r="C72" s="16"/>
      <c r="D72" s="6" t="s">
        <v>9</v>
      </c>
      <c r="E72" s="62">
        <f>SUM(BalanceSheet!B37:B41)</f>
        <v>28.53</v>
      </c>
      <c r="F72" s="6"/>
      <c r="G72" s="259"/>
      <c r="H72" s="259"/>
      <c r="I72" s="260"/>
      <c r="J72" s="260"/>
      <c r="K72" s="259"/>
      <c r="L72" s="259"/>
      <c r="M72" s="6"/>
      <c r="N72" s="6"/>
      <c r="O72" s="5"/>
      <c r="P72" s="6"/>
      <c r="Q72" s="25"/>
      <c r="R72" s="6"/>
      <c r="S72" s="6"/>
      <c r="T72" s="6"/>
      <c r="U72" s="6"/>
      <c r="V72" s="26"/>
      <c r="W72" s="6"/>
      <c r="X72" s="6"/>
      <c r="Y72" s="6"/>
      <c r="Z72" s="6"/>
      <c r="AA72" s="6"/>
      <c r="AB72" s="6"/>
      <c r="AC72" s="6"/>
    </row>
    <row r="73" spans="2:29" ht="20.100000000000001" customHeight="1" x14ac:dyDescent="0.25">
      <c r="B73" s="6"/>
      <c r="C73" s="16"/>
      <c r="D73" s="6" t="s">
        <v>10</v>
      </c>
      <c r="E73" s="62">
        <f>SUM(BalanceSheet!B47:B50)</f>
        <v>1539.05</v>
      </c>
      <c r="F73" s="6"/>
      <c r="G73" s="260"/>
      <c r="H73" s="260"/>
      <c r="I73" s="260"/>
      <c r="J73" s="260"/>
      <c r="K73" s="6"/>
      <c r="L73" s="6"/>
      <c r="M73" s="6"/>
      <c r="N73" s="6"/>
      <c r="O73" s="5"/>
      <c r="P73" s="6"/>
      <c r="Q73" s="25"/>
      <c r="R73" s="6"/>
      <c r="S73" s="6"/>
      <c r="T73" s="6"/>
      <c r="U73" s="6"/>
      <c r="V73" s="26"/>
      <c r="W73" s="6"/>
      <c r="X73" s="6"/>
      <c r="Y73" s="6"/>
      <c r="Z73" s="6"/>
      <c r="AA73" s="6"/>
      <c r="AB73" s="6"/>
      <c r="AC73" s="6"/>
    </row>
    <row r="74" spans="2:29" ht="20.100000000000001" customHeight="1" x14ac:dyDescent="0.25">
      <c r="B74" s="6"/>
      <c r="C74" s="16"/>
      <c r="D74" s="6" t="s">
        <v>13</v>
      </c>
      <c r="E74" s="62">
        <f>E72+E73</f>
        <v>1567.58</v>
      </c>
      <c r="F74" s="6"/>
      <c r="G74" s="260"/>
      <c r="H74" s="260"/>
      <c r="I74" s="260"/>
      <c r="J74" s="260"/>
      <c r="K74" s="6"/>
      <c r="L74" s="6"/>
      <c r="M74" s="6"/>
      <c r="N74" s="6"/>
      <c r="O74" s="5"/>
      <c r="P74" s="6"/>
      <c r="Q74" s="25"/>
      <c r="R74" s="6"/>
      <c r="S74" s="6"/>
      <c r="T74" s="6"/>
      <c r="U74" s="6"/>
      <c r="V74" s="26"/>
      <c r="W74" s="6"/>
      <c r="X74" s="6"/>
      <c r="Y74" s="6"/>
      <c r="Z74" s="6"/>
      <c r="AA74" s="6"/>
      <c r="AB74" s="6"/>
      <c r="AC74" s="6"/>
    </row>
    <row r="75" spans="2:29" ht="20.100000000000001" customHeight="1" x14ac:dyDescent="0.25">
      <c r="B75" s="6"/>
      <c r="C75" s="16"/>
      <c r="D75" s="6" t="s">
        <v>14</v>
      </c>
      <c r="E75" s="62">
        <f>E74-E69</f>
        <v>-68.680000000000064</v>
      </c>
      <c r="F75" s="6"/>
      <c r="G75" s="260"/>
      <c r="H75" s="260"/>
      <c r="I75" s="260"/>
      <c r="J75" s="260"/>
      <c r="K75" s="6"/>
      <c r="L75" s="6"/>
      <c r="M75" s="6"/>
      <c r="N75" s="6"/>
      <c r="O75" s="5"/>
      <c r="P75" s="6"/>
      <c r="Q75" s="25"/>
      <c r="R75" s="6"/>
      <c r="S75" s="6"/>
      <c r="T75" s="6"/>
      <c r="U75" s="6"/>
      <c r="V75" s="26"/>
      <c r="W75" s="6"/>
      <c r="X75" s="6"/>
      <c r="Y75" s="6"/>
      <c r="Z75" s="6"/>
      <c r="AA75" s="6"/>
      <c r="AB75" s="6"/>
      <c r="AC75" s="6"/>
    </row>
    <row r="76" spans="2:29" ht="20.100000000000001" customHeight="1" x14ac:dyDescent="0.25">
      <c r="B76" s="6"/>
      <c r="C76" s="16"/>
      <c r="D76" s="61" t="s">
        <v>51</v>
      </c>
      <c r="E76" s="63">
        <f>E75-E70</f>
        <v>-68.680000000000064</v>
      </c>
      <c r="F76" s="6"/>
      <c r="G76" s="260"/>
      <c r="H76" s="260"/>
      <c r="I76" s="260"/>
      <c r="J76" s="260"/>
      <c r="K76" s="6"/>
      <c r="L76" s="6"/>
      <c r="M76" s="6"/>
      <c r="N76" s="6"/>
      <c r="O76" s="5"/>
      <c r="P76" s="6"/>
      <c r="Q76" s="25"/>
      <c r="R76" s="6"/>
      <c r="S76" s="6"/>
      <c r="T76" s="6"/>
      <c r="U76" s="6"/>
      <c r="V76" s="26"/>
      <c r="W76" s="6"/>
      <c r="X76" s="6"/>
      <c r="Y76" s="6"/>
      <c r="Z76" s="6"/>
      <c r="AA76" s="6"/>
      <c r="AB76" s="6"/>
      <c r="AC76" s="6"/>
    </row>
    <row r="77" spans="2:29" ht="18.95" customHeight="1" x14ac:dyDescent="0.25">
      <c r="B77" s="6"/>
      <c r="C77" s="16"/>
      <c r="D77" s="6"/>
      <c r="E77" s="6"/>
      <c r="F77" s="6"/>
      <c r="G77" s="6"/>
      <c r="H77" s="6"/>
      <c r="I77" s="6"/>
      <c r="J77" s="6"/>
      <c r="K77" s="6"/>
      <c r="L77" s="6"/>
      <c r="M77" s="6"/>
      <c r="N77" s="6"/>
      <c r="O77" s="5"/>
      <c r="P77" s="6"/>
      <c r="Q77" s="25"/>
      <c r="R77" s="6"/>
      <c r="S77" s="6"/>
      <c r="T77" s="6"/>
      <c r="U77" s="6"/>
      <c r="V77" s="26"/>
      <c r="W77" s="6"/>
      <c r="X77" s="6"/>
      <c r="Y77" s="6"/>
      <c r="Z77" s="6"/>
      <c r="AA77" s="6"/>
      <c r="AB77" s="6"/>
      <c r="AC77" s="6"/>
    </row>
    <row r="78" spans="2:29" ht="18.95" customHeight="1" x14ac:dyDescent="0.25">
      <c r="B78" s="6"/>
      <c r="C78" s="16"/>
      <c r="D78" s="6"/>
      <c r="E78" s="211">
        <f t="shared" ref="E78:N78" ca="1" si="37">E$20</f>
        <v>0</v>
      </c>
      <c r="F78" s="211">
        <f t="shared" ca="1" si="37"/>
        <v>0</v>
      </c>
      <c r="G78" s="211">
        <f t="shared" ca="1" si="37"/>
        <v>0</v>
      </c>
      <c r="H78" s="211">
        <f t="shared" ca="1" si="37"/>
        <v>42735</v>
      </c>
      <c r="I78" s="211">
        <f t="shared" ca="1" si="37"/>
        <v>43100</v>
      </c>
      <c r="J78" s="211">
        <f t="shared" ca="1" si="37"/>
        <v>43465</v>
      </c>
      <c r="K78" s="211">
        <f t="shared" ca="1" si="37"/>
        <v>43830</v>
      </c>
      <c r="L78" s="211">
        <f t="shared" ca="1" si="37"/>
        <v>44196</v>
      </c>
      <c r="M78" s="211">
        <f t="shared" ca="1" si="37"/>
        <v>44561</v>
      </c>
      <c r="N78" s="208" t="str">
        <f t="shared" ca="1" si="37"/>
        <v>LTM</v>
      </c>
      <c r="O78" s="219"/>
      <c r="P78" s="6"/>
      <c r="Q78" s="25"/>
      <c r="R78" s="6"/>
      <c r="S78" s="6"/>
      <c r="T78" s="6"/>
      <c r="U78" s="6"/>
      <c r="V78" s="26"/>
      <c r="W78" s="6"/>
      <c r="X78" s="6"/>
      <c r="Y78" s="6"/>
      <c r="Z78" s="6"/>
      <c r="AA78" s="6"/>
      <c r="AB78" s="6"/>
      <c r="AC78" s="6"/>
    </row>
    <row r="79" spans="2:29" ht="18.95" customHeight="1" x14ac:dyDescent="0.25">
      <c r="B79" s="262" t="s">
        <v>448</v>
      </c>
      <c r="C79" s="16"/>
      <c r="D79" s="3" t="s">
        <v>73</v>
      </c>
      <c r="E79" s="4" cm="1">
        <f t="array" aca="1" ref="E79" ca="1">INDIRECT($B79&amp;"!"&amp;E$19&amp;$O79)</f>
        <v>0</v>
      </c>
      <c r="F79" s="248" cm="1">
        <f t="array" aca="1" ref="F79" ca="1">INDIRECT($B79&amp;"!"&amp;F$19&amp;$O79)</f>
        <v>0</v>
      </c>
      <c r="G79" s="248" cm="1">
        <f t="array" aca="1" ref="G79" ca="1">INDIRECT($B79&amp;"!"&amp;G$19&amp;$O79)</f>
        <v>0</v>
      </c>
      <c r="H79" s="248" cm="1">
        <f t="array" aca="1" ref="H79" ca="1">INDIRECT($B79&amp;"!"&amp;H$19&amp;$O79)</f>
        <v>0</v>
      </c>
      <c r="I79" s="248" cm="1">
        <f t="array" aca="1" ref="I79" ca="1">INDIRECT($B79&amp;"!"&amp;I$19&amp;$O79)</f>
        <v>0.83</v>
      </c>
      <c r="J79" s="248" cm="1">
        <f t="array" aca="1" ref="J79" ca="1">INDIRECT($B79&amp;"!"&amp;J$19&amp;$O79)</f>
        <v>0.65</v>
      </c>
      <c r="K79" s="248" cm="1">
        <f t="array" aca="1" ref="K79" ca="1">INDIRECT($B79&amp;"!"&amp;K$19&amp;$O79)</f>
        <v>0.35</v>
      </c>
      <c r="L79" s="248" cm="1">
        <f t="array" aca="1" ref="L79" ca="1">INDIRECT($B79&amp;"!"&amp;L$19&amp;$O79)</f>
        <v>0.31</v>
      </c>
      <c r="M79" s="248" cm="1">
        <f t="array" aca="1" ref="M79" ca="1">INDIRECT($B79&amp;"!"&amp;M$19&amp;$O79)</f>
        <v>0.28000000000000003</v>
      </c>
      <c r="N79" s="248" cm="1">
        <f t="array" aca="1" ref="N79" ca="1">INDIRECT($B79&amp;"!"&amp;N$19&amp;$O79)</f>
        <v>0.36</v>
      </c>
      <c r="O79" s="219">
        <v>24</v>
      </c>
      <c r="P79" s="6"/>
      <c r="Q79" s="25"/>
      <c r="R79" s="6"/>
      <c r="S79" s="6"/>
      <c r="T79" s="6"/>
      <c r="U79" s="6"/>
      <c r="V79" s="26"/>
      <c r="W79" s="6"/>
      <c r="X79" s="6"/>
      <c r="Y79" s="6"/>
      <c r="Z79" s="6"/>
      <c r="AA79" s="6"/>
      <c r="AB79" s="6"/>
      <c r="AC79" s="6"/>
    </row>
    <row r="80" spans="2:29" ht="18.95" customHeight="1" x14ac:dyDescent="0.25">
      <c r="B80" s="262" t="s">
        <v>448</v>
      </c>
      <c r="C80" s="16"/>
      <c r="D80" s="3" t="s">
        <v>567</v>
      </c>
      <c r="E80" s="4" cm="1">
        <f t="array" aca="1" ref="E80" ca="1">INDIRECT($B80&amp;"!"&amp;E$19&amp;$O80)</f>
        <v>0</v>
      </c>
      <c r="F80" s="248" cm="1">
        <f t="array" aca="1" ref="F80" ca="1">INDIRECT($B80&amp;"!"&amp;F$19&amp;$O80)</f>
        <v>0</v>
      </c>
      <c r="G80" s="248" cm="1">
        <f t="array" aca="1" ref="G80" ca="1">INDIRECT($B80&amp;"!"&amp;G$19&amp;$O80)</f>
        <v>0</v>
      </c>
      <c r="H80" s="248" cm="1">
        <f t="array" aca="1" ref="H80" ca="1">INDIRECT($B80&amp;"!"&amp;H$19&amp;$O80)</f>
        <v>0</v>
      </c>
      <c r="I80" s="248" cm="1">
        <f t="array" aca="1" ref="I80" ca="1">INDIRECT($B80&amp;"!"&amp;I$19&amp;$O80)</f>
        <v>0</v>
      </c>
      <c r="J80" s="248" cm="1">
        <f t="array" aca="1" ref="J80" ca="1">INDIRECT($B80&amp;"!"&amp;J$19&amp;$O80)</f>
        <v>3.09</v>
      </c>
      <c r="K80" s="248" cm="1">
        <f t="array" aca="1" ref="K80" ca="1">INDIRECT($B80&amp;"!"&amp;K$19&amp;$O80)</f>
        <v>3.29</v>
      </c>
      <c r="L80" s="248" cm="1">
        <f t="array" aca="1" ref="L80" ca="1">INDIRECT($B80&amp;"!"&amp;L$19&amp;$O80)</f>
        <v>3.22</v>
      </c>
      <c r="M80" s="248" cm="1">
        <f t="array" aca="1" ref="M80" ca="1">INDIRECT($B80&amp;"!"&amp;M$19&amp;$O80)</f>
        <v>2.73</v>
      </c>
      <c r="N80" s="248" cm="1">
        <f t="array" aca="1" ref="N80" ca="1">INDIRECT($B80&amp;"!"&amp;N$19&amp;$O80)</f>
        <v>2.65</v>
      </c>
      <c r="O80" s="219">
        <v>25</v>
      </c>
      <c r="P80" s="6"/>
      <c r="Q80" s="25"/>
      <c r="R80" s="6"/>
      <c r="S80" s="6"/>
      <c r="T80" s="6"/>
      <c r="U80" s="6"/>
      <c r="V80" s="26"/>
      <c r="W80" s="6"/>
      <c r="X80" s="6"/>
      <c r="Y80" s="6"/>
      <c r="Z80" s="6"/>
      <c r="AA80" s="6"/>
      <c r="AB80" s="6"/>
      <c r="AC80" s="6"/>
    </row>
    <row r="81" spans="2:29" ht="18.95" customHeight="1" x14ac:dyDescent="0.25">
      <c r="B81" s="262" t="s">
        <v>448</v>
      </c>
      <c r="C81" s="16"/>
      <c r="D81" s="3" t="s">
        <v>74</v>
      </c>
      <c r="E81" s="4" cm="1">
        <f t="array" aca="1" ref="E81" ca="1">INDIRECT($B81&amp;"!"&amp;E$19&amp;$O81)</f>
        <v>0</v>
      </c>
      <c r="F81" s="248" cm="1">
        <f t="array" aca="1" ref="F81" ca="1">INDIRECT($B81&amp;"!"&amp;F$19&amp;$O81)</f>
        <v>0</v>
      </c>
      <c r="G81" s="248" cm="1">
        <f t="array" aca="1" ref="G81" ca="1">INDIRECT($B81&amp;"!"&amp;G$19&amp;$O81)</f>
        <v>0</v>
      </c>
      <c r="H81" s="248" cm="1">
        <f t="array" aca="1" ref="H81" ca="1">INDIRECT($B81&amp;"!"&amp;H$19&amp;$O81)</f>
        <v>0</v>
      </c>
      <c r="I81" s="248" cm="1">
        <f t="array" aca="1" ref="I81" ca="1">INDIRECT($B81&amp;"!"&amp;I$19&amp;$O81)</f>
        <v>0</v>
      </c>
      <c r="J81" s="248" cm="1">
        <f t="array" aca="1" ref="J81" ca="1">INDIRECT($B81&amp;"!"&amp;J$19&amp;$O81)</f>
        <v>0</v>
      </c>
      <c r="K81" s="248" cm="1">
        <f t="array" aca="1" ref="K81" ca="1">INDIRECT($B81&amp;"!"&amp;K$19&amp;$O81)</f>
        <v>0</v>
      </c>
      <c r="L81" s="248" cm="1">
        <f t="array" aca="1" ref="L81" ca="1">INDIRECT($B81&amp;"!"&amp;L$19&amp;$O81)</f>
        <v>0</v>
      </c>
      <c r="M81" s="248" cm="1">
        <f t="array" aca="1" ref="M81" ca="1">INDIRECT($B81&amp;"!"&amp;M$19&amp;$O81)</f>
        <v>0</v>
      </c>
      <c r="N81" s="248" cm="1">
        <f t="array" aca="1" ref="N81" ca="1">INDIRECT($B81&amp;"!"&amp;N$19&amp;$O81)</f>
        <v>0</v>
      </c>
      <c r="O81" s="219">
        <v>27</v>
      </c>
      <c r="P81" s="6"/>
      <c r="Q81" s="25"/>
      <c r="R81" s="6"/>
      <c r="S81" s="6"/>
      <c r="T81" s="6"/>
      <c r="U81" s="6"/>
      <c r="V81" s="26"/>
      <c r="W81" s="6"/>
      <c r="X81" s="6"/>
      <c r="Y81" s="6"/>
      <c r="Z81" s="6"/>
      <c r="AA81" s="6"/>
      <c r="AB81" s="6"/>
      <c r="AC81" s="6"/>
    </row>
    <row r="82" spans="2:29" x14ac:dyDescent="0.25">
      <c r="B82" s="262" t="s">
        <v>448</v>
      </c>
      <c r="C82" s="16"/>
      <c r="D82" s="3" t="s">
        <v>77</v>
      </c>
      <c r="E82" s="4" cm="1">
        <f t="array" aca="1" ref="E82" ca="1">INDIRECT($B82&amp;"!"&amp;E$19&amp;$O82)</f>
        <v>0</v>
      </c>
      <c r="F82" s="248" cm="1">
        <f t="array" aca="1" ref="F82" ca="1">INDIRECT($B82&amp;"!"&amp;F$19&amp;$O82)</f>
        <v>0</v>
      </c>
      <c r="G82" s="248" cm="1">
        <f t="array" aca="1" ref="G82" ca="1">INDIRECT($B82&amp;"!"&amp;G$19&amp;$O82)</f>
        <v>0</v>
      </c>
      <c r="H82" s="248" cm="1">
        <f t="array" aca="1" ref="H82" ca="1">INDIRECT($B82&amp;"!"&amp;H$19&amp;$O82)</f>
        <v>0</v>
      </c>
      <c r="I82" s="248" cm="1">
        <f t="array" aca="1" ref="I82" ca="1">INDIRECT($B82&amp;"!"&amp;I$19&amp;$O82)</f>
        <v>0</v>
      </c>
      <c r="J82" s="248" cm="1">
        <f t="array" aca="1" ref="J82" ca="1">INDIRECT($B82&amp;"!"&amp;J$19&amp;$O82)</f>
        <v>9.1999999999999993</v>
      </c>
      <c r="K82" s="248" cm="1">
        <f t="array" aca="1" ref="K82" ca="1">INDIRECT($B82&amp;"!"&amp;K$19&amp;$O82)</f>
        <v>9.16</v>
      </c>
      <c r="L82" s="248" cm="1">
        <f t="array" aca="1" ref="L82" ca="1">INDIRECT($B82&amp;"!"&amp;L$19&amp;$O82)</f>
        <v>8.3699999999999992</v>
      </c>
      <c r="M82" s="248" cm="1">
        <f t="array" aca="1" ref="M82" ca="1">INDIRECT($B82&amp;"!"&amp;M$19&amp;$O82)</f>
        <v>7.78</v>
      </c>
      <c r="N82" s="248" cm="1">
        <f t="array" aca="1" ref="N82" ca="1">INDIRECT($B82&amp;"!"&amp;N$19&amp;$O82)</f>
        <v>7.99</v>
      </c>
      <c r="O82" s="219">
        <v>26</v>
      </c>
      <c r="P82" s="6"/>
      <c r="Q82" s="25"/>
      <c r="R82" s="6"/>
      <c r="S82" s="6"/>
      <c r="T82" s="6"/>
      <c r="U82" s="6"/>
      <c r="V82" s="26"/>
      <c r="W82" s="6"/>
      <c r="X82" s="6"/>
      <c r="Y82" s="6"/>
      <c r="Z82" s="6"/>
      <c r="AA82" s="6"/>
      <c r="AB82" s="6"/>
    </row>
    <row r="83" spans="2:29" x14ac:dyDescent="0.25">
      <c r="B83" s="262"/>
      <c r="C83" s="16"/>
      <c r="D83" s="6"/>
      <c r="E83" s="6"/>
      <c r="F83" s="6"/>
      <c r="G83" s="6"/>
      <c r="H83" s="6"/>
      <c r="I83" s="6"/>
      <c r="J83" s="6"/>
      <c r="K83" s="6"/>
      <c r="L83" s="6"/>
      <c r="M83" s="6"/>
      <c r="N83" s="6"/>
      <c r="O83" s="219"/>
      <c r="P83" s="6"/>
      <c r="Q83" s="25"/>
      <c r="R83" s="6"/>
      <c r="S83" s="6"/>
      <c r="T83" s="6"/>
      <c r="U83" s="6"/>
      <c r="V83" s="26"/>
      <c r="W83" s="6"/>
      <c r="X83" s="6"/>
      <c r="Y83" s="6"/>
      <c r="Z83" s="6"/>
      <c r="AA83" s="6"/>
      <c r="AB83" s="6"/>
    </row>
    <row r="84" spans="2:29" x14ac:dyDescent="0.25">
      <c r="B84" s="256"/>
      <c r="C84" s="16"/>
      <c r="D84" s="6"/>
      <c r="E84" s="6">
        <v>2013</v>
      </c>
      <c r="F84" s="6">
        <v>2014</v>
      </c>
      <c r="G84" s="6">
        <v>2015</v>
      </c>
      <c r="H84" s="6">
        <v>2016</v>
      </c>
      <c r="I84" s="6">
        <v>2017</v>
      </c>
      <c r="J84" s="6">
        <v>2018</v>
      </c>
      <c r="K84" s="6">
        <v>2019</v>
      </c>
      <c r="L84" s="6">
        <v>2020</v>
      </c>
      <c r="M84" s="6">
        <v>2021</v>
      </c>
      <c r="N84" s="156" t="s">
        <v>122</v>
      </c>
      <c r="O84" s="5"/>
      <c r="P84" s="6"/>
      <c r="Q84" s="25"/>
      <c r="R84" s="6"/>
      <c r="S84" s="6"/>
      <c r="T84" s="6"/>
      <c r="U84" s="6"/>
      <c r="V84" s="26"/>
      <c r="W84" s="6"/>
      <c r="X84" s="6"/>
      <c r="Y84" s="6"/>
      <c r="Z84" s="6"/>
      <c r="AA84" s="6"/>
      <c r="AB84" s="6"/>
    </row>
    <row r="85" spans="2:29" x14ac:dyDescent="0.25">
      <c r="B85" s="262" t="s">
        <v>355</v>
      </c>
      <c r="C85" s="16"/>
      <c r="D85" s="3" t="s">
        <v>8</v>
      </c>
      <c r="E85" s="4" cm="1">
        <f t="array" aca="1" ref="E85" ca="1">INDIRECT($B85&amp;"!"&amp;E$19&amp;$O85)</f>
        <v>0</v>
      </c>
      <c r="F85" s="4" cm="1">
        <f t="array" aca="1" ref="F85" ca="1">INDIRECT($B85&amp;"!"&amp;F$19&amp;$O85)</f>
        <v>0</v>
      </c>
      <c r="G85" s="4" cm="1">
        <f t="array" aca="1" ref="G85" ca="1">INDIRECT($B85&amp;"!"&amp;G$19&amp;$O85)</f>
        <v>0</v>
      </c>
      <c r="H85" s="4" cm="1">
        <f t="array" aca="1" ref="H85" ca="1">INDIRECT($B85&amp;"!"&amp;H$19&amp;$O85)</f>
        <v>0</v>
      </c>
      <c r="I85" s="4" cm="1">
        <f t="array" aca="1" ref="I85" ca="1">INDIRECT($B85&amp;"!"&amp;I$19&amp;$O85)</f>
        <v>73.41</v>
      </c>
      <c r="J85" s="4" cm="1">
        <f t="array" aca="1" ref="J85" ca="1">INDIRECT($B85&amp;"!"&amp;J$19&amp;$O85)</f>
        <v>163.29</v>
      </c>
      <c r="K85" s="4" cm="1">
        <f t="array" aca="1" ref="K85" ca="1">INDIRECT($B85&amp;"!"&amp;K$19&amp;$O85)</f>
        <v>639.72</v>
      </c>
      <c r="L85" s="4" cm="1">
        <f t="array" aca="1" ref="L85" ca="1">INDIRECT($B85&amp;"!"&amp;L$19&amp;$O85)</f>
        <v>1032.0999999999999</v>
      </c>
      <c r="M85" s="4" cm="1">
        <f t="array" aca="1" ref="M85" ca="1">INDIRECT($B85&amp;"!"&amp;M$19&amp;$O85)</f>
        <v>1821.84</v>
      </c>
      <c r="N85" s="4" cm="1">
        <f t="array" aca="1" ref="N85" ca="1">INDIRECT($B85&amp;"!"&amp;N$19&amp;$O85)</f>
        <v>1636.26</v>
      </c>
      <c r="O85" s="219">
        <v>7</v>
      </c>
      <c r="P85" s="6"/>
      <c r="Q85" s="25"/>
      <c r="R85" s="6"/>
      <c r="S85" s="6"/>
      <c r="T85" s="6"/>
      <c r="U85" s="6"/>
      <c r="V85" s="26"/>
      <c r="W85" s="6"/>
      <c r="X85" s="6"/>
      <c r="Y85" s="6"/>
      <c r="Z85" s="6"/>
      <c r="AA85" s="6"/>
      <c r="AB85" s="6"/>
    </row>
    <row r="86" spans="2:29" x14ac:dyDescent="0.25">
      <c r="B86" s="262" t="s">
        <v>355</v>
      </c>
      <c r="C86" s="16"/>
      <c r="D86" s="3" t="s">
        <v>13</v>
      </c>
      <c r="E86" s="4" cm="1">
        <f t="array" aca="1" ref="E86" ca="1">INDIRECT($B86&amp;"!"&amp;E$19&amp;$O86)</f>
        <v>0</v>
      </c>
      <c r="F86" s="4" cm="1">
        <f t="array" aca="1" ref="F86" ca="1">INDIRECT($B86&amp;"!"&amp;F$19&amp;$O86)</f>
        <v>0</v>
      </c>
      <c r="G86" s="4" cm="1">
        <f t="array" aca="1" ref="G86" ca="1">INDIRECT($B86&amp;"!"&amp;G$19&amp;$O86)</f>
        <v>0</v>
      </c>
      <c r="H86" s="4" cm="1">
        <f t="array" aca="1" ref="H86" ca="1">INDIRECT($B86&amp;"!"&amp;H$19&amp;$O86)</f>
        <v>0</v>
      </c>
      <c r="I86" s="4" cm="1">
        <f t="array" aca="1" ref="I86" ca="1">INDIRECT($B86&amp;"!"&amp;I$19&amp;$O86)</f>
        <v>10.92</v>
      </c>
      <c r="J86" s="4" cm="1">
        <f t="array" aca="1" ref="J86" ca="1">INDIRECT($B86&amp;"!"&amp;J$19&amp;$O86)</f>
        <v>10.7</v>
      </c>
      <c r="K86" s="4" cm="1">
        <f t="array" aca="1" ref="K86" ca="1">INDIRECT($B86&amp;"!"&amp;K$19&amp;$O86)</f>
        <v>10.51</v>
      </c>
      <c r="L86" s="4" cm="1">
        <f t="array" aca="1" ref="L86" ca="1">INDIRECT($B86&amp;"!"&amp;L$19&amp;$O86)</f>
        <v>428.3</v>
      </c>
      <c r="M86" s="4" cm="1">
        <f t="array" aca="1" ref="M86" ca="1">INDIRECT($B86&amp;"!"&amp;M$19&amp;$O86)</f>
        <v>1293.21</v>
      </c>
      <c r="N86" s="4" cm="1">
        <f t="array" aca="1" ref="N86" ca="1">INDIRECT($B86&amp;"!"&amp;N$19&amp;$O86)</f>
        <v>1567.57</v>
      </c>
      <c r="O86" s="219">
        <v>75</v>
      </c>
      <c r="P86" s="6"/>
      <c r="Q86" s="25"/>
      <c r="R86" s="6"/>
      <c r="S86" s="6"/>
      <c r="T86" s="6"/>
      <c r="U86" s="6"/>
      <c r="V86" s="26"/>
      <c r="W86" s="6"/>
      <c r="X86" s="6"/>
      <c r="Y86" s="6"/>
      <c r="Z86" s="6"/>
      <c r="AA86" s="6"/>
      <c r="AB86" s="6"/>
    </row>
    <row r="87" spans="2:29" x14ac:dyDescent="0.25">
      <c r="B87" s="6"/>
      <c r="C87" s="16"/>
      <c r="D87" s="6"/>
      <c r="E87" s="6"/>
      <c r="F87" s="6"/>
      <c r="G87" s="6"/>
      <c r="H87" s="6"/>
      <c r="I87" s="6"/>
      <c r="J87" s="6"/>
      <c r="K87" s="6"/>
      <c r="L87" s="6"/>
      <c r="M87" s="6"/>
      <c r="N87" s="6"/>
      <c r="O87" s="5"/>
      <c r="P87" s="6"/>
      <c r="Q87" s="25"/>
      <c r="R87" s="6"/>
      <c r="S87" s="6"/>
      <c r="T87" s="6"/>
      <c r="U87" s="6"/>
      <c r="V87" s="26"/>
      <c r="W87" s="6"/>
      <c r="X87" s="6"/>
      <c r="Y87" s="6"/>
      <c r="Z87" s="6"/>
      <c r="AA87" s="6"/>
      <c r="AB87" s="6"/>
    </row>
    <row r="88" spans="2:29" x14ac:dyDescent="0.25">
      <c r="B88" s="6"/>
      <c r="C88" s="16"/>
      <c r="D88" s="6"/>
      <c r="E88" s="6"/>
      <c r="F88" s="6"/>
      <c r="G88" s="6"/>
      <c r="H88" s="6"/>
      <c r="I88" s="6"/>
      <c r="J88" s="6"/>
      <c r="K88" s="6"/>
      <c r="L88" s="6"/>
      <c r="M88" s="6"/>
      <c r="N88" s="6"/>
      <c r="O88" s="5"/>
      <c r="P88" s="6"/>
      <c r="Q88" s="25"/>
      <c r="R88" s="6"/>
      <c r="S88" s="6"/>
      <c r="T88" s="6"/>
      <c r="U88" s="6"/>
      <c r="V88" s="26"/>
      <c r="W88" s="6"/>
      <c r="X88" s="6"/>
      <c r="Y88" s="6"/>
      <c r="Z88" s="6"/>
      <c r="AA88" s="6"/>
      <c r="AB88" s="6"/>
    </row>
    <row r="89" spans="2:29" x14ac:dyDescent="0.25">
      <c r="B89" s="6"/>
      <c r="C89" s="16"/>
      <c r="D89" s="6"/>
      <c r="E89" s="6"/>
      <c r="F89" s="6"/>
      <c r="G89" s="6"/>
      <c r="H89" s="6"/>
      <c r="I89" s="6"/>
      <c r="J89" s="6"/>
      <c r="K89" s="6"/>
      <c r="L89" s="6"/>
      <c r="M89" s="6"/>
      <c r="N89" s="6"/>
      <c r="O89" s="5"/>
      <c r="P89" s="6"/>
      <c r="Q89" s="25"/>
      <c r="R89" s="6"/>
      <c r="S89" s="6"/>
      <c r="T89" s="6"/>
      <c r="U89" s="6"/>
      <c r="V89" s="26"/>
      <c r="W89" s="6"/>
      <c r="X89" s="6"/>
      <c r="Y89" s="6"/>
      <c r="Z89" s="6"/>
      <c r="AA89" s="6"/>
      <c r="AB89" s="6"/>
    </row>
    <row r="90" spans="2:29" x14ac:dyDescent="0.25">
      <c r="B90" s="6"/>
      <c r="C90" s="16"/>
      <c r="D90" s="6"/>
      <c r="E90" s="6"/>
      <c r="F90" s="6"/>
      <c r="G90" s="6"/>
      <c r="H90" s="6"/>
      <c r="I90" s="6"/>
      <c r="J90" s="6"/>
      <c r="K90" s="6"/>
      <c r="L90" s="6"/>
      <c r="M90" s="6"/>
      <c r="N90" s="6"/>
      <c r="O90" s="5"/>
      <c r="P90" s="6"/>
      <c r="Q90" s="25"/>
      <c r="R90" s="6"/>
      <c r="S90" s="6"/>
      <c r="T90" s="6"/>
      <c r="U90" s="6"/>
      <c r="V90" s="26"/>
      <c r="W90" s="6"/>
      <c r="X90" s="6"/>
      <c r="Y90" s="6"/>
      <c r="Z90" s="6"/>
      <c r="AA90" s="6"/>
      <c r="AB90" s="6"/>
    </row>
    <row r="91" spans="2:29" x14ac:dyDescent="0.25">
      <c r="B91" s="6"/>
      <c r="C91" s="16"/>
      <c r="D91" s="6"/>
      <c r="E91" s="6"/>
      <c r="F91" s="6"/>
      <c r="G91" s="6"/>
      <c r="H91" s="6"/>
      <c r="I91" s="6"/>
      <c r="J91" s="6"/>
      <c r="K91" s="6"/>
      <c r="L91" s="6"/>
      <c r="M91" s="6"/>
      <c r="N91" s="6"/>
      <c r="O91" s="5"/>
      <c r="P91" s="6"/>
      <c r="Q91" s="25"/>
      <c r="R91" s="6"/>
      <c r="S91" s="6"/>
      <c r="T91" s="6"/>
      <c r="U91" s="6"/>
      <c r="V91" s="26"/>
      <c r="W91" s="6"/>
      <c r="X91" s="6"/>
      <c r="Y91" s="6"/>
      <c r="Z91" s="6"/>
      <c r="AA91" s="6"/>
      <c r="AB91" s="6"/>
    </row>
    <row r="92" spans="2:29" x14ac:dyDescent="0.25">
      <c r="B92" s="6"/>
      <c r="C92" s="16"/>
      <c r="D92" s="6"/>
      <c r="E92" s="6"/>
      <c r="F92" s="6"/>
      <c r="G92" s="6"/>
      <c r="H92" s="6"/>
      <c r="I92" s="6"/>
      <c r="J92" s="6"/>
      <c r="K92" s="6"/>
      <c r="L92" s="6"/>
      <c r="M92" s="6"/>
      <c r="N92" s="6"/>
      <c r="O92" s="5"/>
      <c r="P92" s="6"/>
      <c r="Q92" s="25"/>
      <c r="R92" s="6"/>
      <c r="S92" s="6"/>
      <c r="T92" s="6"/>
      <c r="U92" s="6"/>
      <c r="V92" s="26"/>
      <c r="W92" s="6"/>
      <c r="X92" s="6"/>
      <c r="Y92" s="6"/>
      <c r="Z92" s="6"/>
      <c r="AA92" s="6"/>
      <c r="AB92" s="6"/>
    </row>
    <row r="93" spans="2:29" x14ac:dyDescent="0.25">
      <c r="B93" s="6"/>
      <c r="C93" s="16"/>
      <c r="D93" s="6"/>
      <c r="E93" s="6"/>
      <c r="F93" s="6"/>
      <c r="G93" s="6"/>
      <c r="H93" s="6"/>
      <c r="I93" s="6"/>
      <c r="J93" s="6"/>
      <c r="K93" s="6"/>
      <c r="L93" s="6"/>
      <c r="M93" s="6"/>
      <c r="N93" s="6"/>
      <c r="O93" s="5"/>
      <c r="P93" s="6"/>
      <c r="Q93" s="25"/>
      <c r="R93" s="6"/>
      <c r="S93" s="6"/>
      <c r="T93" s="6"/>
      <c r="U93" s="6"/>
      <c r="V93" s="26"/>
      <c r="W93" s="6"/>
      <c r="X93" s="6"/>
      <c r="Y93" s="6"/>
      <c r="Z93" s="6"/>
      <c r="AA93" s="6"/>
      <c r="AB93" s="6"/>
    </row>
    <row r="94" spans="2:29" x14ac:dyDescent="0.25">
      <c r="B94" s="6"/>
      <c r="C94" s="16"/>
      <c r="D94" s="6"/>
      <c r="E94" s="6"/>
      <c r="F94" s="6"/>
      <c r="G94" s="6"/>
      <c r="H94" s="6"/>
      <c r="I94" s="6"/>
      <c r="J94" s="6"/>
      <c r="K94" s="6"/>
      <c r="L94" s="6"/>
      <c r="M94" s="6"/>
      <c r="N94" s="6"/>
      <c r="O94" s="5"/>
      <c r="P94" s="6"/>
      <c r="Q94" s="25"/>
      <c r="R94" s="6"/>
      <c r="S94" s="6"/>
      <c r="T94" s="6"/>
      <c r="U94" s="6"/>
      <c r="V94" s="26"/>
      <c r="W94" s="6"/>
      <c r="X94" s="6"/>
      <c r="Y94" s="6"/>
      <c r="Z94" s="6"/>
      <c r="AA94" s="6"/>
      <c r="AB94" s="6"/>
    </row>
    <row r="95" spans="2:29" x14ac:dyDescent="0.25">
      <c r="B95" s="6"/>
      <c r="C95" s="16"/>
      <c r="D95" s="6"/>
      <c r="E95" s="6"/>
      <c r="F95" s="6"/>
      <c r="G95" s="6"/>
      <c r="H95" s="6"/>
      <c r="I95" s="6"/>
      <c r="J95" s="6"/>
      <c r="K95" s="6"/>
      <c r="L95" s="6"/>
      <c r="M95" s="6"/>
      <c r="N95" s="6"/>
      <c r="O95" s="5"/>
      <c r="P95" s="6"/>
      <c r="Q95" s="25"/>
      <c r="R95" s="6"/>
      <c r="S95" s="6"/>
      <c r="T95" s="6"/>
      <c r="U95" s="6"/>
      <c r="V95" s="26"/>
      <c r="W95" s="6"/>
      <c r="X95" s="6"/>
      <c r="Y95" s="6"/>
      <c r="Z95" s="6"/>
      <c r="AA95" s="6"/>
      <c r="AB95" s="6"/>
    </row>
    <row r="96" spans="2:29" x14ac:dyDescent="0.25">
      <c r="B96" s="6"/>
      <c r="C96" s="16"/>
      <c r="D96" s="6"/>
      <c r="E96" s="6"/>
      <c r="F96" s="251"/>
      <c r="G96" s="251"/>
      <c r="H96" s="251"/>
      <c r="I96" s="251"/>
      <c r="J96" s="6"/>
      <c r="K96" s="6"/>
      <c r="L96" s="6"/>
      <c r="M96" s="6"/>
      <c r="N96" s="6"/>
      <c r="O96" s="5"/>
      <c r="P96" s="6"/>
      <c r="Q96" s="25"/>
      <c r="R96" s="6"/>
      <c r="S96" s="6"/>
      <c r="T96" s="6"/>
      <c r="U96" s="6"/>
      <c r="V96" s="26"/>
      <c r="W96" s="6"/>
      <c r="X96" s="6"/>
      <c r="Y96" s="6"/>
      <c r="Z96" s="6"/>
      <c r="AA96" s="6"/>
      <c r="AB96" s="6"/>
    </row>
    <row r="97" spans="2:28" x14ac:dyDescent="0.25">
      <c r="B97" s="6"/>
      <c r="C97" s="16"/>
      <c r="D97" s="6"/>
      <c r="E97" s="6"/>
      <c r="F97" s="251"/>
      <c r="G97" s="251"/>
      <c r="H97" s="251"/>
      <c r="I97" s="251"/>
      <c r="J97" s="6"/>
      <c r="K97" s="6"/>
      <c r="L97" s="6"/>
      <c r="M97" s="6"/>
      <c r="N97" s="6"/>
      <c r="O97" s="5"/>
      <c r="P97" s="6"/>
      <c r="Q97" s="25"/>
      <c r="R97" s="6"/>
      <c r="S97" s="6"/>
      <c r="T97" s="6"/>
      <c r="U97" s="6"/>
      <c r="V97" s="26"/>
      <c r="W97" s="6"/>
      <c r="X97" s="6"/>
      <c r="Y97" s="6"/>
      <c r="Z97" s="6"/>
      <c r="AA97" s="6"/>
      <c r="AB97" s="6"/>
    </row>
    <row r="98" spans="2:28" x14ac:dyDescent="0.25">
      <c r="B98" s="6"/>
      <c r="C98" s="16"/>
      <c r="D98" s="6"/>
      <c r="E98" s="6"/>
      <c r="F98" s="252"/>
      <c r="G98" s="252"/>
      <c r="H98" s="252"/>
      <c r="I98" s="252"/>
      <c r="J98" s="6"/>
      <c r="K98" s="6"/>
      <c r="L98" s="6"/>
      <c r="M98" s="6"/>
      <c r="N98" s="6"/>
      <c r="O98" s="5"/>
      <c r="P98" s="6"/>
      <c r="Q98" s="25"/>
      <c r="R98" s="6"/>
      <c r="S98" s="6"/>
      <c r="T98" s="6"/>
      <c r="U98" s="6"/>
      <c r="V98" s="26"/>
      <c r="W98" s="6"/>
      <c r="X98" s="6"/>
      <c r="Y98" s="6"/>
      <c r="Z98" s="6"/>
      <c r="AA98" s="6"/>
      <c r="AB98" s="6"/>
    </row>
    <row r="99" spans="2:28" x14ac:dyDescent="0.25">
      <c r="B99" s="6"/>
      <c r="C99" s="16"/>
      <c r="D99" s="6"/>
      <c r="E99" s="6"/>
      <c r="F99" s="6"/>
      <c r="G99" s="6"/>
      <c r="H99" s="6"/>
      <c r="I99" s="6"/>
      <c r="J99" s="6"/>
      <c r="K99" s="6"/>
      <c r="L99" s="6"/>
      <c r="M99" s="6"/>
      <c r="N99" s="6"/>
      <c r="O99" s="5"/>
      <c r="P99" s="6"/>
      <c r="Q99" s="25"/>
      <c r="R99" s="6"/>
      <c r="S99" s="6"/>
      <c r="T99" s="6"/>
      <c r="U99" s="6"/>
      <c r="V99" s="26"/>
      <c r="W99" s="6"/>
      <c r="X99" s="6"/>
      <c r="Y99" s="6"/>
      <c r="Z99" s="6"/>
      <c r="AA99" s="6"/>
      <c r="AB99" s="6"/>
    </row>
    <row r="100" spans="2:28" x14ac:dyDescent="0.25">
      <c r="B100" s="6"/>
      <c r="C100" s="16"/>
      <c r="D100" s="6"/>
      <c r="E100" s="6"/>
      <c r="F100" s="6"/>
      <c r="G100" s="6"/>
      <c r="H100" s="6"/>
      <c r="I100" s="6"/>
      <c r="J100" s="6"/>
      <c r="K100" s="6"/>
      <c r="L100" s="6"/>
      <c r="M100" s="6"/>
      <c r="N100" s="6"/>
      <c r="O100" s="5"/>
      <c r="P100" s="6"/>
      <c r="Q100" s="25"/>
      <c r="R100" s="6"/>
      <c r="S100" s="6"/>
      <c r="T100" s="6"/>
      <c r="U100" s="6"/>
      <c r="V100" s="26"/>
      <c r="W100" s="6"/>
      <c r="X100" s="6"/>
      <c r="Y100" s="6"/>
      <c r="Z100" s="6"/>
      <c r="AA100" s="6"/>
      <c r="AB100" s="6"/>
    </row>
    <row r="101" spans="2:28" x14ac:dyDescent="0.25">
      <c r="B101" s="6"/>
      <c r="C101" s="16"/>
      <c r="D101" s="6"/>
      <c r="E101" s="6"/>
      <c r="F101" s="6"/>
      <c r="G101" s="6"/>
      <c r="H101" s="6"/>
      <c r="I101" s="6"/>
      <c r="J101" s="6"/>
      <c r="K101" s="6"/>
      <c r="L101" s="6"/>
      <c r="M101" s="6"/>
      <c r="N101" s="6"/>
      <c r="O101" s="5"/>
      <c r="P101" s="6"/>
      <c r="Q101" s="25"/>
      <c r="R101" s="6"/>
      <c r="S101" s="6"/>
      <c r="T101" s="6"/>
      <c r="U101" s="6"/>
      <c r="V101" s="26"/>
      <c r="W101" s="6"/>
      <c r="X101" s="6"/>
      <c r="Y101" s="6"/>
      <c r="Z101" s="6"/>
      <c r="AA101" s="6"/>
      <c r="AB101" s="6"/>
    </row>
    <row r="102" spans="2:28" x14ac:dyDescent="0.25">
      <c r="B102" s="6"/>
      <c r="C102" s="16"/>
      <c r="D102" s="6"/>
      <c r="E102" s="6"/>
      <c r="F102" s="250"/>
      <c r="G102" s="251"/>
      <c r="H102" s="251"/>
      <c r="I102" s="251"/>
      <c r="J102" s="251"/>
      <c r="K102" s="251"/>
      <c r="L102" s="251"/>
      <c r="M102" s="251"/>
      <c r="N102" s="251"/>
      <c r="O102" s="5"/>
      <c r="P102" s="251"/>
      <c r="Q102" s="25"/>
      <c r="R102" s="6"/>
      <c r="S102" s="6"/>
      <c r="T102" s="6"/>
      <c r="U102" s="6"/>
      <c r="V102" s="26"/>
      <c r="W102" s="6"/>
      <c r="X102" s="6"/>
      <c r="Y102" s="6"/>
      <c r="Z102" s="6"/>
      <c r="AA102" s="6"/>
      <c r="AB102" s="6"/>
    </row>
    <row r="103" spans="2:28" x14ac:dyDescent="0.25">
      <c r="B103" s="6"/>
      <c r="C103" s="16"/>
      <c r="D103" s="6"/>
      <c r="E103" s="6"/>
      <c r="F103" s="6"/>
      <c r="G103" s="6"/>
      <c r="H103" s="250"/>
      <c r="I103" s="6"/>
      <c r="J103" s="6"/>
      <c r="K103" s="6"/>
      <c r="L103" s="6"/>
      <c r="M103" s="6"/>
      <c r="N103" s="6"/>
      <c r="O103" s="5"/>
      <c r="P103" s="6"/>
      <c r="Q103" s="25"/>
      <c r="R103" s="6"/>
      <c r="S103" s="6"/>
      <c r="T103" s="6"/>
      <c r="U103" s="6"/>
      <c r="V103" s="26"/>
      <c r="W103" s="6"/>
      <c r="X103" s="6"/>
      <c r="Y103" s="6"/>
      <c r="Z103" s="6"/>
      <c r="AA103" s="6"/>
      <c r="AB103" s="6"/>
    </row>
    <row r="104" spans="2:28" x14ac:dyDescent="0.25">
      <c r="B104" s="6"/>
      <c r="C104" s="16"/>
      <c r="D104" s="6"/>
      <c r="E104" s="6"/>
      <c r="F104" s="6"/>
      <c r="G104" s="6"/>
      <c r="H104" s="253"/>
      <c r="I104" s="6"/>
      <c r="J104" s="6"/>
      <c r="K104" s="6"/>
      <c r="L104" s="6"/>
      <c r="M104" s="6"/>
      <c r="N104" s="6"/>
      <c r="O104" s="5"/>
      <c r="P104" s="6"/>
      <c r="Q104" s="25"/>
      <c r="R104" s="6"/>
      <c r="S104" s="6"/>
      <c r="T104" s="6"/>
      <c r="U104" s="6"/>
      <c r="V104" s="26"/>
      <c r="W104" s="6"/>
      <c r="X104" s="6"/>
      <c r="Y104" s="6"/>
      <c r="Z104" s="6"/>
      <c r="AA104" s="6"/>
      <c r="AB104" s="6"/>
    </row>
    <row r="105" spans="2:28" x14ac:dyDescent="0.25">
      <c r="B105" s="6"/>
      <c r="C105" s="16"/>
      <c r="D105" s="6"/>
      <c r="E105" s="6"/>
      <c r="F105" s="250"/>
      <c r="G105" s="251"/>
      <c r="H105" s="6"/>
      <c r="I105" s="6"/>
      <c r="J105" s="6"/>
      <c r="K105" s="6"/>
      <c r="L105" s="6"/>
      <c r="M105" s="6"/>
      <c r="N105" s="6"/>
      <c r="O105" s="5"/>
      <c r="P105" s="6"/>
      <c r="Q105" s="25"/>
      <c r="R105" s="6"/>
      <c r="S105" s="6"/>
      <c r="T105" s="6"/>
      <c r="U105" s="6"/>
      <c r="V105" s="26"/>
      <c r="W105" s="6"/>
      <c r="X105" s="6"/>
      <c r="Y105" s="6"/>
      <c r="Z105" s="6"/>
      <c r="AA105" s="6"/>
      <c r="AB105" s="6"/>
    </row>
    <row r="106" spans="2:28" x14ac:dyDescent="0.25">
      <c r="B106" s="6"/>
      <c r="C106" s="16"/>
      <c r="D106" s="6"/>
      <c r="E106" s="6"/>
      <c r="F106" s="6"/>
      <c r="G106" s="6"/>
      <c r="H106" s="6"/>
      <c r="I106" s="6"/>
      <c r="J106" s="6"/>
      <c r="K106" s="6"/>
      <c r="L106" s="6"/>
      <c r="M106" s="6"/>
      <c r="N106" s="6"/>
      <c r="O106" s="5"/>
      <c r="P106" s="6"/>
      <c r="Q106" s="25"/>
      <c r="R106" s="6"/>
      <c r="S106" s="6"/>
      <c r="T106" s="6"/>
      <c r="U106" s="6"/>
      <c r="V106" s="26"/>
      <c r="W106" s="6"/>
      <c r="X106" s="6"/>
      <c r="Y106" s="6"/>
    </row>
    <row r="107" spans="2:28" x14ac:dyDescent="0.25">
      <c r="B107" s="6"/>
      <c r="C107" s="16"/>
      <c r="D107" s="6"/>
      <c r="E107" s="6"/>
      <c r="F107" s="6"/>
      <c r="G107" s="6"/>
      <c r="H107" s="6"/>
      <c r="I107" s="6"/>
      <c r="J107" s="6"/>
      <c r="K107" s="6"/>
      <c r="L107" s="6"/>
      <c r="M107" s="6"/>
      <c r="N107" s="6"/>
      <c r="O107" s="5"/>
      <c r="P107" s="6"/>
      <c r="Q107" s="25"/>
      <c r="R107" s="6"/>
      <c r="S107" s="6"/>
      <c r="T107" s="6"/>
      <c r="U107" s="6"/>
      <c r="V107" s="26"/>
      <c r="W107" s="6"/>
      <c r="X107" s="6"/>
      <c r="Y107" s="6"/>
    </row>
    <row r="108" spans="2:28" x14ac:dyDescent="0.25">
      <c r="B108" s="6"/>
      <c r="C108" s="16"/>
      <c r="D108" s="6"/>
      <c r="E108" s="6"/>
      <c r="F108" s="250"/>
      <c r="G108" s="251"/>
      <c r="H108" s="6"/>
      <c r="I108" s="6"/>
      <c r="J108" s="6"/>
      <c r="K108" s="6"/>
      <c r="L108" s="6"/>
      <c r="M108" s="6"/>
      <c r="N108" s="6"/>
      <c r="O108" s="5"/>
      <c r="P108" s="6"/>
      <c r="Q108" s="25"/>
      <c r="R108" s="6"/>
      <c r="S108" s="6"/>
      <c r="T108" s="6"/>
      <c r="U108" s="6"/>
      <c r="V108" s="26"/>
      <c r="W108" s="6"/>
      <c r="X108" s="6"/>
      <c r="Y108" s="6"/>
    </row>
    <row r="109" spans="2:28" x14ac:dyDescent="0.25">
      <c r="B109" s="6"/>
      <c r="C109" s="16"/>
      <c r="D109" s="6"/>
      <c r="E109" s="6"/>
      <c r="F109" s="6"/>
      <c r="G109" s="6"/>
      <c r="H109" s="6"/>
      <c r="I109" s="6"/>
      <c r="J109" s="6"/>
      <c r="K109" s="6"/>
      <c r="L109" s="6"/>
      <c r="M109" s="6"/>
      <c r="N109" s="6"/>
      <c r="O109" s="5"/>
      <c r="P109" s="6"/>
      <c r="Q109" s="25"/>
      <c r="R109" s="6"/>
      <c r="S109" s="6"/>
      <c r="T109" s="6"/>
      <c r="U109" s="6"/>
      <c r="V109" s="26"/>
      <c r="W109" s="6"/>
      <c r="X109" s="6"/>
      <c r="Y109" s="6"/>
    </row>
    <row r="110" spans="2:28" x14ac:dyDescent="0.25">
      <c r="B110" s="6"/>
      <c r="C110" s="16"/>
      <c r="D110" s="6"/>
      <c r="E110" s="6"/>
      <c r="F110" s="6"/>
      <c r="G110" s="6"/>
      <c r="H110" s="6"/>
      <c r="I110" s="6"/>
      <c r="J110" s="6"/>
      <c r="K110" s="6"/>
      <c r="L110" s="6"/>
      <c r="M110" s="6"/>
      <c r="N110" s="6"/>
      <c r="O110" s="5"/>
      <c r="P110" s="6"/>
      <c r="Q110" s="25"/>
      <c r="R110" s="6"/>
      <c r="S110" s="6"/>
      <c r="T110" s="6"/>
      <c r="U110" s="6"/>
      <c r="V110" s="26"/>
      <c r="W110" s="6"/>
      <c r="X110" s="6"/>
      <c r="Y110" s="6"/>
    </row>
    <row r="111" spans="2:28" x14ac:dyDescent="0.25">
      <c r="B111" s="6"/>
      <c r="C111" s="16"/>
      <c r="D111" s="6"/>
      <c r="E111" s="6"/>
      <c r="F111" s="6"/>
      <c r="G111" s="6"/>
      <c r="H111" s="6"/>
      <c r="I111" s="6"/>
      <c r="J111" s="6"/>
      <c r="K111" s="6"/>
      <c r="L111" s="6"/>
      <c r="M111" s="6"/>
      <c r="N111" s="6"/>
      <c r="O111" s="5"/>
      <c r="P111" s="6"/>
      <c r="Q111" s="25"/>
      <c r="R111" s="6"/>
      <c r="S111" s="6"/>
      <c r="T111" s="6"/>
      <c r="U111" s="6"/>
      <c r="V111" s="26"/>
      <c r="W111" s="6"/>
      <c r="X111" s="6"/>
      <c r="Y111" s="6"/>
    </row>
    <row r="112" spans="2:28" x14ac:dyDescent="0.25">
      <c r="B112" s="6"/>
      <c r="C112" s="16"/>
      <c r="D112" s="6"/>
      <c r="E112" s="6"/>
      <c r="F112" s="6"/>
      <c r="G112" s="6"/>
      <c r="H112" s="6"/>
      <c r="I112" s="6"/>
      <c r="J112" s="6"/>
      <c r="K112" s="6"/>
      <c r="L112" s="6"/>
      <c r="M112" s="6"/>
      <c r="N112" s="6"/>
      <c r="O112" s="5"/>
      <c r="P112" s="6"/>
      <c r="Q112" s="25"/>
      <c r="R112" s="6"/>
      <c r="S112" s="6"/>
      <c r="T112" s="6"/>
      <c r="U112" s="6"/>
      <c r="V112" s="26"/>
      <c r="W112" s="6"/>
      <c r="X112" s="6"/>
      <c r="Y112" s="6"/>
    </row>
    <row r="113" spans="2:25" x14ac:dyDescent="0.25">
      <c r="B113" s="6"/>
      <c r="C113" s="16"/>
      <c r="D113" s="6"/>
      <c r="E113" s="6"/>
      <c r="F113" s="6"/>
      <c r="G113" s="6"/>
      <c r="H113" s="6"/>
      <c r="I113" s="6"/>
      <c r="J113" s="6"/>
      <c r="K113" s="6"/>
      <c r="L113" s="6"/>
      <c r="M113" s="6"/>
      <c r="N113" s="6"/>
      <c r="O113" s="5"/>
      <c r="P113" s="6"/>
      <c r="Q113" s="25"/>
      <c r="R113" s="6"/>
      <c r="S113" s="6"/>
      <c r="T113" s="6"/>
      <c r="U113" s="6"/>
      <c r="V113" s="26"/>
      <c r="W113" s="6"/>
      <c r="X113" s="6"/>
      <c r="Y113" s="6"/>
    </row>
    <row r="114" spans="2:25" x14ac:dyDescent="0.25">
      <c r="B114" s="6"/>
      <c r="C114" s="17"/>
      <c r="D114" s="19"/>
      <c r="E114" s="19"/>
      <c r="F114" s="19"/>
      <c r="G114" s="19"/>
      <c r="H114" s="19"/>
      <c r="I114" s="19"/>
      <c r="J114" s="19"/>
      <c r="K114" s="19"/>
      <c r="L114" s="19"/>
      <c r="M114" s="19"/>
      <c r="N114" s="19"/>
      <c r="O114" s="18"/>
      <c r="P114" s="6"/>
      <c r="Q114" s="27"/>
      <c r="R114" s="28"/>
      <c r="S114" s="28"/>
      <c r="T114" s="28"/>
      <c r="U114" s="28"/>
      <c r="V114" s="29"/>
      <c r="W114" s="6"/>
      <c r="X114" s="6"/>
      <c r="Y114" s="6"/>
    </row>
    <row r="115" spans="2:25" x14ac:dyDescent="0.25">
      <c r="B115" s="6"/>
      <c r="C115" s="6"/>
      <c r="D115" s="6"/>
      <c r="E115" s="6"/>
      <c r="F115" s="6"/>
      <c r="G115" s="6"/>
      <c r="H115" s="6"/>
      <c r="I115" s="6"/>
      <c r="J115" s="6"/>
      <c r="K115" s="6"/>
      <c r="L115" s="6"/>
      <c r="M115" s="6"/>
      <c r="N115" s="6"/>
      <c r="O115" s="6"/>
      <c r="P115" s="6"/>
      <c r="Q115" s="6"/>
      <c r="R115" s="6"/>
      <c r="S115" s="6"/>
      <c r="T115" s="6"/>
      <c r="U115" s="6"/>
      <c r="V115" s="6"/>
      <c r="W115" s="6"/>
      <c r="X115" s="6"/>
      <c r="Y115" s="6"/>
    </row>
    <row r="116" spans="2:25" x14ac:dyDescent="0.25">
      <c r="B116" s="6"/>
      <c r="C116" s="6"/>
      <c r="D116" s="6"/>
      <c r="E116" s="6"/>
      <c r="F116" s="6"/>
      <c r="G116" s="6"/>
      <c r="H116" s="6"/>
      <c r="I116" s="6"/>
      <c r="J116" s="6"/>
      <c r="K116" s="6"/>
      <c r="L116" s="6"/>
      <c r="M116" s="6"/>
      <c r="N116" s="6"/>
      <c r="O116" s="6"/>
      <c r="P116" s="6"/>
      <c r="Q116" s="6"/>
      <c r="R116" s="6"/>
      <c r="S116" s="6"/>
      <c r="T116" s="6"/>
      <c r="U116" s="6"/>
      <c r="V116" s="6"/>
      <c r="W116" s="6"/>
      <c r="X116" s="6"/>
      <c r="Y116" s="6"/>
    </row>
    <row r="117" spans="2:25" x14ac:dyDescent="0.25">
      <c r="B117" s="6"/>
      <c r="C117" s="6"/>
      <c r="D117" s="6"/>
      <c r="E117" s="6"/>
      <c r="F117" s="6"/>
      <c r="G117" s="6"/>
      <c r="H117" s="6"/>
      <c r="I117" s="6"/>
      <c r="J117" s="6"/>
      <c r="K117" s="6"/>
      <c r="L117" s="6"/>
      <c r="M117" s="6"/>
      <c r="N117" s="6"/>
      <c r="O117" s="6"/>
      <c r="P117" s="6"/>
      <c r="Q117" s="6"/>
      <c r="R117" s="6"/>
      <c r="S117" s="6"/>
      <c r="T117" s="6"/>
      <c r="U117" s="6"/>
      <c r="V117" s="6"/>
      <c r="W117" s="6"/>
      <c r="X117" s="6"/>
      <c r="Y117" s="6"/>
    </row>
  </sheetData>
  <mergeCells count="38">
    <mergeCell ref="K70:L70"/>
    <mergeCell ref="K71:L72"/>
    <mergeCell ref="G70:H70"/>
    <mergeCell ref="G71:H72"/>
    <mergeCell ref="G66:H66"/>
    <mergeCell ref="G68:H69"/>
    <mergeCell ref="R13:S13"/>
    <mergeCell ref="D2:G2"/>
    <mergeCell ref="D4:G17"/>
    <mergeCell ref="S1:T1"/>
    <mergeCell ref="H1:K1"/>
    <mergeCell ref="K16:L16"/>
    <mergeCell ref="K17:L17"/>
    <mergeCell ref="R7:R8"/>
    <mergeCell ref="S7:S8"/>
    <mergeCell ref="T7:T8"/>
    <mergeCell ref="R14:S14"/>
    <mergeCell ref="S16:T17"/>
    <mergeCell ref="R2:S2"/>
    <mergeCell ref="L8:M8"/>
    <mergeCell ref="J13:K14"/>
    <mergeCell ref="J12:K12"/>
    <mergeCell ref="U7:U8"/>
    <mergeCell ref="R10:S10"/>
    <mergeCell ref="R11:S11"/>
    <mergeCell ref="R12:S12"/>
    <mergeCell ref="L9:M9"/>
    <mergeCell ref="L12:M12"/>
    <mergeCell ref="G67:H67"/>
    <mergeCell ref="I67:J68"/>
    <mergeCell ref="L2:O2"/>
    <mergeCell ref="L13:M14"/>
    <mergeCell ref="J5:M5"/>
    <mergeCell ref="K66:N66"/>
    <mergeCell ref="K67:L67"/>
    <mergeCell ref="K68:L69"/>
    <mergeCell ref="M67:N67"/>
    <mergeCell ref="M68:N69"/>
  </mergeCells>
  <pageMargins left="0.7" right="0.7" top="0.75" bottom="0.75" header="0.3" footer="0.3"/>
  <pageSetup paperSize="9" orientation="portrait" r:id="rId1"/>
  <ignoredErrors>
    <ignoredError sqref="N59 I59:M59" formula="1"/>
  </ignoredErrors>
  <drawing r:id="rId2"/>
  <extLst>
    <ext xmlns:x14="http://schemas.microsoft.com/office/spreadsheetml/2009/9/main" uri="{05C60535-1F16-4fd2-B633-F4F36F0B64E0}">
      <x14:sparklineGroups xmlns:xm="http://schemas.microsoft.com/office/excel/2006/main">
        <x14:sparklineGroup type="column" displayEmptyCellsAs="gap" negative="1" xr2:uid="{A29080DE-1519-4C81-B897-0DCC981AA73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Financials!E21:N21</xm:f>
              <xm:sqref>X21</xm:sqref>
            </x14:sparkline>
            <x14:sparkline>
              <xm:f>Financials!E22:N22</xm:f>
              <xm:sqref>X22</xm:sqref>
            </x14:sparkline>
            <x14:sparkline>
              <xm:f>Financials!E23:N23</xm:f>
              <xm:sqref>X23</xm:sqref>
            </x14:sparkline>
            <x14:sparkline>
              <xm:f>Financials!E24:N24</xm:f>
              <xm:sqref>X24</xm:sqref>
            </x14:sparkline>
            <x14:sparkline>
              <xm:f>Financials!E25:N25</xm:f>
              <xm:sqref>X25</xm:sqref>
            </x14:sparkline>
            <x14:sparkline>
              <xm:f>Financials!E29:N29</xm:f>
              <xm:sqref>X29</xm:sqref>
            </x14:sparkline>
            <x14:sparkline>
              <xm:f>Financials!E30:N30</xm:f>
              <xm:sqref>X30</xm:sqref>
            </x14:sparkline>
            <x14:sparkline>
              <xm:f>Financials!E31:N31</xm:f>
              <xm:sqref>X31</xm:sqref>
            </x14:sparkline>
            <x14:sparkline>
              <xm:f>Financials!E32:N32</xm:f>
              <xm:sqref>X32</xm:sqref>
            </x14:sparkline>
            <x14:sparkline>
              <xm:f>Financials!E33:N33</xm:f>
              <xm:sqref>X33</xm:sqref>
            </x14:sparkline>
            <x14:sparkline>
              <xm:f>Financials!E34:N34</xm:f>
              <xm:sqref>X34</xm:sqref>
            </x14:sparkline>
            <x14:sparkline>
              <xm:f>Financials!E35:N35</xm:f>
              <xm:sqref>X35</xm:sqref>
            </x14:sparkline>
            <x14:sparkline>
              <xm:f>Financials!E36:N36</xm:f>
              <xm:sqref>X36</xm:sqref>
            </x14:sparkline>
            <x14:sparkline>
              <xm:f>Financials!E37:N37</xm:f>
              <xm:sqref>X37</xm:sqref>
            </x14:sparkline>
            <x14:sparkline>
              <xm:f>Financials!E38:N38</xm:f>
              <xm:sqref>X38</xm:sqref>
            </x14:sparkline>
            <x14:sparkline>
              <xm:f>Financials!E39:N39</xm:f>
              <xm:sqref>X39</xm:sqref>
            </x14:sparkline>
          </x14:sparklines>
        </x14:sparklineGroup>
        <x14:sparklineGroup type="column" displayEmptyCellsAs="gap" negative="1" xr2:uid="{230EFFF2-7840-4358-BEBA-8AE1E607380B}">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Financials!E26:N26</xm:f>
              <xm:sqref>X26</xm:sqref>
            </x14:sparkline>
            <x14:sparkline>
              <xm:f>Financials!E27:N27</xm:f>
              <xm:sqref>X27</xm:sqref>
            </x14:sparkline>
            <x14:sparkline>
              <xm:f>Financials!E28:N28</xm:f>
              <xm:sqref>X28</xm:sqref>
            </x14:sparkline>
          </x14:sparklines>
        </x14:sparklineGroup>
        <x14:sparklineGroup displayEmptyCellsAs="gap" xr2:uid="{CFCB6899-40E7-414C-A37D-00F2B1C66BC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Financials!E43:N43</xm:f>
              <xm:sqref>X43</xm:sqref>
            </x14:sparkline>
            <x14:sparkline>
              <xm:f>Financials!E45:N45</xm:f>
              <xm:sqref>X45</xm:sqref>
            </x14:sparkline>
            <x14:sparkline>
              <xm:f>Financials!E47:N47</xm:f>
              <xm:sqref>X47</xm:sqref>
            </x14:sparkline>
            <x14:sparkline>
              <xm:f>Financials!E49:N49</xm:f>
              <xm:sqref>X49</xm:sqref>
            </x14:sparkline>
            <x14:sparkline>
              <xm:f>Financials!E51:N51</xm:f>
              <xm:sqref>X51</xm:sqref>
            </x14:sparkline>
          </x14:sparklines>
        </x14:sparklineGroup>
        <x14:sparklineGroup displayEmptyCellsAs="gap" xr2:uid="{65E6805F-D7CA-40CC-962D-E3B0E777CD2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Financials!E44:N44</xm:f>
              <xm:sqref>X44</xm:sqref>
            </x14:sparkline>
            <x14:sparkline>
              <xm:f>Financials!E46:N46</xm:f>
              <xm:sqref>X46</xm:sqref>
            </x14:sparkline>
            <x14:sparkline>
              <xm:f>Financials!E48:N48</xm:f>
              <xm:sqref>X48</xm:sqref>
            </x14:sparkline>
            <x14:sparkline>
              <xm:f>Financials!E50:N50</xm:f>
              <xm:sqref>X50</xm:sqref>
            </x14:sparkline>
            <x14:sparkline>
              <xm:f>Financials!E52:N52</xm:f>
              <xm:sqref>X52</xm:sqref>
            </x14:sparkline>
          </x14:sparklines>
        </x14:sparklineGroup>
        <x14:sparklineGroup displayEmptyCellsAs="gap" xr2:uid="{94F66E19-BE19-4E2F-9C62-BD2331064702}">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Financials!E53:N53</xm:f>
              <xm:sqref>X53</xm:sqref>
            </x14:sparkline>
          </x14:sparklines>
        </x14:sparklineGroup>
        <x14:sparklineGroup displayEmptyCellsAs="gap" xr2:uid="{C4AD86C1-2E18-494B-94CD-09520F9A857D}">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Financials!E56:N56</xm:f>
              <xm:sqref>X56</xm:sqref>
            </x14:sparkline>
          </x14:sparklines>
        </x14:sparklineGroup>
        <x14:sparklineGroup displayEmptyCellsAs="gap" xr2:uid="{C46EF7F2-33E4-4095-AF62-E5865F92C52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Financials!E57:N57</xm:f>
              <xm:sqref>X57</xm:sqref>
            </x14:sparkline>
          </x14:sparklines>
        </x14:sparklineGroup>
        <x14:sparklineGroup displayEmptyCellsAs="gap" xr2:uid="{433500B4-57E4-4E11-A169-24FAF2AFF483}">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Financials!E58:N58</xm:f>
              <xm:sqref>X58</xm:sqref>
            </x14:sparkline>
          </x14:sparklines>
        </x14:sparklineGroup>
        <x14:sparklineGroup displayEmptyCellsAs="gap" xr2:uid="{0657F2EC-D237-4E03-AFF7-C85EC724BEFE}">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Financials!E61:N61</xm:f>
              <xm:sqref>X60</xm:sqref>
            </x14:sparkline>
          </x14:sparklines>
        </x14:sparklineGroup>
        <x14:sparklineGroup displayEmptyCellsAs="gap" xr2:uid="{F1101436-E168-4F1E-9D9B-522A4C8209F0}">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Financials!E59:N59</xm:f>
              <xm:sqref>X59</xm:sqref>
            </x14:sparkline>
          </x14:sparklines>
        </x14:sparklineGroup>
        <x14:sparklineGroup displayEmptyCellsAs="gap" xr2:uid="{241835A0-2E04-4194-B0FA-B9A90B7A317C}">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Financials!E62:N62</xm:f>
              <xm:sqref>X61</xm:sqref>
            </x14:sparkline>
          </x14:sparklines>
        </x14:sparklineGroup>
        <x14:sparklineGroup type="column" displayEmptyCellsAs="gap" negative="1" xr2:uid="{10611F1E-11A1-4E50-B3DA-E635E64A0A16}">
          <x14:colorSeries theme="8" tint="0.39997558519241921"/>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Financials!E40:N40</xm:f>
              <xm:sqref>X40</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13BEC-2251-41BA-979D-E851580E43EF}">
  <sheetPr codeName="Hoja6"/>
  <dimension ref="A1:S34"/>
  <sheetViews>
    <sheetView workbookViewId="0">
      <selection activeCell="E36" sqref="E36"/>
    </sheetView>
  </sheetViews>
  <sheetFormatPr baseColWidth="10" defaultRowHeight="15" x14ac:dyDescent="0.25"/>
  <cols>
    <col min="2" max="2" width="30" customWidth="1"/>
    <col min="3" max="3" width="33" bestFit="1" customWidth="1"/>
    <col min="4" max="4" width="7.42578125" bestFit="1" customWidth="1"/>
    <col min="5" max="5" width="11.7109375" bestFit="1" customWidth="1"/>
    <col min="6" max="6" width="10.85546875" customWidth="1"/>
    <col min="7" max="7" width="16" bestFit="1" customWidth="1"/>
    <col min="8" max="8" width="14" bestFit="1" customWidth="1"/>
    <col min="9" max="9" width="11.85546875" bestFit="1" customWidth="1"/>
    <col min="10" max="10" width="10.85546875" bestFit="1" customWidth="1"/>
    <col min="11" max="11" width="14.28515625" bestFit="1" customWidth="1"/>
    <col min="12" max="12" width="13.5703125" bestFit="1" customWidth="1"/>
    <col min="13" max="13" width="11.5703125" bestFit="1" customWidth="1"/>
    <col min="14" max="14" width="10.5703125" bestFit="1" customWidth="1"/>
    <col min="15" max="15" width="11" bestFit="1" customWidth="1"/>
    <col min="16" max="16" width="10.140625" bestFit="1" customWidth="1"/>
    <col min="17" max="17" width="11.85546875" bestFit="1" customWidth="1"/>
    <col min="18" max="18" width="16.28515625" bestFit="1" customWidth="1"/>
    <col min="19" max="19" width="18.85546875" bestFit="1" customWidth="1"/>
  </cols>
  <sheetData>
    <row r="1" spans="1:19" s="80" customFormat="1" ht="17.100000000000001" customHeight="1" x14ac:dyDescent="0.25">
      <c r="A1" s="107" t="s">
        <v>100</v>
      </c>
      <c r="B1" s="108" t="s">
        <v>101</v>
      </c>
      <c r="C1" s="109" t="s">
        <v>102</v>
      </c>
      <c r="D1" s="109" t="s">
        <v>121</v>
      </c>
      <c r="E1" s="109" t="s">
        <v>103</v>
      </c>
      <c r="F1" s="109" t="s">
        <v>104</v>
      </c>
      <c r="G1" s="110" t="s">
        <v>105</v>
      </c>
      <c r="H1" s="110" t="s">
        <v>59</v>
      </c>
      <c r="I1" s="110" t="s">
        <v>115</v>
      </c>
      <c r="J1" s="110" t="s">
        <v>106</v>
      </c>
      <c r="K1" s="110" t="s">
        <v>113</v>
      </c>
      <c r="L1" s="110" t="s">
        <v>114</v>
      </c>
      <c r="M1" s="110" t="s">
        <v>118</v>
      </c>
      <c r="N1" s="110" t="s">
        <v>116</v>
      </c>
      <c r="O1" s="110" t="s">
        <v>117</v>
      </c>
      <c r="P1" s="110" t="s">
        <v>111</v>
      </c>
      <c r="Q1" s="110" t="s">
        <v>107</v>
      </c>
      <c r="R1" s="110" t="s">
        <v>108</v>
      </c>
      <c r="S1" s="109" t="s">
        <v>109</v>
      </c>
    </row>
    <row r="2" spans="1:19" ht="17.100000000000001" customHeight="1" x14ac:dyDescent="0.25">
      <c r="A2" s="146" t="str" cm="1">
        <f t="array" ref="A2">_FV(B2,"Ticker symbol",TRUE)</f>
        <v>GOOGL</v>
      </c>
      <c r="B2" s="147" t="e" vm="2">
        <v>#VALUE!</v>
      </c>
      <c r="C2" s="148" t="str" cm="1">
        <f t="array" ref="C2">_FV(B2,"Industry")</f>
        <v>Software &amp; IT Services</v>
      </c>
      <c r="D2" s="149"/>
      <c r="E2" s="150" cm="1">
        <f t="array" ref="E2">_FV(B2,"Price")</f>
        <v>98.02</v>
      </c>
      <c r="F2" s="151">
        <v>5808</v>
      </c>
      <c r="G2" s="143">
        <f t="shared" ref="G2:G33" si="0">F2/E2</f>
        <v>59.25321362987146</v>
      </c>
      <c r="H2" s="101"/>
      <c r="I2" s="89" t="s">
        <v>90</v>
      </c>
      <c r="J2" s="89" t="s">
        <v>92</v>
      </c>
      <c r="K2" s="89"/>
      <c r="L2" s="94">
        <v>0.29499999999999998</v>
      </c>
      <c r="M2" s="94">
        <v>0.41149999999999998</v>
      </c>
      <c r="N2" s="94"/>
      <c r="O2" s="94">
        <v>0.8881</v>
      </c>
      <c r="P2" s="94">
        <v>0.25900000000000001</v>
      </c>
      <c r="Q2" s="89" t="s">
        <v>91</v>
      </c>
      <c r="R2" s="89" t="s">
        <v>88</v>
      </c>
      <c r="S2" s="111">
        <v>44633</v>
      </c>
    </row>
    <row r="3" spans="1:19" ht="17.100000000000001" customHeight="1" x14ac:dyDescent="0.25">
      <c r="A3" s="152" t="str" cm="1">
        <f t="array" ref="A3">_FV(B3,"Ticker symbol",TRUE)</f>
        <v>MSTR</v>
      </c>
      <c r="B3" s="81" t="e" vm="3">
        <v>#VALUE!</v>
      </c>
      <c r="C3" s="82" t="str" cm="1">
        <f t="array" ref="C3">_FV(B3,"Industry")</f>
        <v>Software &amp; IT Services</v>
      </c>
      <c r="D3" s="140"/>
      <c r="E3" s="83" cm="1">
        <f t="array" ref="E3">_FV(B3,"Price")</f>
        <v>240.03</v>
      </c>
      <c r="F3" s="153">
        <v>8499</v>
      </c>
      <c r="G3" s="144">
        <f t="shared" si="0"/>
        <v>35.408073990751156</v>
      </c>
      <c r="H3" s="104"/>
      <c r="I3" s="87" t="s">
        <v>87</v>
      </c>
      <c r="J3" s="88"/>
      <c r="K3" s="88"/>
      <c r="L3" s="88"/>
      <c r="M3" s="88"/>
      <c r="N3" s="88"/>
      <c r="O3" s="88"/>
      <c r="P3" s="88"/>
      <c r="Q3" s="88"/>
      <c r="R3" s="89" t="s">
        <v>88</v>
      </c>
      <c r="S3" s="112">
        <v>44561</v>
      </c>
    </row>
    <row r="4" spans="1:19" ht="17.100000000000001" customHeight="1" x14ac:dyDescent="0.25">
      <c r="A4" s="152" t="str" cm="1">
        <f t="array" ref="A4">_FV(B4,"Ticker symbol",TRUE)</f>
        <v>TUEM</v>
      </c>
      <c r="B4" s="81" t="e" vm="4">
        <v>#VALUE!</v>
      </c>
      <c r="C4" s="82" t="str" cm="1">
        <f t="array" ref="C4">_FV(B4,"Industry")</f>
        <v>Diversified Retail</v>
      </c>
      <c r="D4" s="140"/>
      <c r="E4" s="83" cm="1">
        <f t="array" ref="E4">_FV(B4,"Price")</f>
        <v>0.55189999999999995</v>
      </c>
      <c r="F4" s="102">
        <v>7.9</v>
      </c>
      <c r="G4" s="143">
        <f t="shared" si="0"/>
        <v>14.314187352781303</v>
      </c>
      <c r="H4" s="141"/>
      <c r="I4" s="87" t="s">
        <v>87</v>
      </c>
      <c r="J4" s="87" t="s">
        <v>93</v>
      </c>
      <c r="K4" s="90"/>
      <c r="L4" s="91">
        <v>4.0000000000000001E-3</v>
      </c>
      <c r="M4" s="91">
        <v>-0.2104</v>
      </c>
      <c r="N4" s="91"/>
      <c r="O4" s="91">
        <v>-1.0179</v>
      </c>
      <c r="P4" s="91">
        <v>3.7999999999999999E-2</v>
      </c>
      <c r="Q4" s="87" t="s">
        <v>110</v>
      </c>
      <c r="R4" s="89" t="s">
        <v>88</v>
      </c>
      <c r="S4" s="112">
        <v>44868</v>
      </c>
    </row>
    <row r="5" spans="1:19" ht="17.100000000000001" customHeight="1" x14ac:dyDescent="0.25">
      <c r="A5" s="152" t="str" cm="1">
        <f t="array" ref="A5">_FV(B5,"Ticker symbol",TRUE)</f>
        <v>NTDOY</v>
      </c>
      <c r="B5" s="81" t="e" vm="5">
        <v>#VALUE!</v>
      </c>
      <c r="C5" s="82" t="str" cm="1">
        <f t="array" ref="C5">_FV(B5,"Industry")</f>
        <v>Leisure Products</v>
      </c>
      <c r="D5" s="140"/>
      <c r="E5" s="83" cm="1">
        <f t="array" ref="E5">_FV(B5,"Price")</f>
        <v>10.74</v>
      </c>
      <c r="F5" s="102">
        <v>89</v>
      </c>
      <c r="G5" s="143">
        <f t="shared" si="0"/>
        <v>8.2867783985102417</v>
      </c>
      <c r="H5" s="101"/>
      <c r="I5" s="89" t="s">
        <v>90</v>
      </c>
      <c r="J5" s="89" t="s">
        <v>92</v>
      </c>
      <c r="K5" s="89"/>
      <c r="L5" s="94">
        <v>0.28000000000000003</v>
      </c>
      <c r="M5" s="93">
        <v>0.1</v>
      </c>
      <c r="N5" s="93"/>
      <c r="O5" s="94">
        <v>0.2</v>
      </c>
      <c r="P5" s="94">
        <v>0.25</v>
      </c>
      <c r="Q5" s="89" t="s">
        <v>91</v>
      </c>
      <c r="R5" s="95" t="s">
        <v>97</v>
      </c>
      <c r="S5" s="112">
        <v>44622</v>
      </c>
    </row>
    <row r="6" spans="1:19" ht="17.100000000000001" customHeight="1" x14ac:dyDescent="0.25">
      <c r="A6" s="152" t="str" cm="1">
        <f t="array" ref="A6">_FV(B6,"Ticker symbol",TRUE)</f>
        <v>GBUS</v>
      </c>
      <c r="B6" s="81" t="e" vm="6">
        <v>#VALUE!</v>
      </c>
      <c r="C6" s="82" t="str" cm="1">
        <f t="array" ref="C6">_FV(B6,"Industry")</f>
        <v>Homebuilding &amp; Construction Supplies</v>
      </c>
      <c r="D6" s="140"/>
      <c r="E6" s="84" cm="1">
        <f t="array" ref="E6">_FV(B6,"Price")</f>
        <v>15.5</v>
      </c>
      <c r="F6" s="102">
        <v>87</v>
      </c>
      <c r="G6" s="143">
        <f t="shared" si="0"/>
        <v>5.612903225806452</v>
      </c>
      <c r="H6" s="101"/>
      <c r="I6" s="89" t="s">
        <v>90</v>
      </c>
      <c r="J6" s="92" t="s">
        <v>89</v>
      </c>
      <c r="K6" s="92"/>
      <c r="L6" s="93">
        <v>0.16</v>
      </c>
      <c r="M6" s="94">
        <v>0.4</v>
      </c>
      <c r="N6" s="94"/>
      <c r="O6" s="94">
        <v>1</v>
      </c>
      <c r="P6" s="94">
        <v>0.42</v>
      </c>
      <c r="Q6" s="89" t="s">
        <v>91</v>
      </c>
      <c r="R6" s="89" t="s">
        <v>88</v>
      </c>
      <c r="S6" s="112">
        <v>44670</v>
      </c>
    </row>
    <row r="7" spans="1:19" ht="17.100000000000001" customHeight="1" x14ac:dyDescent="0.25">
      <c r="A7" s="152" t="str" cm="1">
        <f t="array" ref="A7">_FV(B7,"Ticker symbol",TRUE)</f>
        <v>327</v>
      </c>
      <c r="B7" s="81" t="e" vm="7">
        <v>#VALUE!</v>
      </c>
      <c r="C7" s="82" t="str" cm="1">
        <f t="array" ref="C7">_FV(B7,"Industry")</f>
        <v>Office Equipment</v>
      </c>
      <c r="D7" s="140"/>
      <c r="E7" s="83" cm="1">
        <f t="array" ref="E7">_FV(B7,"Price")</f>
        <v>7.22</v>
      </c>
      <c r="F7" s="102">
        <v>36</v>
      </c>
      <c r="G7" s="143">
        <f t="shared" si="0"/>
        <v>4.986149584487535</v>
      </c>
      <c r="H7" s="100"/>
      <c r="I7" s="90" t="s">
        <v>93</v>
      </c>
      <c r="J7" s="92" t="s">
        <v>89</v>
      </c>
      <c r="K7" s="92"/>
      <c r="L7" s="93">
        <v>0.16</v>
      </c>
      <c r="M7" s="94">
        <v>0.1472</v>
      </c>
      <c r="N7" s="94"/>
      <c r="O7" s="94">
        <v>0.45150000000000001</v>
      </c>
      <c r="P7" s="93">
        <v>0.17929999999999999</v>
      </c>
      <c r="Q7" s="89" t="s">
        <v>91</v>
      </c>
      <c r="R7" s="89" t="s">
        <v>88</v>
      </c>
      <c r="S7" s="112">
        <v>44199</v>
      </c>
    </row>
    <row r="8" spans="1:19" ht="17.100000000000001" customHeight="1" x14ac:dyDescent="0.25">
      <c r="A8" s="152" t="str" cm="1">
        <f t="array" ref="A8">_FV(B8,"Ticker symbol",TRUE)</f>
        <v>HEAR</v>
      </c>
      <c r="B8" s="81" t="e" vm="8">
        <v>#VALUE!</v>
      </c>
      <c r="C8" s="82" t="str" cm="1">
        <f t="array" ref="C8">_FV(B8,"Industry")</f>
        <v>Computers, Phones &amp; Household Electronics</v>
      </c>
      <c r="D8" s="140"/>
      <c r="E8" s="83" cm="1">
        <f t="array" ref="E8">_FV(B8,"Price")</f>
        <v>8.51</v>
      </c>
      <c r="F8" s="102">
        <v>41</v>
      </c>
      <c r="G8" s="143">
        <f t="shared" si="0"/>
        <v>4.8178613396004701</v>
      </c>
      <c r="H8" s="100"/>
      <c r="I8" s="92" t="s">
        <v>89</v>
      </c>
      <c r="J8" s="92" t="s">
        <v>89</v>
      </c>
      <c r="K8" s="92"/>
      <c r="L8" s="96">
        <v>4.8000000000000001E-2</v>
      </c>
      <c r="M8" s="91">
        <v>1.7399999999999999E-2</v>
      </c>
      <c r="N8" s="91"/>
      <c r="O8" s="91">
        <v>-0.54259999999999997</v>
      </c>
      <c r="P8" s="97">
        <v>0.11899999999999999</v>
      </c>
      <c r="Q8" s="89" t="s">
        <v>91</v>
      </c>
      <c r="R8" s="92" t="s">
        <v>89</v>
      </c>
      <c r="S8" s="112">
        <v>44584</v>
      </c>
    </row>
    <row r="9" spans="1:19" ht="17.100000000000001" customHeight="1" x14ac:dyDescent="0.25">
      <c r="A9" s="152" t="str" cm="1">
        <f t="array" ref="A9">_FV(B9,"Ticker symbol",TRUE)</f>
        <v>BOTB</v>
      </c>
      <c r="B9" s="81" t="e" vm="9">
        <v>#VALUE!</v>
      </c>
      <c r="C9" s="82" t="str" cm="1">
        <f t="array" ref="C9">_FV(B9,"Industry")</f>
        <v>Hotels &amp; Entertainment Services</v>
      </c>
      <c r="D9" s="140"/>
      <c r="E9" s="83" cm="1">
        <f t="array" ref="E9">_FV(B9,"Price")/100</f>
        <v>4.0999999999999996</v>
      </c>
      <c r="F9" s="102">
        <v>16</v>
      </c>
      <c r="G9" s="143">
        <f t="shared" si="0"/>
        <v>3.9024390243902443</v>
      </c>
      <c r="H9" s="100"/>
      <c r="I9" s="92" t="s">
        <v>89</v>
      </c>
      <c r="J9" s="87" t="s">
        <v>93</v>
      </c>
      <c r="K9" s="90"/>
      <c r="L9" s="93">
        <v>0.2</v>
      </c>
      <c r="M9" s="94">
        <v>1.5</v>
      </c>
      <c r="N9" s="94"/>
      <c r="O9" s="94">
        <v>1</v>
      </c>
      <c r="P9" s="94">
        <v>1.6</v>
      </c>
      <c r="Q9" s="89" t="s">
        <v>91</v>
      </c>
      <c r="R9" s="95" t="s">
        <v>97</v>
      </c>
      <c r="S9" s="112">
        <v>44714</v>
      </c>
    </row>
    <row r="10" spans="1:19" ht="17.100000000000001" customHeight="1" x14ac:dyDescent="0.25">
      <c r="A10" s="152" t="str" cm="1">
        <f t="array" ref="A10">_FV(B10,"Ticker symbol",TRUE)</f>
        <v>AQB</v>
      </c>
      <c r="B10" s="81" t="e" vm="10">
        <v>#VALUE!</v>
      </c>
      <c r="C10" s="82" t="str" cm="1">
        <f t="array" ref="C10">_FV(B10,"Industry")</f>
        <v>Biotechnology &amp; Medical Research</v>
      </c>
      <c r="D10" s="140"/>
      <c r="E10" s="83" cm="1">
        <f t="array" ref="E10">_FV(B10,"Price")</f>
        <v>0.96870000000000001</v>
      </c>
      <c r="F10" s="102">
        <v>4</v>
      </c>
      <c r="G10" s="143">
        <f t="shared" si="0"/>
        <v>4.1292453804067311</v>
      </c>
      <c r="H10" s="104"/>
      <c r="I10" s="87" t="s">
        <v>87</v>
      </c>
      <c r="J10" s="89" t="s">
        <v>92</v>
      </c>
      <c r="K10" s="89"/>
      <c r="L10" s="91">
        <v>-19.001000000000001</v>
      </c>
      <c r="M10" s="94">
        <v>8.2026000000000003</v>
      </c>
      <c r="N10" s="94"/>
      <c r="O10" s="94">
        <v>0.36109999999999998</v>
      </c>
      <c r="P10" s="91">
        <v>-0.10199999999999999</v>
      </c>
      <c r="Q10" s="89" t="s">
        <v>91</v>
      </c>
      <c r="R10" s="92" t="s">
        <v>89</v>
      </c>
      <c r="S10" s="112">
        <v>44575</v>
      </c>
    </row>
    <row r="11" spans="1:19" ht="17.100000000000001" customHeight="1" x14ac:dyDescent="0.25">
      <c r="A11" s="152" t="str" cm="1">
        <f t="array" ref="A11">_FV(B11,"Ticker symbol",TRUE)</f>
        <v>HZO</v>
      </c>
      <c r="B11" s="81" t="e" vm="11">
        <v>#VALUE!</v>
      </c>
      <c r="C11" s="82" t="str" cm="1">
        <f t="array" ref="C11">_FV(B11,"Industry")</f>
        <v>Leisure Products</v>
      </c>
      <c r="D11" s="140"/>
      <c r="E11" s="83" cm="1">
        <f t="array" ref="E11">_FV(B11,"Price")</f>
        <v>34.01</v>
      </c>
      <c r="F11" s="102">
        <v>143</v>
      </c>
      <c r="G11" s="143">
        <f t="shared" si="0"/>
        <v>4.2046456924433988</v>
      </c>
      <c r="H11" s="105"/>
      <c r="I11" s="90" t="s">
        <v>93</v>
      </c>
      <c r="J11" s="92" t="s">
        <v>89</v>
      </c>
      <c r="K11" s="92"/>
      <c r="L11" s="96">
        <v>7.4999999999999997E-2</v>
      </c>
      <c r="M11" s="94">
        <v>0.36670000000000003</v>
      </c>
      <c r="N11" s="94"/>
      <c r="O11" s="94">
        <v>1.0765</v>
      </c>
      <c r="P11" s="93">
        <v>0.20799999999999999</v>
      </c>
      <c r="Q11" s="95" t="s">
        <v>95</v>
      </c>
      <c r="R11" s="92" t="s">
        <v>89</v>
      </c>
      <c r="S11" s="112">
        <v>44584</v>
      </c>
    </row>
    <row r="12" spans="1:19" ht="17.100000000000001" customHeight="1" x14ac:dyDescent="0.25">
      <c r="A12" s="152" t="str" cm="1">
        <f t="array" ref="A12">_FV(B12,"Ticker symbol",TRUE)</f>
        <v>FLWS</v>
      </c>
      <c r="B12" s="81" t="e" vm="12">
        <v>#VALUE!</v>
      </c>
      <c r="C12" s="82" t="str" cm="1">
        <f t="array" ref="C12">_FV(B12,"Industry")</f>
        <v>Specialty Retailers</v>
      </c>
      <c r="D12" s="140"/>
      <c r="E12" s="83" cm="1">
        <f t="array" ref="E12">_FV(B12,"Price")</f>
        <v>9.36</v>
      </c>
      <c r="F12" s="102">
        <v>40</v>
      </c>
      <c r="G12" s="143">
        <f t="shared" si="0"/>
        <v>4.2735042735042734</v>
      </c>
      <c r="H12" s="105"/>
      <c r="I12" s="90" t="s">
        <v>93</v>
      </c>
      <c r="J12" s="95" t="s">
        <v>94</v>
      </c>
      <c r="K12" s="95"/>
      <c r="L12" s="96">
        <v>5.6000000000000001E-2</v>
      </c>
      <c r="M12" s="94">
        <v>0.42470000000000002</v>
      </c>
      <c r="N12" s="94"/>
      <c r="O12" s="94">
        <v>1.0111000000000001</v>
      </c>
      <c r="P12" s="93">
        <v>0.152</v>
      </c>
      <c r="Q12" s="95" t="s">
        <v>95</v>
      </c>
      <c r="R12" s="89" t="s">
        <v>88</v>
      </c>
      <c r="S12" s="112">
        <v>44868</v>
      </c>
    </row>
    <row r="13" spans="1:19" ht="17.100000000000001" customHeight="1" x14ac:dyDescent="0.25">
      <c r="A13" s="152" t="str" cm="1">
        <f t="array" ref="A13">_FV(B13,"Ticker symbol",TRUE)</f>
        <v>NGMS</v>
      </c>
      <c r="B13" s="81" t="e" vm="13">
        <v>#VALUE!</v>
      </c>
      <c r="C13" s="82" t="str" cm="1">
        <f t="array" ref="C13">_FV(B13,"Industry")</f>
        <v>Software &amp; IT Services</v>
      </c>
      <c r="D13" s="140"/>
      <c r="E13" s="83" cm="1">
        <f t="array" ref="E13">_FV(B13,"Price")</f>
        <v>12.29</v>
      </c>
      <c r="F13" s="102">
        <v>47</v>
      </c>
      <c r="G13" s="144">
        <f t="shared" si="0"/>
        <v>3.8242473555736374</v>
      </c>
      <c r="H13" s="100">
        <v>0.06</v>
      </c>
      <c r="I13" s="90" t="s">
        <v>93</v>
      </c>
      <c r="J13" s="89" t="s">
        <v>92</v>
      </c>
      <c r="K13" s="101">
        <v>1</v>
      </c>
      <c r="L13" s="96">
        <v>0.13</v>
      </c>
      <c r="M13" s="94">
        <v>0.28999999999999998</v>
      </c>
      <c r="N13" s="94"/>
      <c r="O13" s="94"/>
      <c r="P13" s="94">
        <v>0.4</v>
      </c>
      <c r="Q13" s="89" t="s">
        <v>91</v>
      </c>
      <c r="R13" s="89" t="s">
        <v>88</v>
      </c>
      <c r="S13" s="112">
        <v>44685</v>
      </c>
    </row>
    <row r="14" spans="1:19" ht="17.100000000000001" customHeight="1" x14ac:dyDescent="0.25">
      <c r="A14" s="152" t="str" cm="1">
        <f t="array" ref="A14">_FV(B14,"Ticker symbol",TRUE)</f>
        <v>META</v>
      </c>
      <c r="B14" s="81" t="e" vm="14">
        <v>#VALUE!</v>
      </c>
      <c r="C14" s="82" t="str" cm="1">
        <f t="array" ref="C14">_FV(B14,"Industry")</f>
        <v>Software &amp; IT Services</v>
      </c>
      <c r="D14" s="140">
        <v>0.1</v>
      </c>
      <c r="E14" s="83" cm="1">
        <f t="array" ref="E14">_FV(B14,"Price")</f>
        <v>139.37</v>
      </c>
      <c r="F14" s="102">
        <v>454</v>
      </c>
      <c r="G14" s="143">
        <f t="shared" si="0"/>
        <v>3.257515964698285</v>
      </c>
      <c r="H14" s="159">
        <v>0.08</v>
      </c>
      <c r="I14" s="90" t="s">
        <v>93</v>
      </c>
      <c r="J14" s="138" t="s">
        <v>92</v>
      </c>
      <c r="K14" s="160">
        <v>0.8</v>
      </c>
      <c r="L14" s="98">
        <v>0.3</v>
      </c>
      <c r="M14" s="98">
        <v>0.2</v>
      </c>
      <c r="N14" s="98">
        <v>0.1</v>
      </c>
      <c r="O14" s="98">
        <v>0.14000000000000001</v>
      </c>
      <c r="P14" s="98">
        <v>0.28000000000000003</v>
      </c>
      <c r="Q14" s="138" t="s">
        <v>91</v>
      </c>
      <c r="R14" s="138" t="s">
        <v>88</v>
      </c>
      <c r="S14" s="112">
        <v>44940</v>
      </c>
    </row>
    <row r="15" spans="1:19" ht="17.100000000000001" customHeight="1" x14ac:dyDescent="0.25">
      <c r="A15" s="152" t="str" cm="1">
        <f t="array" ref="A15">_FV(B15,"Ticker symbol",TRUE)</f>
        <v>SFTBF</v>
      </c>
      <c r="B15" s="81" t="e" vm="15">
        <v>#VALUE!</v>
      </c>
      <c r="C15" s="82" t="str" cm="1">
        <f t="array" ref="C15">_FV(B15,"Industry")</f>
        <v>Telecommunications Services</v>
      </c>
      <c r="D15" s="140"/>
      <c r="E15" s="83" cm="1">
        <f t="array" ref="E15">_FV(B15,"Price")</f>
        <v>46.33</v>
      </c>
      <c r="F15" s="102">
        <v>156</v>
      </c>
      <c r="G15" s="143">
        <f t="shared" si="0"/>
        <v>3.3671487157349449</v>
      </c>
      <c r="H15" s="100"/>
      <c r="I15" s="90" t="s">
        <v>93</v>
      </c>
      <c r="J15" s="88"/>
      <c r="K15" s="88"/>
      <c r="L15" s="88"/>
      <c r="M15" s="88"/>
      <c r="N15" s="88"/>
      <c r="O15" s="88"/>
      <c r="P15" s="88"/>
      <c r="Q15" s="88"/>
      <c r="R15" s="89" t="s">
        <v>88</v>
      </c>
      <c r="S15" s="112">
        <v>44694</v>
      </c>
    </row>
    <row r="16" spans="1:19" ht="17.100000000000001" customHeight="1" x14ac:dyDescent="0.25">
      <c r="A16" s="152" t="str" cm="1">
        <f t="array" ref="A16">_FV(B16,"Ticker symbol",TRUE)</f>
        <v>CRMT</v>
      </c>
      <c r="B16" s="81" t="e" vm="16">
        <v>#VALUE!</v>
      </c>
      <c r="C16" s="82" t="str" cm="1">
        <f t="array" ref="C16">_FV(B16,"Industry")</f>
        <v>Specialty Retailers</v>
      </c>
      <c r="D16" s="140"/>
      <c r="E16" s="83" cm="1">
        <f t="array" ref="E16">_FV(B16,"Price")</f>
        <v>77.42</v>
      </c>
      <c r="F16" s="102">
        <v>227</v>
      </c>
      <c r="G16" s="143">
        <f t="shared" si="0"/>
        <v>2.9320588995091708</v>
      </c>
      <c r="H16" s="100"/>
      <c r="I16" s="92" t="s">
        <v>89</v>
      </c>
      <c r="J16" s="92" t="s">
        <v>89</v>
      </c>
      <c r="K16" s="92"/>
      <c r="L16" s="96">
        <v>0.113</v>
      </c>
      <c r="M16" s="94">
        <v>0.23369999999999999</v>
      </c>
      <c r="N16" s="94"/>
      <c r="O16" s="94">
        <v>1.0283</v>
      </c>
      <c r="P16" s="97">
        <v>0.13700000000000001</v>
      </c>
      <c r="Q16" s="92" t="s">
        <v>96</v>
      </c>
      <c r="R16" s="95" t="s">
        <v>97</v>
      </c>
      <c r="S16" s="112">
        <v>44584</v>
      </c>
    </row>
    <row r="17" spans="1:19" ht="17.100000000000001" customHeight="1" x14ac:dyDescent="0.25">
      <c r="A17" s="152">
        <v>4934</v>
      </c>
      <c r="B17" s="81" t="s">
        <v>98</v>
      </c>
      <c r="C17" s="82" t="s">
        <v>99</v>
      </c>
      <c r="D17" s="140"/>
      <c r="E17" s="85">
        <v>3770</v>
      </c>
      <c r="F17" s="153">
        <v>9800</v>
      </c>
      <c r="G17" s="143">
        <f t="shared" si="0"/>
        <v>2.5994694960212201</v>
      </c>
      <c r="H17" s="100"/>
      <c r="I17" s="92" t="s">
        <v>89</v>
      </c>
      <c r="J17" s="92" t="s">
        <v>89</v>
      </c>
      <c r="K17" s="92"/>
      <c r="L17" s="96">
        <v>7.0000000000000007E-2</v>
      </c>
      <c r="M17" s="94">
        <v>0.6</v>
      </c>
      <c r="N17" s="94"/>
      <c r="O17" s="94">
        <v>2</v>
      </c>
      <c r="P17" s="94">
        <v>0.4</v>
      </c>
      <c r="Q17" s="89" t="s">
        <v>91</v>
      </c>
      <c r="R17" s="95" t="s">
        <v>97</v>
      </c>
      <c r="S17" s="112">
        <v>44681</v>
      </c>
    </row>
    <row r="18" spans="1:19" ht="17.100000000000001" customHeight="1" x14ac:dyDescent="0.25">
      <c r="A18" s="152" t="str" cm="1">
        <f t="array" ref="A18">_FV(B18,"Ticker symbol",TRUE)</f>
        <v>EVVTY</v>
      </c>
      <c r="B18" s="81" t="e" vm="17">
        <v>#VALUE!</v>
      </c>
      <c r="C18" s="82" t="str" cm="1">
        <f t="array" ref="C18">_FV(B18,"Industry")</f>
        <v>Hotels &amp; Entertainment Services</v>
      </c>
      <c r="D18" s="140">
        <v>0.1</v>
      </c>
      <c r="E18" s="83" cm="1">
        <f t="array" ref="E18">_FV(B18,"Price")</f>
        <v>113.26</v>
      </c>
      <c r="F18" s="102">
        <v>331</v>
      </c>
      <c r="G18" s="143">
        <f t="shared" si="0"/>
        <v>2.9224792512802402</v>
      </c>
      <c r="H18" s="161">
        <v>0.03</v>
      </c>
      <c r="I18" s="90" t="s">
        <v>93</v>
      </c>
      <c r="J18" s="89" t="s">
        <v>92</v>
      </c>
      <c r="K18" s="89" t="s">
        <v>137</v>
      </c>
      <c r="L18" s="94">
        <v>0.57999999999999996</v>
      </c>
      <c r="M18" s="94">
        <v>0.55000000000000004</v>
      </c>
      <c r="N18" s="94">
        <v>0.6</v>
      </c>
      <c r="O18" s="94">
        <v>1.24</v>
      </c>
      <c r="P18" s="93">
        <v>0.21</v>
      </c>
      <c r="Q18" s="89" t="s">
        <v>91</v>
      </c>
      <c r="R18" s="89" t="s">
        <v>88</v>
      </c>
      <c r="S18" s="112">
        <v>44940</v>
      </c>
    </row>
    <row r="19" spans="1:19" ht="17.100000000000001" customHeight="1" x14ac:dyDescent="0.25">
      <c r="A19" s="152" t="str" cm="1">
        <f t="array" ref="A19">_FV(B19,"Ticker symbol",TRUE)</f>
        <v>NVDA</v>
      </c>
      <c r="B19" s="81" t="e" vm="18">
        <v>#VALUE!</v>
      </c>
      <c r="C19" s="82" t="str" cm="1">
        <f t="array" ref="C19">_FV(B19,"Industry")</f>
        <v>Semiconductors &amp; Semiconductor Equipment</v>
      </c>
      <c r="D19" s="140"/>
      <c r="E19" s="83" cm="1">
        <f t="array" ref="E19">_FV(B19,"Price")</f>
        <v>178.39</v>
      </c>
      <c r="F19" s="102">
        <v>310</v>
      </c>
      <c r="G19" s="144">
        <f t="shared" si="0"/>
        <v>1.7377655698189363</v>
      </c>
      <c r="H19" s="104">
        <v>0.02</v>
      </c>
      <c r="I19" s="89" t="s">
        <v>90</v>
      </c>
      <c r="J19" s="89" t="s">
        <v>92</v>
      </c>
      <c r="K19" s="133">
        <v>0.65</v>
      </c>
      <c r="L19" s="94">
        <v>0.36</v>
      </c>
      <c r="M19" s="94">
        <v>0.3</v>
      </c>
      <c r="N19" s="98">
        <v>0.4</v>
      </c>
      <c r="O19" s="94">
        <v>0.42</v>
      </c>
      <c r="P19" s="94">
        <v>0.41</v>
      </c>
      <c r="Q19" s="89" t="s">
        <v>91</v>
      </c>
      <c r="R19" s="89" t="s">
        <v>88</v>
      </c>
      <c r="S19" s="112">
        <v>44687</v>
      </c>
    </row>
    <row r="20" spans="1:19" ht="17.100000000000001" customHeight="1" x14ac:dyDescent="0.25">
      <c r="A20" s="152" t="str" cm="1">
        <f t="array" ref="A20">_FV(B20,"Ticker symbol",TRUE)</f>
        <v>CRSR</v>
      </c>
      <c r="B20" s="81" t="e" vm="19">
        <v>#VALUE!</v>
      </c>
      <c r="C20" s="82" t="str" cm="1">
        <f t="array" ref="C20">_FV(B20,"Industry")</f>
        <v>Computers, Phones &amp; Household Electronics</v>
      </c>
      <c r="D20" s="140"/>
      <c r="E20" s="83" cm="1">
        <f t="array" ref="E20">_FV(B20,"Price")</f>
        <v>14.41</v>
      </c>
      <c r="F20" s="102">
        <v>26</v>
      </c>
      <c r="G20" s="143">
        <f t="shared" si="0"/>
        <v>1.8043025676613462</v>
      </c>
      <c r="H20" s="105"/>
      <c r="I20" s="90" t="s">
        <v>93</v>
      </c>
      <c r="J20" s="95" t="s">
        <v>94</v>
      </c>
      <c r="K20" s="95"/>
      <c r="L20" s="96">
        <v>5.2999999999999999E-2</v>
      </c>
      <c r="M20" s="93">
        <v>0.11849999999999999</v>
      </c>
      <c r="N20" s="93"/>
      <c r="O20" s="91">
        <v>-2.1899999999999999E-2</v>
      </c>
      <c r="P20" s="97">
        <v>0.13100000000000001</v>
      </c>
      <c r="Q20" s="95" t="s">
        <v>95</v>
      </c>
      <c r="R20" s="95" t="s">
        <v>97</v>
      </c>
      <c r="S20" s="113">
        <v>44599</v>
      </c>
    </row>
    <row r="21" spans="1:19" ht="17.100000000000001" customHeight="1" x14ac:dyDescent="0.25">
      <c r="A21" s="152" t="str" cm="1">
        <f t="array" ref="A21">_FV(B21,"Ticker symbol",TRUE)</f>
        <v>SAND</v>
      </c>
      <c r="B21" s="81" t="e" vm="20">
        <v>#VALUE!</v>
      </c>
      <c r="C21" s="82" t="str" cm="1">
        <f t="array" ref="C21">_FV(B21,"Industry")</f>
        <v>Metals &amp; Mining</v>
      </c>
      <c r="D21" s="140"/>
      <c r="E21" s="83" cm="1">
        <f t="array" ref="E21">_FV(B21,"Price")</f>
        <v>6.05</v>
      </c>
      <c r="F21" s="102">
        <v>10</v>
      </c>
      <c r="G21" s="143">
        <f t="shared" si="0"/>
        <v>1.6528925619834711</v>
      </c>
      <c r="H21" s="105"/>
      <c r="I21" s="90" t="s">
        <v>93</v>
      </c>
      <c r="J21" s="89" t="s">
        <v>92</v>
      </c>
      <c r="K21" s="89"/>
      <c r="L21" s="93">
        <v>0.24</v>
      </c>
      <c r="M21" s="94">
        <v>0.23469999999999999</v>
      </c>
      <c r="N21" s="98"/>
      <c r="O21" s="98">
        <v>0.99909999999999999</v>
      </c>
      <c r="P21" s="91">
        <v>4.7E-2</v>
      </c>
      <c r="Q21" s="89" t="s">
        <v>91</v>
      </c>
      <c r="R21" s="89" t="s">
        <v>88</v>
      </c>
      <c r="S21" s="112">
        <v>44584</v>
      </c>
    </row>
    <row r="22" spans="1:19" ht="17.100000000000001" customHeight="1" x14ac:dyDescent="0.25">
      <c r="A22" s="152" t="str" cm="1">
        <f t="array" ref="A22">_FV(B22,"Ticker symbol",TRUE)</f>
        <v>OPRA</v>
      </c>
      <c r="B22" s="81" t="e" vm="21">
        <v>#VALUE!</v>
      </c>
      <c r="C22" s="82" t="str" cm="1">
        <f t="array" ref="C22">_FV(B22,"Industry")</f>
        <v>Software &amp; IT Services</v>
      </c>
      <c r="D22" s="140"/>
      <c r="E22" s="83" cm="1">
        <f t="array" ref="E22">_FV(B22,"Price")</f>
        <v>7.01</v>
      </c>
      <c r="F22" s="102">
        <v>10</v>
      </c>
      <c r="G22" s="143">
        <f t="shared" si="0"/>
        <v>1.4265335235378032</v>
      </c>
      <c r="H22" s="101"/>
      <c r="I22" s="92" t="s">
        <v>89</v>
      </c>
      <c r="J22" s="87" t="s">
        <v>93</v>
      </c>
      <c r="K22" s="101">
        <v>0.94</v>
      </c>
      <c r="L22" s="91">
        <v>-6.3E-2</v>
      </c>
      <c r="M22" s="94">
        <v>0.13</v>
      </c>
      <c r="N22" s="137">
        <v>-0.1</v>
      </c>
      <c r="O22" s="137">
        <v>-1.72</v>
      </c>
      <c r="P22" s="91">
        <v>2.5000000000000001E-2</v>
      </c>
      <c r="Q22" s="89" t="s">
        <v>91</v>
      </c>
      <c r="R22" s="87" t="s">
        <v>120</v>
      </c>
      <c r="S22" s="112">
        <v>44694</v>
      </c>
    </row>
    <row r="23" spans="1:19" ht="17.100000000000001" customHeight="1" x14ac:dyDescent="0.25">
      <c r="A23" s="152" t="str" cm="1">
        <f t="array" ref="A23">_FV(B23,"Ticker symbol",TRUE)</f>
        <v>CROX</v>
      </c>
      <c r="B23" s="81" t="e" vm="22">
        <v>#VALUE!</v>
      </c>
      <c r="C23" s="82" t="str" cm="1">
        <f t="array" ref="C23">_FV(B23,"Industry")</f>
        <v>Textiles &amp; Apparel</v>
      </c>
      <c r="D23" s="140"/>
      <c r="E23" s="83" cm="1">
        <f t="array" ref="E23">_FV(B23,"Price")</f>
        <v>122.4</v>
      </c>
      <c r="F23" s="102">
        <v>180</v>
      </c>
      <c r="G23" s="144">
        <f t="shared" si="0"/>
        <v>1.4705882352941175</v>
      </c>
      <c r="H23" s="101">
        <v>0.11</v>
      </c>
      <c r="I23" s="89" t="s">
        <v>90</v>
      </c>
      <c r="J23" s="89" t="s">
        <v>92</v>
      </c>
      <c r="K23" s="133">
        <v>0.6</v>
      </c>
      <c r="L23" s="94">
        <v>0.3</v>
      </c>
      <c r="M23" s="93">
        <v>0.08</v>
      </c>
      <c r="N23" s="94">
        <v>0.25</v>
      </c>
      <c r="O23" s="94">
        <v>0.2</v>
      </c>
      <c r="P23" s="94">
        <v>0.3</v>
      </c>
      <c r="Q23" s="87" t="s">
        <v>110</v>
      </c>
      <c r="R23" s="89" t="s">
        <v>88</v>
      </c>
      <c r="S23" s="112">
        <v>44689</v>
      </c>
    </row>
    <row r="24" spans="1:19" ht="17.100000000000001" customHeight="1" x14ac:dyDescent="0.25">
      <c r="A24" s="152" t="str" cm="1">
        <f t="array" ref="A24">_FV(B24,"Ticker symbol",TRUE)</f>
        <v>ATHM</v>
      </c>
      <c r="B24" s="81" t="e" vm="23">
        <v>#VALUE!</v>
      </c>
      <c r="C24" s="82" t="str" cm="1">
        <f t="array" ref="C24">_FV(B24,"Industry")</f>
        <v>Media &amp; Publishing</v>
      </c>
      <c r="D24" s="140"/>
      <c r="E24" s="83" cm="1">
        <f t="array" ref="E24">_FV(B24,"Price")</f>
        <v>37.57</v>
      </c>
      <c r="F24" s="102">
        <v>49</v>
      </c>
      <c r="G24" s="143">
        <f t="shared" si="0"/>
        <v>1.3042321000798509</v>
      </c>
      <c r="H24" s="104"/>
      <c r="I24" s="87" t="s">
        <v>87</v>
      </c>
      <c r="J24" s="92" t="s">
        <v>89</v>
      </c>
      <c r="K24" s="101">
        <v>0.85</v>
      </c>
      <c r="L24" s="94">
        <v>0.35399999999999998</v>
      </c>
      <c r="M24" s="91">
        <v>0</v>
      </c>
      <c r="N24" s="91">
        <v>0.03</v>
      </c>
      <c r="O24" s="91">
        <v>-0.04</v>
      </c>
      <c r="P24" s="97">
        <v>0.16700000000000001</v>
      </c>
      <c r="Q24" s="89" t="s">
        <v>91</v>
      </c>
      <c r="R24" s="87" t="s">
        <v>120</v>
      </c>
      <c r="S24" s="112">
        <v>44694</v>
      </c>
    </row>
    <row r="25" spans="1:19" ht="17.100000000000001" customHeight="1" x14ac:dyDescent="0.25">
      <c r="A25" s="152" t="str" cm="1">
        <f t="array" ref="A25">_FV(B25,"Ticker symbol",TRUE)</f>
        <v>DNP</v>
      </c>
      <c r="B25" s="81" t="e" vm="24">
        <v>#VALUE!</v>
      </c>
      <c r="C25" s="82" t="str" cm="1">
        <f t="array" ref="C25">_FV(B25,"Industry")</f>
        <v>Food &amp; Drug Retailing</v>
      </c>
      <c r="D25" s="140"/>
      <c r="E25" s="86" cm="1">
        <f t="array" ref="E25">_FV(B25,"Price")</f>
        <v>363.9</v>
      </c>
      <c r="F25" s="102">
        <v>492</v>
      </c>
      <c r="G25" s="143">
        <f t="shared" si="0"/>
        <v>1.3520197856553999</v>
      </c>
      <c r="H25" s="101"/>
      <c r="I25" s="89" t="s">
        <v>90</v>
      </c>
      <c r="J25" s="89" t="s">
        <v>92</v>
      </c>
      <c r="K25" s="89"/>
      <c r="L25" s="96">
        <v>0.06</v>
      </c>
      <c r="M25" s="94">
        <v>0.3</v>
      </c>
      <c r="N25" s="98"/>
      <c r="O25" s="98">
        <v>0.25</v>
      </c>
      <c r="P25" s="93">
        <v>0.22</v>
      </c>
      <c r="Q25" s="95" t="s">
        <v>95</v>
      </c>
      <c r="R25" s="95" t="s">
        <v>97</v>
      </c>
      <c r="S25" s="112">
        <v>44631</v>
      </c>
    </row>
    <row r="26" spans="1:19" ht="17.100000000000001" customHeight="1" x14ac:dyDescent="0.25">
      <c r="A26" s="152" t="str" cm="1">
        <f t="array" ref="A26">_FV(B26,"Ticker symbol",TRUE)</f>
        <v>XPEL</v>
      </c>
      <c r="B26" s="81" t="e" vm="25">
        <v>#VALUE!</v>
      </c>
      <c r="C26" s="82" t="str" cm="1">
        <f t="array" ref="C26">_FV(B26,"Industry")</f>
        <v>Automobiles &amp; Auto Parts</v>
      </c>
      <c r="D26" s="140"/>
      <c r="E26" s="83" cm="1">
        <f t="array" ref="E26">_FV(B26,"Price")</f>
        <v>71.61</v>
      </c>
      <c r="F26" s="102">
        <v>98</v>
      </c>
      <c r="G26" s="144">
        <f t="shared" si="0"/>
        <v>1.3685239491691106</v>
      </c>
      <c r="H26" s="104">
        <v>0.01</v>
      </c>
      <c r="I26" s="89" t="s">
        <v>90</v>
      </c>
      <c r="J26" s="89" t="s">
        <v>92</v>
      </c>
      <c r="K26" s="96">
        <v>0.35</v>
      </c>
      <c r="L26" s="96">
        <v>0.12</v>
      </c>
      <c r="M26" s="94">
        <v>0.3</v>
      </c>
      <c r="N26" s="94">
        <v>0.3</v>
      </c>
      <c r="O26" s="94">
        <v>0.5</v>
      </c>
      <c r="P26" s="106">
        <v>0.49</v>
      </c>
      <c r="Q26" s="95" t="s">
        <v>95</v>
      </c>
      <c r="R26" s="89" t="s">
        <v>88</v>
      </c>
      <c r="S26" s="112">
        <v>44685</v>
      </c>
    </row>
    <row r="27" spans="1:19" ht="17.100000000000001" customHeight="1" x14ac:dyDescent="0.25">
      <c r="A27" s="152" t="str" cm="1">
        <f t="array" ref="A27">_FV(B27,"Ticker symbol",TRUE)</f>
        <v>1830</v>
      </c>
      <c r="B27" s="81" t="e" vm="26">
        <v>#VALUE!</v>
      </c>
      <c r="C27" s="82" t="str" cm="1">
        <f t="array" ref="C27">_FV(B27,"Industry")</f>
        <v>Personal &amp; Household Products &amp; Services</v>
      </c>
      <c r="D27" s="140"/>
      <c r="E27" s="83" cm="1">
        <f t="array" ref="E27">_FV(B27,"Price")</f>
        <v>4.5199999999999996</v>
      </c>
      <c r="F27" s="102">
        <v>6</v>
      </c>
      <c r="G27" s="143">
        <f t="shared" si="0"/>
        <v>1.3274336283185841</v>
      </c>
      <c r="H27" s="104"/>
      <c r="I27" s="87" t="s">
        <v>87</v>
      </c>
      <c r="J27" s="87" t="s">
        <v>93</v>
      </c>
      <c r="K27" s="90"/>
      <c r="L27" s="94">
        <v>0.26</v>
      </c>
      <c r="M27" s="94">
        <v>0.3</v>
      </c>
      <c r="N27" s="94"/>
      <c r="O27" s="94">
        <v>0.25</v>
      </c>
      <c r="P27" s="94">
        <v>0.32</v>
      </c>
      <c r="Q27" s="89" t="s">
        <v>91</v>
      </c>
      <c r="R27" s="95" t="s">
        <v>97</v>
      </c>
      <c r="S27" s="112">
        <v>44671</v>
      </c>
    </row>
    <row r="28" spans="1:19" ht="17.100000000000001" customHeight="1" x14ac:dyDescent="0.25">
      <c r="A28" s="152" t="str" cm="1">
        <f t="array" ref="A28">_FV(B28,"Ticker symbol",TRUE)</f>
        <v>SPGI</v>
      </c>
      <c r="B28" s="81" t="e" vm="27">
        <v>#VALUE!</v>
      </c>
      <c r="C28" s="82" t="str" cm="1">
        <f t="array" ref="C28">_FV(B28,"Industry")</f>
        <v>Professional &amp; Commercial Services</v>
      </c>
      <c r="D28" s="140"/>
      <c r="E28" s="83" cm="1">
        <f t="array" ref="E28">_FV(B28,"Price")</f>
        <v>368.05</v>
      </c>
      <c r="F28" s="102">
        <v>471</v>
      </c>
      <c r="G28" s="144">
        <f t="shared" si="0"/>
        <v>1.2797174296970519</v>
      </c>
      <c r="H28" s="101">
        <v>0.03</v>
      </c>
      <c r="I28" s="89" t="s">
        <v>90</v>
      </c>
      <c r="J28" s="89" t="s">
        <v>92</v>
      </c>
      <c r="K28" s="133">
        <v>0.73</v>
      </c>
      <c r="L28" s="94">
        <v>0.36</v>
      </c>
      <c r="M28" s="93">
        <v>0.1</v>
      </c>
      <c r="N28" s="98">
        <v>0.24</v>
      </c>
      <c r="O28" s="98">
        <v>0.2</v>
      </c>
      <c r="P28" s="94">
        <v>0.36</v>
      </c>
      <c r="Q28" s="89" t="s">
        <v>91</v>
      </c>
      <c r="R28" s="92"/>
      <c r="S28" s="112">
        <v>44694</v>
      </c>
    </row>
    <row r="29" spans="1:19" ht="17.100000000000001" customHeight="1" x14ac:dyDescent="0.25">
      <c r="A29" s="152" t="str" cm="1">
        <f t="array" ref="A29">_FV(B29,"Ticker symbol",TRUE)</f>
        <v>FLEX</v>
      </c>
      <c r="B29" s="81" t="e" vm="28">
        <v>#VALUE!</v>
      </c>
      <c r="C29" s="82" t="str" cm="1">
        <f t="array" ref="C29">_FV(B29,"Industry")</f>
        <v>Electronic Equipment &amp; Parts</v>
      </c>
      <c r="D29" s="140"/>
      <c r="E29" s="83" cm="1">
        <f t="array" ref="E29">_FV(B29,"Price")</f>
        <v>24.24</v>
      </c>
      <c r="F29" s="102">
        <v>29</v>
      </c>
      <c r="G29" s="145">
        <f t="shared" si="0"/>
        <v>1.1963696369636965</v>
      </c>
      <c r="H29" s="100"/>
      <c r="I29" s="92" t="s">
        <v>89</v>
      </c>
      <c r="J29" s="92" t="s">
        <v>89</v>
      </c>
      <c r="K29" s="92"/>
      <c r="L29" s="139">
        <v>2.5000000000000001E-2</v>
      </c>
      <c r="M29" s="139">
        <v>-3.5000000000000001E-3</v>
      </c>
      <c r="N29" s="91"/>
      <c r="O29" s="94">
        <v>5.9993999999999996</v>
      </c>
      <c r="P29" s="136">
        <v>9.2999999999999999E-2</v>
      </c>
      <c r="Q29" s="92" t="s">
        <v>96</v>
      </c>
      <c r="R29" s="95" t="s">
        <v>97</v>
      </c>
      <c r="S29" s="114">
        <v>44584</v>
      </c>
    </row>
    <row r="30" spans="1:19" ht="17.100000000000001" customHeight="1" x14ac:dyDescent="0.25">
      <c r="A30" s="152" t="str" cm="1">
        <f t="array" ref="A30">_FV(B30,"Ticker symbol",TRUE)</f>
        <v>MTCH</v>
      </c>
      <c r="B30" s="81" t="e" vm="29">
        <v>#VALUE!</v>
      </c>
      <c r="C30" s="82" t="str" cm="1">
        <f t="array" ref="C30">_FV(B30,"Industry")</f>
        <v>Software &amp; IT Services</v>
      </c>
      <c r="D30" s="140"/>
      <c r="E30" s="83" cm="1">
        <f t="array" ref="E30">_FV(B30,"Price")</f>
        <v>50.42</v>
      </c>
      <c r="F30" s="102">
        <v>46</v>
      </c>
      <c r="G30" s="145">
        <f t="shared" si="0"/>
        <v>0.91233637445458149</v>
      </c>
      <c r="H30" s="101"/>
      <c r="I30" s="89" t="s">
        <v>90</v>
      </c>
      <c r="J30" s="89" t="s">
        <v>92</v>
      </c>
      <c r="K30" s="89"/>
      <c r="L30" s="96">
        <v>9.2999999999999999E-2</v>
      </c>
      <c r="M30" s="103">
        <v>0.24759999999999999</v>
      </c>
      <c r="N30" s="94"/>
      <c r="O30" s="98">
        <v>1.1601999999999999</v>
      </c>
      <c r="P30" s="97">
        <v>0.108</v>
      </c>
      <c r="Q30" s="95" t="s">
        <v>95</v>
      </c>
      <c r="R30" s="92" t="s">
        <v>89</v>
      </c>
      <c r="S30" s="114">
        <v>44631</v>
      </c>
    </row>
    <row r="31" spans="1:19" ht="17.100000000000001" customHeight="1" x14ac:dyDescent="0.25">
      <c r="A31" s="152" t="str" cm="1">
        <f t="array" ref="A31">_FV(B31,"Ticker symbol",TRUE)</f>
        <v>GMWKF</v>
      </c>
      <c r="B31" s="81" t="e" vm="30">
        <v>#VALUE!</v>
      </c>
      <c r="C31" s="82" t="str" cm="1">
        <f t="array" ref="C31">_FV(B31,"Industry")</f>
        <v>Leisure Products</v>
      </c>
      <c r="D31" s="140"/>
      <c r="E31" s="83" cm="1">
        <f t="array" ref="E31">_FV(B31,"Price")</f>
        <v>112.075</v>
      </c>
      <c r="F31" s="102">
        <v>101</v>
      </c>
      <c r="G31" s="145">
        <f t="shared" si="0"/>
        <v>0.90118224403301361</v>
      </c>
      <c r="H31" s="134"/>
      <c r="I31" s="89" t="s">
        <v>90</v>
      </c>
      <c r="J31" s="89" t="s">
        <v>92</v>
      </c>
      <c r="K31" s="89"/>
      <c r="L31" s="94">
        <v>0.33</v>
      </c>
      <c r="M31" s="94">
        <v>0.3</v>
      </c>
      <c r="N31" s="94"/>
      <c r="O31" s="98">
        <v>0.6</v>
      </c>
      <c r="P31" s="94">
        <v>0.52</v>
      </c>
      <c r="Q31" s="89" t="s">
        <v>91</v>
      </c>
      <c r="R31" s="89" t="s">
        <v>88</v>
      </c>
      <c r="S31" s="114">
        <v>44583</v>
      </c>
    </row>
    <row r="32" spans="1:19" ht="17.100000000000001" customHeight="1" x14ac:dyDescent="0.25">
      <c r="A32" s="152" t="str" cm="1">
        <f t="array" ref="A32">_FV(B32,"Ticker symbol",TRUE)</f>
        <v>MAD</v>
      </c>
      <c r="B32" s="81" t="e" vm="31">
        <v>#VALUE!</v>
      </c>
      <c r="C32" s="82" t="str" cm="1">
        <f t="array" ref="C32">_FV(B32,"Industry")</f>
        <v>Professional &amp; Commercial Services</v>
      </c>
      <c r="D32" s="140"/>
      <c r="E32" s="83" cm="1">
        <f t="array" ref="E32">_FV(B32,"Price")</f>
        <v>3.98</v>
      </c>
      <c r="F32" s="102">
        <v>3</v>
      </c>
      <c r="G32" s="145">
        <f t="shared" si="0"/>
        <v>0.75376884422110557</v>
      </c>
      <c r="H32" s="134"/>
      <c r="I32" s="89" t="s">
        <v>90</v>
      </c>
      <c r="J32" s="92" t="s">
        <v>89</v>
      </c>
      <c r="K32" s="92"/>
      <c r="L32" s="91">
        <v>0.03</v>
      </c>
      <c r="M32" s="94">
        <v>0.3</v>
      </c>
      <c r="N32" s="94"/>
      <c r="O32" s="98">
        <v>0.2</v>
      </c>
      <c r="P32" s="103">
        <v>0.25</v>
      </c>
      <c r="Q32" s="92" t="s">
        <v>96</v>
      </c>
      <c r="R32" s="142" t="s">
        <v>88</v>
      </c>
      <c r="S32" s="114">
        <v>44653</v>
      </c>
    </row>
    <row r="33" spans="1:19" ht="17.100000000000001" customHeight="1" x14ac:dyDescent="0.25">
      <c r="A33" s="154" t="str" cm="1">
        <f t="array" ref="A33">_FV(B33,"Ticker symbol",TRUE)</f>
        <v>DOCS</v>
      </c>
      <c r="B33" s="121" t="e" vm="32">
        <v>#VALUE!</v>
      </c>
      <c r="C33" s="121" t="str" cm="1">
        <f t="array" ref="C33">_FV(B33,"Industry")</f>
        <v>Textiles &amp; Apparel</v>
      </c>
      <c r="D33" s="155"/>
      <c r="E33" s="122" cm="1">
        <f t="array" ref="E33">_FV(B33,"Price")/100</f>
        <v>1.3959999999999999</v>
      </c>
      <c r="F33" s="123"/>
      <c r="G33" s="145">
        <f t="shared" si="0"/>
        <v>0</v>
      </c>
      <c r="H33" s="105"/>
      <c r="I33" s="90" t="s">
        <v>93</v>
      </c>
      <c r="J33" s="89" t="s">
        <v>92</v>
      </c>
      <c r="K33" s="89"/>
      <c r="L33" s="89"/>
      <c r="M33" s="124"/>
      <c r="N33" s="124"/>
      <c r="O33" s="125"/>
      <c r="P33" s="124"/>
      <c r="Q33" s="124"/>
      <c r="R33" s="126"/>
      <c r="S33" s="113">
        <v>44677</v>
      </c>
    </row>
    <row r="34" spans="1:19" ht="15.75" x14ac:dyDescent="0.25">
      <c r="A34" s="116" t="s">
        <v>119</v>
      </c>
      <c r="B34" s="117">
        <f>SUBTOTAL(103,Tabla1[Nombre])</f>
        <v>32</v>
      </c>
      <c r="C34" s="117"/>
      <c r="D34" s="162">
        <f>AVERAGE(Tabla1[IR])</f>
        <v>0.1</v>
      </c>
      <c r="E34" s="118"/>
      <c r="F34" s="119"/>
      <c r="G34" s="120">
        <f>MEDIAN(G2:G33)</f>
        <v>2.76097437365073</v>
      </c>
      <c r="H34" s="127">
        <f>SUBTOTAL(101,Tabla1[FCF Yield])</f>
        <v>4.8571428571428564E-2</v>
      </c>
      <c r="I34" s="130"/>
      <c r="J34" s="128"/>
      <c r="K34" s="135">
        <f>SUBTOTAL(101,Tabla1[M. Bruto])</f>
        <v>0.74</v>
      </c>
      <c r="L34" s="131">
        <f>SUBTOTAL(101,Tabla1[M. Neto])</f>
        <v>-0.48303448275862093</v>
      </c>
      <c r="M34" s="129">
        <f>SUBTOTAL(101,Tabla1[Δ Rev.])</f>
        <v>0.54967931034482764</v>
      </c>
      <c r="N34" s="129">
        <f>SUBTOTAL(101,Tabla1[Δ FCF])</f>
        <v>0.22750000000000001</v>
      </c>
      <c r="O34" s="129">
        <f>SUBTOTAL(101,Tabla1[Δ EPS])</f>
        <v>0.63688928571428571</v>
      </c>
      <c r="P34" s="131">
        <f>SUBTOTAL(101,Tabla1[CFROIC])</f>
        <v>0.27556206896551727</v>
      </c>
      <c r="Q34" s="130"/>
      <c r="R34" s="132"/>
      <c r="S34" s="115">
        <f>SUBTOTAL(105,Tabla1[Last Modified])</f>
        <v>44199</v>
      </c>
    </row>
  </sheetData>
  <conditionalFormatting sqref="G35:G36 G1:G33 G38:G1048576">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C78D3-4F4A-4EFD-9AC2-10B5A7065E61}">
  <sheetPr codeName="Hoja3"/>
  <dimension ref="A1:O117"/>
  <sheetViews>
    <sheetView workbookViewId="0">
      <selection activeCell="G10" sqref="G10"/>
    </sheetView>
  </sheetViews>
  <sheetFormatPr baseColWidth="10" defaultColWidth="9.140625" defaultRowHeight="15" x14ac:dyDescent="0.25"/>
  <cols>
    <col min="1" max="1" width="17.7109375" bestFit="1" customWidth="1"/>
    <col min="2" max="2" width="12" bestFit="1" customWidth="1"/>
  </cols>
  <sheetData>
    <row r="1" spans="1:15" ht="15.75" x14ac:dyDescent="0.25">
      <c r="A1" s="166" t="s">
        <v>304</v>
      </c>
      <c r="B1" s="167"/>
      <c r="C1" s="167"/>
      <c r="D1" s="167"/>
      <c r="E1" s="167"/>
      <c r="F1" s="167"/>
      <c r="G1" s="167"/>
      <c r="H1" s="168"/>
      <c r="I1" s="241" t="s">
        <v>305</v>
      </c>
      <c r="J1" s="242"/>
      <c r="K1" s="243"/>
    </row>
    <row r="2" spans="1:15" x14ac:dyDescent="0.25">
      <c r="A2" s="172" t="s">
        <v>18</v>
      </c>
      <c r="B2" s="173">
        <v>1000000</v>
      </c>
      <c r="H2" s="169"/>
      <c r="I2" s="172"/>
      <c r="K2" s="169"/>
    </row>
    <row r="3" spans="1:15" x14ac:dyDescent="0.25">
      <c r="A3" s="172" t="s">
        <v>39</v>
      </c>
      <c r="B3">
        <v>24</v>
      </c>
      <c r="H3" s="169"/>
      <c r="I3" s="172"/>
      <c r="K3" s="169"/>
    </row>
    <row r="4" spans="1:15" x14ac:dyDescent="0.25">
      <c r="A4" s="172"/>
      <c r="B4" s="73"/>
      <c r="H4" s="169"/>
      <c r="I4" s="172"/>
      <c r="K4" s="169"/>
    </row>
    <row r="5" spans="1:15" x14ac:dyDescent="0.25">
      <c r="H5" s="169"/>
      <c r="I5" s="172"/>
      <c r="K5" s="169"/>
    </row>
    <row r="6" spans="1:15" x14ac:dyDescent="0.25">
      <c r="A6" s="172"/>
      <c r="B6" s="174"/>
      <c r="H6" s="169"/>
      <c r="I6" s="172"/>
      <c r="K6" s="169"/>
      <c r="O6" s="73"/>
    </row>
    <row r="7" spans="1:15" x14ac:dyDescent="0.25">
      <c r="H7" s="169"/>
      <c r="I7" s="172"/>
      <c r="K7" s="169"/>
    </row>
    <row r="8" spans="1:15" x14ac:dyDescent="0.25">
      <c r="A8" s="172"/>
      <c r="H8" s="169"/>
      <c r="I8" s="172"/>
      <c r="K8" s="169"/>
    </row>
    <row r="9" spans="1:15" x14ac:dyDescent="0.25">
      <c r="A9" s="172"/>
      <c r="H9" s="169"/>
      <c r="I9" s="172"/>
      <c r="K9" s="169"/>
    </row>
    <row r="10" spans="1:15" x14ac:dyDescent="0.25">
      <c r="A10" s="172"/>
      <c r="H10" s="169"/>
      <c r="I10" s="172"/>
      <c r="K10" s="169"/>
    </row>
    <row r="11" spans="1:15" x14ac:dyDescent="0.25">
      <c r="A11" s="172"/>
      <c r="H11" s="169"/>
      <c r="I11" s="172"/>
      <c r="K11" s="169"/>
    </row>
    <row r="12" spans="1:15" x14ac:dyDescent="0.25">
      <c r="A12" s="172"/>
      <c r="H12" s="169"/>
      <c r="I12" s="172"/>
      <c r="K12" s="169"/>
    </row>
    <row r="13" spans="1:15" x14ac:dyDescent="0.25">
      <c r="A13" s="172"/>
      <c r="H13" s="169"/>
      <c r="I13" s="172"/>
      <c r="K13" s="169"/>
    </row>
    <row r="14" spans="1:15" x14ac:dyDescent="0.25">
      <c r="A14" s="172"/>
      <c r="H14" s="169"/>
      <c r="I14" s="172"/>
      <c r="K14" s="169"/>
    </row>
    <row r="15" spans="1:15" x14ac:dyDescent="0.25">
      <c r="A15" s="172"/>
      <c r="H15" s="169"/>
      <c r="I15" s="172"/>
      <c r="K15" s="169"/>
    </row>
    <row r="16" spans="1:15" x14ac:dyDescent="0.25">
      <c r="A16" s="175"/>
      <c r="B16" s="170"/>
      <c r="C16" s="170"/>
      <c r="D16" s="170"/>
      <c r="E16" s="170"/>
      <c r="F16" s="170"/>
      <c r="G16" s="170"/>
      <c r="H16" s="171"/>
      <c r="I16" s="175"/>
      <c r="J16" s="170"/>
      <c r="K16" s="171"/>
    </row>
    <row r="17" spans="1:1" ht="15.75" x14ac:dyDescent="0.25">
      <c r="A17" s="166" t="s">
        <v>302</v>
      </c>
    </row>
    <row r="18" spans="1:1" x14ac:dyDescent="0.25">
      <c r="A18" s="177" t="s">
        <v>303</v>
      </c>
    </row>
    <row r="19" spans="1:1" x14ac:dyDescent="0.25">
      <c r="A19" s="169" t="str" cm="1">
        <f t="array" ref="A19:A50">Tabla1[Ticker]</f>
        <v>GOOGL</v>
      </c>
    </row>
    <row r="20" spans="1:1" x14ac:dyDescent="0.25">
      <c r="A20" s="169" t="str">
        <v>MSTR</v>
      </c>
    </row>
    <row r="21" spans="1:1" x14ac:dyDescent="0.25">
      <c r="A21" s="169" t="str">
        <v>TUEM</v>
      </c>
    </row>
    <row r="22" spans="1:1" x14ac:dyDescent="0.25">
      <c r="A22" s="169" t="str">
        <v>NTDOY</v>
      </c>
    </row>
    <row r="23" spans="1:1" x14ac:dyDescent="0.25">
      <c r="A23" s="169" t="str">
        <v>GBUS</v>
      </c>
    </row>
    <row r="24" spans="1:1" x14ac:dyDescent="0.25">
      <c r="A24" s="169" t="str">
        <v>327</v>
      </c>
    </row>
    <row r="25" spans="1:1" x14ac:dyDescent="0.25">
      <c r="A25" s="169" t="str">
        <v>HEAR</v>
      </c>
    </row>
    <row r="26" spans="1:1" x14ac:dyDescent="0.25">
      <c r="A26" s="169" t="str">
        <v>BOTB</v>
      </c>
    </row>
    <row r="27" spans="1:1" x14ac:dyDescent="0.25">
      <c r="A27" s="169" t="str">
        <v>AQB</v>
      </c>
    </row>
    <row r="28" spans="1:1" x14ac:dyDescent="0.25">
      <c r="A28" s="169" t="str">
        <v>HZO</v>
      </c>
    </row>
    <row r="29" spans="1:1" x14ac:dyDescent="0.25">
      <c r="A29" s="169" t="str">
        <v>FLWS</v>
      </c>
    </row>
    <row r="30" spans="1:1" x14ac:dyDescent="0.25">
      <c r="A30" s="169" t="str">
        <v>NGMS</v>
      </c>
    </row>
    <row r="31" spans="1:1" x14ac:dyDescent="0.25">
      <c r="A31" s="169" t="str">
        <v>META</v>
      </c>
    </row>
    <row r="32" spans="1:1" x14ac:dyDescent="0.25">
      <c r="A32" s="169" t="str">
        <v>SFTBF</v>
      </c>
    </row>
    <row r="33" spans="1:1" x14ac:dyDescent="0.25">
      <c r="A33" s="169" t="str">
        <v>CRMT</v>
      </c>
    </row>
    <row r="34" spans="1:1" x14ac:dyDescent="0.25">
      <c r="A34" s="176">
        <v>4934</v>
      </c>
    </row>
    <row r="35" spans="1:1" x14ac:dyDescent="0.25">
      <c r="A35" s="169" t="str">
        <v>EVVTY</v>
      </c>
    </row>
    <row r="36" spans="1:1" x14ac:dyDescent="0.25">
      <c r="A36" s="169" t="str">
        <v>NVDA</v>
      </c>
    </row>
    <row r="37" spans="1:1" x14ac:dyDescent="0.25">
      <c r="A37" s="169" t="str">
        <v>CRSR</v>
      </c>
    </row>
    <row r="38" spans="1:1" x14ac:dyDescent="0.25">
      <c r="A38" s="169" t="str">
        <v>SAND</v>
      </c>
    </row>
    <row r="39" spans="1:1" x14ac:dyDescent="0.25">
      <c r="A39" s="169" t="str">
        <v>OPRA</v>
      </c>
    </row>
    <row r="40" spans="1:1" x14ac:dyDescent="0.25">
      <c r="A40" s="169" t="str">
        <v>CROX</v>
      </c>
    </row>
    <row r="41" spans="1:1" x14ac:dyDescent="0.25">
      <c r="A41" s="169" t="str">
        <v>ATHM</v>
      </c>
    </row>
    <row r="42" spans="1:1" x14ac:dyDescent="0.25">
      <c r="A42" s="169" t="str">
        <v>DNP</v>
      </c>
    </row>
    <row r="43" spans="1:1" x14ac:dyDescent="0.25">
      <c r="A43" s="169" t="str">
        <v>XPEL</v>
      </c>
    </row>
    <row r="44" spans="1:1" x14ac:dyDescent="0.25">
      <c r="A44" s="169" t="str">
        <v>1830</v>
      </c>
    </row>
    <row r="45" spans="1:1" x14ac:dyDescent="0.25">
      <c r="A45" s="169" t="str">
        <v>SPGI</v>
      </c>
    </row>
    <row r="46" spans="1:1" x14ac:dyDescent="0.25">
      <c r="A46" s="169" t="str">
        <v>FLEX</v>
      </c>
    </row>
    <row r="47" spans="1:1" x14ac:dyDescent="0.25">
      <c r="A47" s="169" t="str">
        <v>MTCH</v>
      </c>
    </row>
    <row r="48" spans="1:1" x14ac:dyDescent="0.25">
      <c r="A48" s="169" t="str">
        <v>GMWKF</v>
      </c>
    </row>
    <row r="49" spans="1:1" x14ac:dyDescent="0.25">
      <c r="A49" s="169" t="str">
        <v>MAD</v>
      </c>
    </row>
    <row r="50" spans="1:1" x14ac:dyDescent="0.25">
      <c r="A50" s="169" t="str">
        <v>DOCS</v>
      </c>
    </row>
    <row r="51" spans="1:1" x14ac:dyDescent="0.25">
      <c r="A51" s="169"/>
    </row>
    <row r="52" spans="1:1" x14ac:dyDescent="0.25">
      <c r="A52" s="169"/>
    </row>
    <row r="53" spans="1:1" x14ac:dyDescent="0.25">
      <c r="A53" s="169"/>
    </row>
    <row r="54" spans="1:1" x14ac:dyDescent="0.25">
      <c r="A54" s="169"/>
    </row>
    <row r="55" spans="1:1" x14ac:dyDescent="0.25">
      <c r="A55" s="169"/>
    </row>
    <row r="56" spans="1:1" x14ac:dyDescent="0.25">
      <c r="A56" s="169"/>
    </row>
    <row r="57" spans="1:1" x14ac:dyDescent="0.25">
      <c r="A57" s="169"/>
    </row>
    <row r="58" spans="1:1" x14ac:dyDescent="0.25">
      <c r="A58" s="169"/>
    </row>
    <row r="59" spans="1:1" x14ac:dyDescent="0.25">
      <c r="A59" s="169"/>
    </row>
    <row r="60" spans="1:1" x14ac:dyDescent="0.25">
      <c r="A60" s="169"/>
    </row>
    <row r="61" spans="1:1" x14ac:dyDescent="0.25">
      <c r="A61" s="169"/>
    </row>
    <row r="62" spans="1:1" x14ac:dyDescent="0.25">
      <c r="A62" s="169"/>
    </row>
    <row r="63" spans="1:1" x14ac:dyDescent="0.25">
      <c r="A63" s="169"/>
    </row>
    <row r="64" spans="1:1" x14ac:dyDescent="0.25">
      <c r="A64" s="169"/>
    </row>
    <row r="65" spans="1:1" x14ac:dyDescent="0.25">
      <c r="A65" s="169"/>
    </row>
    <row r="66" spans="1:1" x14ac:dyDescent="0.25">
      <c r="A66" s="169"/>
    </row>
    <row r="67" spans="1:1" x14ac:dyDescent="0.25">
      <c r="A67" s="169"/>
    </row>
    <row r="68" spans="1:1" x14ac:dyDescent="0.25">
      <c r="A68" s="169"/>
    </row>
    <row r="69" spans="1:1" x14ac:dyDescent="0.25">
      <c r="A69" s="169"/>
    </row>
    <row r="70" spans="1:1" x14ac:dyDescent="0.25">
      <c r="A70" s="169"/>
    </row>
    <row r="71" spans="1:1" x14ac:dyDescent="0.25">
      <c r="A71" s="169"/>
    </row>
    <row r="72" spans="1:1" x14ac:dyDescent="0.25">
      <c r="A72" s="169"/>
    </row>
    <row r="73" spans="1:1" x14ac:dyDescent="0.25">
      <c r="A73" s="169"/>
    </row>
    <row r="74" spans="1:1" x14ac:dyDescent="0.25">
      <c r="A74" s="169"/>
    </row>
    <row r="75" spans="1:1" x14ac:dyDescent="0.25">
      <c r="A75" s="169"/>
    </row>
    <row r="76" spans="1:1" x14ac:dyDescent="0.25">
      <c r="A76" s="169"/>
    </row>
    <row r="77" spans="1:1" x14ac:dyDescent="0.25">
      <c r="A77" s="169"/>
    </row>
    <row r="78" spans="1:1" x14ac:dyDescent="0.25">
      <c r="A78" s="169"/>
    </row>
    <row r="79" spans="1:1" x14ac:dyDescent="0.25">
      <c r="A79" s="169"/>
    </row>
    <row r="80" spans="1:1" x14ac:dyDescent="0.25">
      <c r="A80" s="169"/>
    </row>
    <row r="81" spans="1:1" x14ac:dyDescent="0.25">
      <c r="A81" s="169"/>
    </row>
    <row r="82" spans="1:1" x14ac:dyDescent="0.25">
      <c r="A82" s="169"/>
    </row>
    <row r="83" spans="1:1" x14ac:dyDescent="0.25">
      <c r="A83" s="169"/>
    </row>
    <row r="84" spans="1:1" x14ac:dyDescent="0.25">
      <c r="A84" s="169"/>
    </row>
    <row r="85" spans="1:1" x14ac:dyDescent="0.25">
      <c r="A85" s="169"/>
    </row>
    <row r="86" spans="1:1" x14ac:dyDescent="0.25">
      <c r="A86" s="169"/>
    </row>
    <row r="87" spans="1:1" x14ac:dyDescent="0.25">
      <c r="A87" s="169"/>
    </row>
    <row r="88" spans="1:1" x14ac:dyDescent="0.25">
      <c r="A88" s="169"/>
    </row>
    <row r="89" spans="1:1" x14ac:dyDescent="0.25">
      <c r="A89" s="169"/>
    </row>
    <row r="90" spans="1:1" x14ac:dyDescent="0.25">
      <c r="A90" s="169"/>
    </row>
    <row r="91" spans="1:1" x14ac:dyDescent="0.25">
      <c r="A91" s="169"/>
    </row>
    <row r="92" spans="1:1" x14ac:dyDescent="0.25">
      <c r="A92" s="169"/>
    </row>
    <row r="93" spans="1:1" x14ac:dyDescent="0.25">
      <c r="A93" s="169"/>
    </row>
    <row r="94" spans="1:1" x14ac:dyDescent="0.25">
      <c r="A94" s="169"/>
    </row>
    <row r="95" spans="1:1" x14ac:dyDescent="0.25">
      <c r="A95" s="169"/>
    </row>
    <row r="96" spans="1:1" x14ac:dyDescent="0.25">
      <c r="A96" s="169"/>
    </row>
    <row r="97" spans="1:1" x14ac:dyDescent="0.25">
      <c r="A97" s="169"/>
    </row>
    <row r="98" spans="1:1" x14ac:dyDescent="0.25">
      <c r="A98" s="169"/>
    </row>
    <row r="99" spans="1:1" x14ac:dyDescent="0.25">
      <c r="A99" s="169"/>
    </row>
    <row r="100" spans="1:1" x14ac:dyDescent="0.25">
      <c r="A100" s="169"/>
    </row>
    <row r="101" spans="1:1" x14ac:dyDescent="0.25">
      <c r="A101" s="169"/>
    </row>
    <row r="102" spans="1:1" x14ac:dyDescent="0.25">
      <c r="A102" s="169"/>
    </row>
    <row r="103" spans="1:1" x14ac:dyDescent="0.25">
      <c r="A103" s="169"/>
    </row>
    <row r="104" spans="1:1" x14ac:dyDescent="0.25">
      <c r="A104" s="169"/>
    </row>
    <row r="105" spans="1:1" x14ac:dyDescent="0.25">
      <c r="A105" s="169"/>
    </row>
    <row r="106" spans="1:1" x14ac:dyDescent="0.25">
      <c r="A106" s="169"/>
    </row>
    <row r="107" spans="1:1" x14ac:dyDescent="0.25">
      <c r="A107" s="169"/>
    </row>
    <row r="108" spans="1:1" x14ac:dyDescent="0.25">
      <c r="A108" s="169"/>
    </row>
    <row r="109" spans="1:1" x14ac:dyDescent="0.25">
      <c r="A109" s="169"/>
    </row>
    <row r="110" spans="1:1" x14ac:dyDescent="0.25">
      <c r="A110" s="169"/>
    </row>
    <row r="111" spans="1:1" x14ac:dyDescent="0.25">
      <c r="A111" s="169"/>
    </row>
    <row r="112" spans="1:1" x14ac:dyDescent="0.25">
      <c r="A112" s="169"/>
    </row>
    <row r="113" spans="1:1" x14ac:dyDescent="0.25">
      <c r="A113" s="169"/>
    </row>
    <row r="114" spans="1:1" x14ac:dyDescent="0.25">
      <c r="A114" s="169"/>
    </row>
    <row r="115" spans="1:1" x14ac:dyDescent="0.25">
      <c r="A115" s="169"/>
    </row>
    <row r="116" spans="1:1" x14ac:dyDescent="0.25">
      <c r="A116" s="169"/>
    </row>
    <row r="117" spans="1:1" x14ac:dyDescent="0.25">
      <c r="A117" s="169"/>
    </row>
  </sheetData>
  <mergeCells count="1">
    <mergeCell ref="I1:K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lean_pages">
                <anchor moveWithCells="1" sizeWithCells="1">
                  <from>
                    <xdr:col>8</xdr:col>
                    <xdr:colOff>152400</xdr:colOff>
                    <xdr:row>1</xdr:row>
                    <xdr:rowOff>95250</xdr:rowOff>
                  </from>
                  <to>
                    <xdr:col>10</xdr:col>
                    <xdr:colOff>466725</xdr:colOff>
                    <xdr:row>3</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save_file">
                <anchor moveWithCells="1" sizeWithCells="1">
                  <from>
                    <xdr:col>8</xdr:col>
                    <xdr:colOff>142875</xdr:colOff>
                    <xdr:row>3</xdr:row>
                    <xdr:rowOff>152400</xdr:rowOff>
                  </from>
                  <to>
                    <xdr:col>10</xdr:col>
                    <xdr:colOff>466725</xdr:colOff>
                    <xdr:row>5</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CC85A4-8D84-4CA7-BE38-47A095E79884}">
  <sheetPr codeName="Hoja9"/>
  <dimension ref="A1:H86"/>
  <sheetViews>
    <sheetView workbookViewId="0">
      <selection sqref="A1:H86"/>
    </sheetView>
  </sheetViews>
  <sheetFormatPr baseColWidth="10" defaultRowHeight="15" x14ac:dyDescent="0.25"/>
  <cols>
    <col min="1" max="1" width="56.7109375" bestFit="1" customWidth="1"/>
    <col min="2" max="3" width="12" bestFit="1" customWidth="1"/>
    <col min="4" max="8" width="11.5703125" bestFit="1" customWidth="1"/>
  </cols>
  <sheetData>
    <row r="1" spans="1:8" x14ac:dyDescent="0.25">
      <c r="A1" s="244"/>
      <c r="B1" s="244"/>
      <c r="C1" s="244"/>
      <c r="D1" s="244"/>
      <c r="E1" s="244"/>
      <c r="F1" s="244"/>
      <c r="G1" s="244"/>
      <c r="H1" s="244"/>
    </row>
    <row r="2" spans="1:8" x14ac:dyDescent="0.25">
      <c r="A2" s="178" t="s">
        <v>138</v>
      </c>
      <c r="B2" s="178" t="s">
        <v>139</v>
      </c>
      <c r="C2" s="179">
        <v>44561</v>
      </c>
      <c r="D2" s="179">
        <v>44196</v>
      </c>
      <c r="E2" s="179">
        <v>43830</v>
      </c>
      <c r="F2" s="179">
        <v>43465</v>
      </c>
      <c r="G2" s="179">
        <v>43100</v>
      </c>
      <c r="H2" s="179">
        <v>42735</v>
      </c>
    </row>
    <row r="3" spans="1:8" x14ac:dyDescent="0.25">
      <c r="A3" s="163"/>
      <c r="B3" s="163"/>
      <c r="C3" s="163"/>
      <c r="D3" s="163"/>
      <c r="E3" s="163"/>
      <c r="F3" s="163"/>
      <c r="G3" s="163"/>
      <c r="H3" s="163"/>
    </row>
    <row r="4" spans="1:8" x14ac:dyDescent="0.25">
      <c r="A4" s="180" t="s">
        <v>140</v>
      </c>
      <c r="B4" s="181">
        <v>894.14</v>
      </c>
      <c r="C4" s="181">
        <v>656.43</v>
      </c>
      <c r="D4" s="181">
        <v>431.06</v>
      </c>
      <c r="E4" s="181">
        <v>287.02</v>
      </c>
      <c r="F4" s="181">
        <v>192.67</v>
      </c>
      <c r="G4" s="181">
        <v>134.91999999999999</v>
      </c>
      <c r="H4" s="164"/>
    </row>
    <row r="5" spans="1:8" x14ac:dyDescent="0.25">
      <c r="A5" s="180" t="s">
        <v>307</v>
      </c>
      <c r="B5" s="192"/>
      <c r="C5" s="192"/>
      <c r="D5" s="192"/>
      <c r="E5" s="192"/>
      <c r="F5" s="192"/>
      <c r="G5" s="192"/>
      <c r="H5" s="192"/>
    </row>
    <row r="6" spans="1:8" x14ac:dyDescent="0.25">
      <c r="A6" s="180" t="s">
        <v>308</v>
      </c>
      <c r="B6" s="192"/>
      <c r="C6" s="192"/>
      <c r="D6" s="192"/>
      <c r="E6" s="192"/>
      <c r="F6" s="192"/>
      <c r="G6" s="192"/>
      <c r="H6" s="192"/>
    </row>
    <row r="7" spans="1:8" x14ac:dyDescent="0.25">
      <c r="A7" s="180" t="s">
        <v>309</v>
      </c>
      <c r="B7" s="192"/>
      <c r="C7" s="192"/>
      <c r="D7" s="192"/>
      <c r="E7" s="192"/>
      <c r="F7" s="192"/>
      <c r="G7" s="192"/>
      <c r="H7" s="192"/>
    </row>
    <row r="8" spans="1:8" x14ac:dyDescent="0.25">
      <c r="A8" s="180" t="s">
        <v>310</v>
      </c>
      <c r="B8" s="192"/>
      <c r="C8" s="192"/>
      <c r="D8" s="192"/>
      <c r="E8" s="192"/>
      <c r="F8" s="192"/>
      <c r="G8" s="192"/>
      <c r="H8" s="192"/>
    </row>
    <row r="9" spans="1:8" x14ac:dyDescent="0.25">
      <c r="A9" s="180" t="s">
        <v>311</v>
      </c>
      <c r="B9" s="192"/>
      <c r="C9" s="192"/>
      <c r="D9" s="192"/>
      <c r="E9" s="192"/>
      <c r="F9" s="192"/>
      <c r="G9" s="192"/>
      <c r="H9" s="192"/>
    </row>
    <row r="10" spans="1:8" x14ac:dyDescent="0.25">
      <c r="A10" s="180" t="s">
        <v>312</v>
      </c>
      <c r="B10" s="192"/>
      <c r="C10" s="192"/>
      <c r="D10" s="192"/>
      <c r="E10" s="192"/>
      <c r="F10" s="192"/>
      <c r="G10" s="192"/>
      <c r="H10" s="192"/>
    </row>
    <row r="11" spans="1:8" x14ac:dyDescent="0.25">
      <c r="A11" s="182" t="s">
        <v>141</v>
      </c>
      <c r="B11" s="183">
        <v>894.14</v>
      </c>
      <c r="C11" s="183">
        <v>656.43</v>
      </c>
      <c r="D11" s="183">
        <v>431.06</v>
      </c>
      <c r="E11" s="183">
        <v>287.02</v>
      </c>
      <c r="F11" s="183">
        <v>192.67</v>
      </c>
      <c r="G11" s="183">
        <v>134.91999999999999</v>
      </c>
      <c r="H11" s="164"/>
    </row>
    <row r="12" spans="1:8" x14ac:dyDescent="0.25">
      <c r="A12" s="184" t="s">
        <v>142</v>
      </c>
      <c r="B12" s="187"/>
      <c r="C12" s="186" t="s">
        <v>453</v>
      </c>
      <c r="D12" s="186" t="s">
        <v>454</v>
      </c>
      <c r="E12" s="186" t="s">
        <v>455</v>
      </c>
      <c r="F12" s="186" t="s">
        <v>456</v>
      </c>
      <c r="G12" s="164"/>
      <c r="H12" s="187"/>
    </row>
    <row r="13" spans="1:8" x14ac:dyDescent="0.25">
      <c r="A13" s="180" t="s">
        <v>143</v>
      </c>
      <c r="B13" s="188">
        <v>-207.32</v>
      </c>
      <c r="C13" s="188">
        <v>-147.13</v>
      </c>
      <c r="D13" s="188">
        <v>-101.06</v>
      </c>
      <c r="E13" s="188">
        <v>-63.42</v>
      </c>
      <c r="F13" s="188">
        <v>-43.54</v>
      </c>
      <c r="G13" s="188">
        <v>-28.79</v>
      </c>
      <c r="H13" s="164"/>
    </row>
    <row r="14" spans="1:8" x14ac:dyDescent="0.25">
      <c r="A14" s="180" t="s">
        <v>313</v>
      </c>
      <c r="B14" s="192"/>
      <c r="C14" s="192"/>
      <c r="D14" s="192"/>
      <c r="E14" s="192"/>
      <c r="F14" s="192"/>
      <c r="G14" s="192"/>
      <c r="H14" s="192"/>
    </row>
    <row r="15" spans="1:8" x14ac:dyDescent="0.25">
      <c r="A15" s="180" t="s">
        <v>314</v>
      </c>
      <c r="B15" s="192"/>
      <c r="C15" s="192"/>
      <c r="D15" s="192"/>
      <c r="E15" s="192"/>
      <c r="F15" s="192"/>
      <c r="G15" s="192"/>
      <c r="H15" s="192"/>
    </row>
    <row r="16" spans="1:8" ht="15.75" thickBot="1" x14ac:dyDescent="0.3">
      <c r="A16" s="180" t="s">
        <v>315</v>
      </c>
      <c r="B16" s="192"/>
      <c r="C16" s="192"/>
      <c r="D16" s="192"/>
      <c r="E16" s="192"/>
      <c r="F16" s="192"/>
      <c r="G16" s="192"/>
      <c r="H16" s="192"/>
    </row>
    <row r="17" spans="1:8" ht="15.75" thickTop="1" x14ac:dyDescent="0.25">
      <c r="A17" s="189" t="s">
        <v>2</v>
      </c>
      <c r="B17" s="190">
        <v>686.82</v>
      </c>
      <c r="C17" s="190">
        <v>509.29</v>
      </c>
      <c r="D17" s="190">
        <v>330</v>
      </c>
      <c r="E17" s="190">
        <v>223.6</v>
      </c>
      <c r="F17" s="190">
        <v>149.13999999999999</v>
      </c>
      <c r="G17" s="190">
        <v>106.13</v>
      </c>
      <c r="H17" s="165"/>
    </row>
    <row r="18" spans="1:8" x14ac:dyDescent="0.25">
      <c r="A18" s="184" t="s">
        <v>142</v>
      </c>
      <c r="B18" s="187"/>
      <c r="C18" s="186" t="s">
        <v>457</v>
      </c>
      <c r="D18" s="186" t="s">
        <v>458</v>
      </c>
      <c r="E18" s="186" t="s">
        <v>459</v>
      </c>
      <c r="F18" s="186" t="s">
        <v>460</v>
      </c>
      <c r="G18" s="164"/>
      <c r="H18" s="187"/>
    </row>
    <row r="19" spans="1:8" x14ac:dyDescent="0.25">
      <c r="A19" s="184" t="s">
        <v>144</v>
      </c>
      <c r="B19" s="186" t="s">
        <v>461</v>
      </c>
      <c r="C19" s="186" t="s">
        <v>462</v>
      </c>
      <c r="D19" s="186" t="s">
        <v>463</v>
      </c>
      <c r="E19" s="186" t="s">
        <v>464</v>
      </c>
      <c r="F19" s="186" t="s">
        <v>465</v>
      </c>
      <c r="G19" s="186" t="s">
        <v>466</v>
      </c>
      <c r="H19" s="164"/>
    </row>
    <row r="20" spans="1:8" x14ac:dyDescent="0.25">
      <c r="A20" s="180" t="s">
        <v>145</v>
      </c>
      <c r="B20" s="188">
        <v>-597.65</v>
      </c>
      <c r="C20" s="188">
        <v>-447.19</v>
      </c>
      <c r="D20" s="188">
        <v>-303.35000000000002</v>
      </c>
      <c r="E20" s="188">
        <v>-240.88</v>
      </c>
      <c r="F20" s="188">
        <v>-179.57</v>
      </c>
      <c r="G20" s="188">
        <v>-82.21</v>
      </c>
      <c r="H20" s="164"/>
    </row>
    <row r="21" spans="1:8" x14ac:dyDescent="0.25">
      <c r="A21" s="180" t="s">
        <v>316</v>
      </c>
      <c r="B21" s="192"/>
      <c r="C21" s="192"/>
      <c r="D21" s="192"/>
      <c r="E21" s="192"/>
      <c r="F21" s="192"/>
      <c r="G21" s="192"/>
      <c r="H21" s="192"/>
    </row>
    <row r="22" spans="1:8" x14ac:dyDescent="0.25">
      <c r="A22" s="180" t="s">
        <v>317</v>
      </c>
      <c r="B22" s="192"/>
      <c r="C22" s="192"/>
      <c r="D22" s="192"/>
      <c r="E22" s="192"/>
      <c r="F22" s="192"/>
      <c r="G22" s="192"/>
      <c r="H22" s="192"/>
    </row>
    <row r="23" spans="1:8" x14ac:dyDescent="0.25">
      <c r="A23" s="180" t="s">
        <v>179</v>
      </c>
      <c r="B23" s="192"/>
      <c r="C23" s="192"/>
      <c r="D23" s="192"/>
      <c r="E23" s="192"/>
      <c r="F23" s="192"/>
      <c r="G23" s="192"/>
      <c r="H23" s="192"/>
    </row>
    <row r="24" spans="1:8" x14ac:dyDescent="0.25">
      <c r="A24" s="180" t="s">
        <v>318</v>
      </c>
      <c r="B24" s="192"/>
      <c r="C24" s="192"/>
      <c r="D24" s="192"/>
      <c r="E24" s="192"/>
      <c r="F24" s="192"/>
      <c r="G24" s="192"/>
      <c r="H24" s="192"/>
    </row>
    <row r="25" spans="1:8" x14ac:dyDescent="0.25">
      <c r="A25" s="180" t="s">
        <v>146</v>
      </c>
      <c r="B25" s="188">
        <v>-280.36</v>
      </c>
      <c r="C25" s="188">
        <v>-189.41</v>
      </c>
      <c r="D25" s="188">
        <v>-127.14</v>
      </c>
      <c r="E25" s="188">
        <v>-90.67</v>
      </c>
      <c r="F25" s="188">
        <v>-54.46</v>
      </c>
      <c r="G25" s="188">
        <v>-33.65</v>
      </c>
      <c r="H25" s="164"/>
    </row>
    <row r="26" spans="1:8" x14ac:dyDescent="0.25">
      <c r="A26" s="180" t="s">
        <v>180</v>
      </c>
      <c r="B26" s="192"/>
      <c r="C26" s="192"/>
      <c r="D26" s="192"/>
      <c r="E26" s="192"/>
      <c r="F26" s="192"/>
      <c r="G26" s="192"/>
      <c r="H26" s="192"/>
    </row>
    <row r="27" spans="1:8" x14ac:dyDescent="0.25">
      <c r="A27" s="180" t="s">
        <v>181</v>
      </c>
      <c r="B27" s="192"/>
      <c r="C27" s="192"/>
      <c r="D27" s="192"/>
      <c r="E27" s="192"/>
      <c r="F27" s="192"/>
      <c r="G27" s="192"/>
      <c r="H27" s="192"/>
    </row>
    <row r="28" spans="1:8" x14ac:dyDescent="0.25">
      <c r="A28" s="180" t="s">
        <v>319</v>
      </c>
      <c r="B28" s="192"/>
      <c r="C28" s="192"/>
      <c r="D28" s="192"/>
      <c r="E28" s="192"/>
      <c r="F28" s="192"/>
      <c r="G28" s="192"/>
      <c r="H28" s="192"/>
    </row>
    <row r="29" spans="1:8" ht="15.75" thickBot="1" x14ac:dyDescent="0.3">
      <c r="A29" s="180" t="s">
        <v>320</v>
      </c>
      <c r="B29" s="192"/>
      <c r="C29" s="192"/>
      <c r="D29" s="192"/>
      <c r="E29" s="192"/>
      <c r="F29" s="192"/>
      <c r="G29" s="192"/>
      <c r="H29" s="192"/>
    </row>
    <row r="30" spans="1:8" ht="15.75" thickTop="1" x14ac:dyDescent="0.25">
      <c r="A30" s="189" t="s">
        <v>147</v>
      </c>
      <c r="B30" s="191">
        <v>-878.02</v>
      </c>
      <c r="C30" s="191">
        <v>-636.6</v>
      </c>
      <c r="D30" s="191">
        <v>-430.49</v>
      </c>
      <c r="E30" s="191">
        <v>-331.55</v>
      </c>
      <c r="F30" s="191">
        <v>-234.04</v>
      </c>
      <c r="G30" s="191">
        <v>-115.86</v>
      </c>
      <c r="H30" s="165"/>
    </row>
    <row r="31" spans="1:8" x14ac:dyDescent="0.25">
      <c r="A31" s="182" t="s">
        <v>4</v>
      </c>
      <c r="B31" s="254">
        <v>-191.2</v>
      </c>
      <c r="C31" s="254">
        <v>-127.3</v>
      </c>
      <c r="D31" s="254">
        <v>-100.49</v>
      </c>
      <c r="E31" s="254">
        <v>-107.95</v>
      </c>
      <c r="F31" s="254">
        <v>-84.9</v>
      </c>
      <c r="G31" s="254">
        <v>-9.73</v>
      </c>
      <c r="H31" s="164"/>
    </row>
    <row r="32" spans="1:8" x14ac:dyDescent="0.25">
      <c r="A32" s="184" t="s">
        <v>142</v>
      </c>
      <c r="B32" s="187"/>
      <c r="C32" s="186" t="s">
        <v>467</v>
      </c>
      <c r="D32" s="186" t="s">
        <v>468</v>
      </c>
      <c r="E32" s="186" t="s">
        <v>469</v>
      </c>
      <c r="F32" s="186" t="s">
        <v>470</v>
      </c>
      <c r="G32" s="164"/>
      <c r="H32" s="187"/>
    </row>
    <row r="33" spans="1:8" x14ac:dyDescent="0.25">
      <c r="A33" s="184" t="s">
        <v>148</v>
      </c>
      <c r="B33" s="185" t="s">
        <v>471</v>
      </c>
      <c r="C33" s="185" t="s">
        <v>472</v>
      </c>
      <c r="D33" s="185" t="s">
        <v>473</v>
      </c>
      <c r="E33" s="185" t="s">
        <v>474</v>
      </c>
      <c r="F33" s="185" t="s">
        <v>475</v>
      </c>
      <c r="G33" s="185" t="s">
        <v>476</v>
      </c>
      <c r="H33" s="164"/>
    </row>
    <row r="34" spans="1:8" x14ac:dyDescent="0.25">
      <c r="A34" s="180" t="s">
        <v>149</v>
      </c>
      <c r="B34" s="188">
        <v>-20.22</v>
      </c>
      <c r="C34" s="188">
        <v>-49.23</v>
      </c>
      <c r="D34" s="188">
        <v>-24.96</v>
      </c>
      <c r="E34" s="188">
        <v>-1.1100000000000001</v>
      </c>
      <c r="F34" s="188">
        <v>-0.99</v>
      </c>
      <c r="G34" s="188">
        <v>-0.86</v>
      </c>
      <c r="H34" s="164"/>
    </row>
    <row r="35" spans="1:8" x14ac:dyDescent="0.25">
      <c r="A35" s="180" t="s">
        <v>150</v>
      </c>
      <c r="B35" s="181">
        <v>7.22</v>
      </c>
      <c r="C35" s="181">
        <v>1.97</v>
      </c>
      <c r="D35" s="181">
        <v>6.59</v>
      </c>
      <c r="E35" s="181">
        <v>5.79</v>
      </c>
      <c r="F35" s="181">
        <v>1.9</v>
      </c>
      <c r="G35" s="181">
        <v>0.76</v>
      </c>
      <c r="H35" s="164"/>
    </row>
    <row r="36" spans="1:8" x14ac:dyDescent="0.25">
      <c r="A36" s="180" t="s">
        <v>321</v>
      </c>
      <c r="B36" s="192"/>
      <c r="C36" s="192"/>
      <c r="D36" s="192"/>
      <c r="E36" s="192"/>
      <c r="F36" s="192"/>
      <c r="G36" s="192"/>
      <c r="H36" s="192"/>
    </row>
    <row r="37" spans="1:8" x14ac:dyDescent="0.25">
      <c r="A37" s="180" t="s">
        <v>151</v>
      </c>
      <c r="B37" s="188">
        <v>-0.4</v>
      </c>
      <c r="C37" s="188">
        <v>-0.4</v>
      </c>
      <c r="D37" s="188">
        <v>-0.9</v>
      </c>
      <c r="E37" s="188">
        <v>-0.2</v>
      </c>
      <c r="F37" s="188">
        <v>-0.3</v>
      </c>
      <c r="G37" s="181">
        <v>0.2</v>
      </c>
      <c r="H37" s="164"/>
    </row>
    <row r="38" spans="1:8" ht="15.75" thickBot="1" x14ac:dyDescent="0.3">
      <c r="A38" s="180" t="s">
        <v>152</v>
      </c>
      <c r="B38" s="181">
        <v>2.15</v>
      </c>
      <c r="C38" s="188">
        <v>-0.39</v>
      </c>
      <c r="D38" s="181">
        <v>1.07</v>
      </c>
      <c r="E38" s="188">
        <v>-1.24</v>
      </c>
      <c r="F38" s="188">
        <v>-1.79</v>
      </c>
      <c r="G38" s="188">
        <v>-0.09</v>
      </c>
      <c r="H38" s="164"/>
    </row>
    <row r="39" spans="1:8" ht="15.75" thickTop="1" x14ac:dyDescent="0.25">
      <c r="A39" s="189" t="s">
        <v>153</v>
      </c>
      <c r="B39" s="191">
        <v>-202.44</v>
      </c>
      <c r="C39" s="191">
        <v>-175.36</v>
      </c>
      <c r="D39" s="191">
        <v>-118.69</v>
      </c>
      <c r="E39" s="191">
        <v>-104.71</v>
      </c>
      <c r="F39" s="191">
        <v>-86.09</v>
      </c>
      <c r="G39" s="191">
        <v>-9.7200000000000006</v>
      </c>
      <c r="H39" s="165"/>
    </row>
    <row r="40" spans="1:8" x14ac:dyDescent="0.25">
      <c r="A40" s="180" t="s">
        <v>322</v>
      </c>
      <c r="B40" s="188">
        <v>-0.38</v>
      </c>
      <c r="C40" s="188">
        <v>-0.38</v>
      </c>
      <c r="D40" s="188">
        <v>-6.28</v>
      </c>
      <c r="E40" s="192"/>
      <c r="F40" s="192"/>
      <c r="G40" s="192"/>
      <c r="H40" s="192"/>
    </row>
    <row r="41" spans="1:8" x14ac:dyDescent="0.25">
      <c r="A41" s="180" t="s">
        <v>323</v>
      </c>
      <c r="B41" s="192"/>
      <c r="C41" s="192"/>
      <c r="D41" s="192"/>
      <c r="E41" s="192"/>
      <c r="F41" s="192"/>
      <c r="G41" s="192"/>
      <c r="H41" s="192"/>
    </row>
    <row r="42" spans="1:8" x14ac:dyDescent="0.25">
      <c r="A42" s="180" t="s">
        <v>154</v>
      </c>
      <c r="B42" s="192"/>
      <c r="C42" s="192"/>
      <c r="D42" s="192"/>
      <c r="E42" s="192"/>
      <c r="F42" s="192"/>
      <c r="G42" s="192"/>
      <c r="H42" s="192"/>
    </row>
    <row r="43" spans="1:8" x14ac:dyDescent="0.25">
      <c r="A43" s="180" t="s">
        <v>155</v>
      </c>
      <c r="B43" s="192"/>
      <c r="C43" s="192"/>
      <c r="D43" s="192"/>
      <c r="E43" s="192"/>
      <c r="F43" s="192"/>
      <c r="G43" s="192"/>
      <c r="H43" s="192"/>
    </row>
    <row r="44" spans="1:8" x14ac:dyDescent="0.25">
      <c r="A44" s="180" t="s">
        <v>156</v>
      </c>
      <c r="B44" s="192"/>
      <c r="C44" s="192"/>
      <c r="D44" s="192"/>
      <c r="E44" s="192"/>
      <c r="F44" s="192"/>
      <c r="G44" s="192"/>
      <c r="H44" s="192"/>
    </row>
    <row r="45" spans="1:8" x14ac:dyDescent="0.25">
      <c r="A45" s="180" t="s">
        <v>157</v>
      </c>
      <c r="B45" s="192"/>
      <c r="C45" s="192"/>
      <c r="D45" s="192"/>
      <c r="E45" s="192"/>
      <c r="F45" s="192"/>
      <c r="G45" s="192"/>
      <c r="H45" s="192"/>
    </row>
    <row r="46" spans="1:8" x14ac:dyDescent="0.25">
      <c r="A46" s="180" t="s">
        <v>324</v>
      </c>
      <c r="B46" s="192"/>
      <c r="C46" s="192"/>
      <c r="D46" s="192"/>
      <c r="E46" s="192"/>
      <c r="F46" s="192"/>
      <c r="G46" s="192"/>
      <c r="H46" s="192"/>
    </row>
    <row r="47" spans="1:8" x14ac:dyDescent="0.25">
      <c r="A47" s="180" t="s">
        <v>158</v>
      </c>
      <c r="B47" s="192"/>
      <c r="C47" s="192"/>
      <c r="D47" s="192"/>
      <c r="E47" s="192"/>
      <c r="F47" s="192"/>
      <c r="G47" s="192"/>
      <c r="H47" s="192"/>
    </row>
    <row r="48" spans="1:8" ht="15.75" thickBot="1" x14ac:dyDescent="0.3">
      <c r="A48" s="180" t="s">
        <v>159</v>
      </c>
      <c r="B48" s="192"/>
      <c r="C48" s="188">
        <v>-72.23</v>
      </c>
      <c r="D48" s="192"/>
      <c r="E48" s="192"/>
      <c r="F48" s="192"/>
      <c r="G48" s="192"/>
      <c r="H48" s="192"/>
    </row>
    <row r="49" spans="1:8" ht="15.75" thickTop="1" x14ac:dyDescent="0.25">
      <c r="A49" s="189" t="s">
        <v>160</v>
      </c>
      <c r="B49" s="191">
        <v>-202.82</v>
      </c>
      <c r="C49" s="191">
        <v>-247.98</v>
      </c>
      <c r="D49" s="191">
        <v>-124.97</v>
      </c>
      <c r="E49" s="191">
        <v>-104.71</v>
      </c>
      <c r="F49" s="191">
        <v>-86.09</v>
      </c>
      <c r="G49" s="191">
        <v>-9.7200000000000006</v>
      </c>
      <c r="H49" s="165"/>
    </row>
    <row r="50" spans="1:8" ht="15.75" thickBot="1" x14ac:dyDescent="0.3">
      <c r="A50" s="180" t="s">
        <v>161</v>
      </c>
      <c r="B50" s="188">
        <v>-22.15</v>
      </c>
      <c r="C50" s="188">
        <v>-12.33</v>
      </c>
      <c r="D50" s="181">
        <v>5.6</v>
      </c>
      <c r="E50" s="188">
        <v>-1.1200000000000001</v>
      </c>
      <c r="F50" s="188">
        <v>-1.08</v>
      </c>
      <c r="G50" s="188">
        <v>-1.03</v>
      </c>
      <c r="H50" s="164"/>
    </row>
    <row r="51" spans="1:8" ht="15.75" thickTop="1" x14ac:dyDescent="0.25">
      <c r="A51" s="189" t="s">
        <v>162</v>
      </c>
      <c r="B51" s="191">
        <v>-224.97</v>
      </c>
      <c r="C51" s="191">
        <v>-260.31</v>
      </c>
      <c r="D51" s="191">
        <v>-119.37</v>
      </c>
      <c r="E51" s="191">
        <v>-105.83</v>
      </c>
      <c r="F51" s="191">
        <v>-87.16</v>
      </c>
      <c r="G51" s="191">
        <v>-10.75</v>
      </c>
      <c r="H51" s="165"/>
    </row>
    <row r="52" spans="1:8" x14ac:dyDescent="0.25">
      <c r="A52" s="180" t="s">
        <v>163</v>
      </c>
      <c r="B52" s="192"/>
      <c r="C52" s="192"/>
      <c r="D52" s="192"/>
      <c r="E52" s="192"/>
      <c r="F52" s="192"/>
      <c r="G52" s="192"/>
      <c r="H52" s="192"/>
    </row>
    <row r="53" spans="1:8" ht="15.75" thickBot="1" x14ac:dyDescent="0.3">
      <c r="A53" s="180" t="s">
        <v>325</v>
      </c>
      <c r="B53" s="192"/>
      <c r="C53" s="192"/>
      <c r="D53" s="192"/>
      <c r="E53" s="192"/>
      <c r="F53" s="192"/>
      <c r="G53" s="192"/>
      <c r="H53" s="192"/>
    </row>
    <row r="54" spans="1:8" ht="15.75" thickTop="1" x14ac:dyDescent="0.25">
      <c r="A54" s="189" t="s">
        <v>164</v>
      </c>
      <c r="B54" s="191">
        <v>-224.97</v>
      </c>
      <c r="C54" s="191">
        <v>-260.31</v>
      </c>
      <c r="D54" s="191">
        <v>-119.37</v>
      </c>
      <c r="E54" s="191">
        <v>-105.83</v>
      </c>
      <c r="F54" s="191">
        <v>-87.16</v>
      </c>
      <c r="G54" s="191">
        <v>-10.75</v>
      </c>
      <c r="H54" s="165"/>
    </row>
    <row r="55" spans="1:8" x14ac:dyDescent="0.25">
      <c r="A55" s="180" t="s">
        <v>135</v>
      </c>
      <c r="B55" s="192"/>
      <c r="C55" s="192"/>
      <c r="D55" s="192"/>
      <c r="E55" s="192"/>
      <c r="F55" s="192"/>
      <c r="G55" s="192"/>
      <c r="H55" s="192"/>
    </row>
    <row r="56" spans="1:8" x14ac:dyDescent="0.25">
      <c r="A56" s="182" t="s">
        <v>5</v>
      </c>
      <c r="B56" s="254">
        <v>-224.97</v>
      </c>
      <c r="C56" s="254">
        <v>-260.31</v>
      </c>
      <c r="D56" s="254">
        <v>-119.37</v>
      </c>
      <c r="E56" s="254">
        <v>-105.83</v>
      </c>
      <c r="F56" s="254">
        <v>-87.16</v>
      </c>
      <c r="G56" s="254">
        <v>-10.75</v>
      </c>
      <c r="H56" s="164"/>
    </row>
    <row r="57" spans="1:8" x14ac:dyDescent="0.25">
      <c r="A57" s="180" t="s">
        <v>306</v>
      </c>
      <c r="B57" s="192"/>
      <c r="C57" s="192"/>
      <c r="D57" s="192"/>
      <c r="E57" s="192"/>
      <c r="F57" s="192"/>
      <c r="G57" s="192"/>
      <c r="H57" s="192"/>
    </row>
    <row r="58" spans="1:8" x14ac:dyDescent="0.25">
      <c r="A58" s="182" t="s">
        <v>165</v>
      </c>
      <c r="B58" s="254">
        <v>-224.97</v>
      </c>
      <c r="C58" s="254">
        <v>-260.31</v>
      </c>
      <c r="D58" s="254">
        <v>-119.37</v>
      </c>
      <c r="E58" s="254">
        <v>-105.83</v>
      </c>
      <c r="F58" s="254">
        <v>-87.16</v>
      </c>
      <c r="G58" s="254">
        <v>-10.75</v>
      </c>
      <c r="H58" s="164"/>
    </row>
    <row r="59" spans="1:8" x14ac:dyDescent="0.25">
      <c r="A59" s="184" t="s">
        <v>166</v>
      </c>
      <c r="B59" s="185" t="s">
        <v>477</v>
      </c>
      <c r="C59" s="185" t="s">
        <v>478</v>
      </c>
      <c r="D59" s="185" t="s">
        <v>479</v>
      </c>
      <c r="E59" s="185" t="s">
        <v>480</v>
      </c>
      <c r="F59" s="185" t="s">
        <v>481</v>
      </c>
      <c r="G59" s="185" t="s">
        <v>482</v>
      </c>
      <c r="H59" s="164"/>
    </row>
    <row r="60" spans="1:8" x14ac:dyDescent="0.25">
      <c r="A60" s="182" t="s">
        <v>167</v>
      </c>
      <c r="B60" s="254">
        <v>-224.97</v>
      </c>
      <c r="C60" s="254">
        <v>-260.31</v>
      </c>
      <c r="D60" s="254">
        <v>-119.37</v>
      </c>
      <c r="E60" s="254">
        <v>-105.83</v>
      </c>
      <c r="F60" s="254">
        <v>-87.16</v>
      </c>
      <c r="G60" s="254">
        <v>-10.75</v>
      </c>
      <c r="H60" s="164"/>
    </row>
    <row r="61" spans="1:8" x14ac:dyDescent="0.25">
      <c r="A61" s="184" t="s">
        <v>168</v>
      </c>
      <c r="B61" s="185" t="s">
        <v>477</v>
      </c>
      <c r="C61" s="185" t="s">
        <v>478</v>
      </c>
      <c r="D61" s="185" t="s">
        <v>479</v>
      </c>
      <c r="E61" s="185" t="s">
        <v>480</v>
      </c>
      <c r="F61" s="185" t="s">
        <v>481</v>
      </c>
      <c r="G61" s="185" t="s">
        <v>482</v>
      </c>
      <c r="H61" s="164"/>
    </row>
    <row r="62" spans="1:8" x14ac:dyDescent="0.25">
      <c r="A62" s="184" t="s">
        <v>169</v>
      </c>
      <c r="B62" s="163"/>
      <c r="C62" s="163"/>
      <c r="D62" s="163"/>
      <c r="E62" s="163"/>
      <c r="F62" s="163"/>
      <c r="G62" s="163"/>
      <c r="H62" s="163"/>
    </row>
    <row r="63" spans="1:8" x14ac:dyDescent="0.25">
      <c r="A63" s="180" t="s">
        <v>170</v>
      </c>
      <c r="B63" s="188">
        <v>-0.69</v>
      </c>
      <c r="C63" s="188">
        <v>-0.83</v>
      </c>
      <c r="D63" s="188">
        <v>-0.4</v>
      </c>
      <c r="E63" s="188">
        <v>-0.72</v>
      </c>
      <c r="F63" s="188">
        <v>-1.08</v>
      </c>
      <c r="G63" s="188">
        <v>-0.14000000000000001</v>
      </c>
      <c r="H63" s="164"/>
    </row>
    <row r="64" spans="1:8" x14ac:dyDescent="0.25">
      <c r="A64" s="193" t="s">
        <v>142</v>
      </c>
      <c r="B64" s="196"/>
      <c r="C64" s="195" t="s">
        <v>483</v>
      </c>
      <c r="D64" s="195" t="s">
        <v>484</v>
      </c>
      <c r="E64" s="195" t="s">
        <v>485</v>
      </c>
      <c r="F64" s="195" t="s">
        <v>486</v>
      </c>
      <c r="G64" s="164"/>
      <c r="H64" s="196"/>
    </row>
    <row r="65" spans="1:8" x14ac:dyDescent="0.25">
      <c r="A65" s="180" t="s">
        <v>171</v>
      </c>
      <c r="B65" s="181">
        <v>324.2</v>
      </c>
      <c r="C65" s="181">
        <v>312.32</v>
      </c>
      <c r="D65" s="181">
        <v>299.77</v>
      </c>
      <c r="E65" s="181">
        <v>146.31</v>
      </c>
      <c r="F65" s="181">
        <v>80.98</v>
      </c>
      <c r="G65" s="181">
        <v>77.150000000000006</v>
      </c>
      <c r="H65" s="164"/>
    </row>
    <row r="66" spans="1:8" x14ac:dyDescent="0.25">
      <c r="A66" s="193" t="s">
        <v>142</v>
      </c>
      <c r="B66" s="196"/>
      <c r="C66" s="195" t="s">
        <v>487</v>
      </c>
      <c r="D66" s="195" t="s">
        <v>488</v>
      </c>
      <c r="E66" s="195" t="s">
        <v>489</v>
      </c>
      <c r="F66" s="195" t="s">
        <v>490</v>
      </c>
      <c r="G66" s="164"/>
      <c r="H66" s="196"/>
    </row>
    <row r="67" spans="1:8" x14ac:dyDescent="0.25">
      <c r="A67" s="180" t="s">
        <v>172</v>
      </c>
      <c r="B67" s="181">
        <v>324.2</v>
      </c>
      <c r="C67" s="181">
        <v>312.32</v>
      </c>
      <c r="D67" s="181">
        <v>299.77</v>
      </c>
      <c r="E67" s="181">
        <v>146.31</v>
      </c>
      <c r="F67" s="181">
        <v>80.98</v>
      </c>
      <c r="G67" s="181">
        <v>77.150000000000006</v>
      </c>
      <c r="H67" s="164"/>
    </row>
    <row r="68" spans="1:8" x14ac:dyDescent="0.25">
      <c r="A68" s="193" t="s">
        <v>142</v>
      </c>
      <c r="B68" s="196"/>
      <c r="C68" s="195" t="s">
        <v>487</v>
      </c>
      <c r="D68" s="195" t="s">
        <v>488</v>
      </c>
      <c r="E68" s="195" t="s">
        <v>489</v>
      </c>
      <c r="F68" s="195" t="s">
        <v>490</v>
      </c>
      <c r="G68" s="164"/>
      <c r="H68" s="196"/>
    </row>
    <row r="69" spans="1:8" x14ac:dyDescent="0.25">
      <c r="A69" s="180" t="s">
        <v>326</v>
      </c>
      <c r="B69" s="192"/>
      <c r="C69" s="192"/>
      <c r="D69" s="192"/>
      <c r="E69" s="192"/>
      <c r="F69" s="192"/>
      <c r="G69" s="192"/>
      <c r="H69" s="192"/>
    </row>
    <row r="70" spans="1:8" x14ac:dyDescent="0.25">
      <c r="A70" s="193" t="s">
        <v>142</v>
      </c>
      <c r="B70" s="196"/>
      <c r="C70" s="196"/>
      <c r="D70" s="196"/>
      <c r="E70" s="196"/>
      <c r="F70" s="196"/>
      <c r="G70" s="196"/>
      <c r="H70" s="196"/>
    </row>
    <row r="71" spans="1:8" x14ac:dyDescent="0.25">
      <c r="A71" s="180" t="s">
        <v>327</v>
      </c>
      <c r="B71" s="192"/>
      <c r="C71" s="192"/>
      <c r="D71" s="192"/>
      <c r="E71" s="192"/>
      <c r="F71" s="192"/>
      <c r="G71" s="192"/>
      <c r="H71" s="192"/>
    </row>
    <row r="72" spans="1:8" x14ac:dyDescent="0.25">
      <c r="A72" s="180" t="s">
        <v>328</v>
      </c>
      <c r="B72" s="192"/>
      <c r="C72" s="192"/>
      <c r="D72" s="192"/>
      <c r="E72" s="192"/>
      <c r="F72" s="192"/>
      <c r="G72" s="192"/>
      <c r="H72" s="192"/>
    </row>
    <row r="73" spans="1:8" x14ac:dyDescent="0.25">
      <c r="A73" s="180" t="s">
        <v>173</v>
      </c>
      <c r="B73" s="188">
        <v>-0.69</v>
      </c>
      <c r="C73" s="188">
        <v>-0.83</v>
      </c>
      <c r="D73" s="188">
        <v>-0.4</v>
      </c>
      <c r="E73" s="188">
        <v>-0.72</v>
      </c>
      <c r="F73" s="188">
        <v>-1.08</v>
      </c>
      <c r="G73" s="188">
        <v>-0.14000000000000001</v>
      </c>
      <c r="H73" s="164"/>
    </row>
    <row r="74" spans="1:8" x14ac:dyDescent="0.25">
      <c r="A74" s="180" t="s">
        <v>329</v>
      </c>
      <c r="B74" s="192"/>
      <c r="C74" s="192"/>
      <c r="D74" s="192"/>
      <c r="E74" s="192"/>
      <c r="F74" s="192"/>
      <c r="G74" s="192"/>
      <c r="H74" s="192"/>
    </row>
    <row r="75" spans="1:8" x14ac:dyDescent="0.25">
      <c r="A75" s="180" t="s">
        <v>330</v>
      </c>
      <c r="B75" s="192"/>
      <c r="C75" s="192"/>
      <c r="D75" s="192"/>
      <c r="E75" s="192"/>
      <c r="F75" s="192"/>
      <c r="G75" s="192"/>
      <c r="H75" s="192"/>
    </row>
    <row r="76" spans="1:8" x14ac:dyDescent="0.25">
      <c r="A76" s="193" t="s">
        <v>142</v>
      </c>
      <c r="B76" s="196"/>
      <c r="C76" s="196"/>
      <c r="D76" s="196"/>
      <c r="E76" s="196"/>
      <c r="F76" s="196"/>
      <c r="G76" s="196"/>
      <c r="H76" s="196"/>
    </row>
    <row r="77" spans="1:8" x14ac:dyDescent="0.25">
      <c r="A77" s="180" t="s">
        <v>3</v>
      </c>
      <c r="B77" s="188">
        <v>-130.56</v>
      </c>
      <c r="C77" s="188">
        <v>-81.5</v>
      </c>
      <c r="D77" s="188">
        <v>-66.8</v>
      </c>
      <c r="E77" s="188">
        <v>-85.27</v>
      </c>
      <c r="F77" s="188">
        <v>-69.790000000000006</v>
      </c>
      <c r="G77" s="181">
        <v>0.98</v>
      </c>
      <c r="H77" s="164"/>
    </row>
    <row r="78" spans="1:8" x14ac:dyDescent="0.25">
      <c r="A78" s="193" t="s">
        <v>142</v>
      </c>
      <c r="B78" s="196"/>
      <c r="C78" s="195" t="s">
        <v>491</v>
      </c>
      <c r="D78" s="195" t="s">
        <v>492</v>
      </c>
      <c r="E78" s="195" t="s">
        <v>334</v>
      </c>
      <c r="F78" s="194" t="s">
        <v>493</v>
      </c>
      <c r="G78" s="164"/>
      <c r="H78" s="196"/>
    </row>
    <row r="79" spans="1:8" x14ac:dyDescent="0.25">
      <c r="A79" s="180" t="s">
        <v>174</v>
      </c>
      <c r="B79" s="192"/>
      <c r="C79" s="188">
        <v>-57.5</v>
      </c>
      <c r="D79" s="188">
        <v>-50.09</v>
      </c>
      <c r="E79" s="192"/>
      <c r="F79" s="192"/>
      <c r="G79" s="181">
        <v>4.88</v>
      </c>
      <c r="H79" s="164"/>
    </row>
    <row r="80" spans="1:8" x14ac:dyDescent="0.25">
      <c r="A80" s="180" t="s">
        <v>175</v>
      </c>
      <c r="B80" s="181">
        <v>310.81</v>
      </c>
      <c r="C80" s="181">
        <v>210.25</v>
      </c>
      <c r="D80" s="181">
        <v>142.83000000000001</v>
      </c>
      <c r="E80" s="181">
        <v>97.49</v>
      </c>
      <c r="F80" s="181">
        <v>58.26</v>
      </c>
      <c r="G80" s="181">
        <v>35.15</v>
      </c>
      <c r="H80" s="164"/>
    </row>
    <row r="81" spans="1:8" x14ac:dyDescent="0.25">
      <c r="A81" s="180" t="s">
        <v>176</v>
      </c>
      <c r="B81" s="181">
        <v>429.93</v>
      </c>
      <c r="C81" s="181">
        <v>328.07</v>
      </c>
      <c r="D81" s="181">
        <v>217.88</v>
      </c>
      <c r="E81" s="181">
        <v>159.30000000000001</v>
      </c>
      <c r="F81" s="181">
        <v>94.39</v>
      </c>
      <c r="G81" s="181">
        <v>61.9</v>
      </c>
      <c r="H81" s="164"/>
    </row>
    <row r="82" spans="1:8" x14ac:dyDescent="0.25">
      <c r="A82" s="180" t="s">
        <v>177</v>
      </c>
      <c r="B82" s="181">
        <v>167.72</v>
      </c>
      <c r="C82" s="181">
        <v>119.12</v>
      </c>
      <c r="D82" s="181">
        <v>85.47</v>
      </c>
      <c r="E82" s="181">
        <v>81.58</v>
      </c>
      <c r="F82" s="181">
        <v>85.18</v>
      </c>
      <c r="G82" s="181">
        <v>20.309999999999999</v>
      </c>
      <c r="H82" s="164"/>
    </row>
    <row r="83" spans="1:8" x14ac:dyDescent="0.25">
      <c r="A83" s="180" t="s">
        <v>178</v>
      </c>
      <c r="B83" s="188" t="s">
        <v>494</v>
      </c>
      <c r="C83" s="188" t="s">
        <v>495</v>
      </c>
      <c r="D83" s="181" t="s">
        <v>496</v>
      </c>
      <c r="E83" s="188" t="s">
        <v>497</v>
      </c>
      <c r="F83" s="188" t="s">
        <v>498</v>
      </c>
      <c r="G83" s="188" t="s">
        <v>499</v>
      </c>
      <c r="H83" s="164"/>
    </row>
    <row r="84" spans="1:8" x14ac:dyDescent="0.25">
      <c r="A84" s="180" t="s">
        <v>331</v>
      </c>
      <c r="B84" s="192"/>
      <c r="C84" s="192"/>
      <c r="D84" s="192"/>
      <c r="E84" s="192"/>
      <c r="F84" s="192"/>
      <c r="G84" s="192"/>
      <c r="H84" s="192"/>
    </row>
    <row r="85" spans="1:8" x14ac:dyDescent="0.25">
      <c r="A85" s="180" t="s">
        <v>332</v>
      </c>
      <c r="B85" s="192"/>
      <c r="C85" s="192"/>
      <c r="D85" s="192"/>
      <c r="E85" s="192"/>
      <c r="F85" s="192"/>
      <c r="G85" s="192"/>
      <c r="H85" s="192"/>
    </row>
    <row r="86" spans="1:8" x14ac:dyDescent="0.25">
      <c r="A86" s="180" t="s">
        <v>333</v>
      </c>
      <c r="B86" s="192"/>
      <c r="C86" s="192"/>
      <c r="D86" s="192"/>
      <c r="E86" s="192"/>
      <c r="F86" s="192"/>
      <c r="G86" s="192"/>
      <c r="H86" s="192"/>
    </row>
  </sheetData>
  <mergeCells count="1">
    <mergeCell ref="A1:H1"/>
  </mergeCells>
  <hyperlinks>
    <hyperlink ref="H4" r:id="rId1" display="https://app.tikr.com/account/subs?ref=q5ht48" xr:uid="{2B567A85-8A61-412D-957A-35ED38F2A341}"/>
    <hyperlink ref="H11" r:id="rId2" display="https://app.tikr.com/account/subs?ref=q5ht48" xr:uid="{9750BF96-76FE-42C6-906C-ECE0E932D0E1}"/>
    <hyperlink ref="G12" r:id="rId3" display="https://app.tikr.com/account/subs?ref=q5ht48" xr:uid="{E26F87EE-7BE2-4162-9090-EFBC3AB66C9A}"/>
    <hyperlink ref="H13" r:id="rId4" display="https://app.tikr.com/account/subs?ref=q5ht48" xr:uid="{0D69B5A5-8BDF-4654-8DCB-B791E7F0A5F8}"/>
    <hyperlink ref="H17" r:id="rId5" display="https://app.tikr.com/account/subs?ref=q5ht48" xr:uid="{8298C4A7-389B-4E1F-9490-908C18494533}"/>
    <hyperlink ref="G18" r:id="rId6" display="https://app.tikr.com/account/subs?ref=q5ht48" xr:uid="{108EDE5C-0A95-4528-BAAB-BA99DF397E9B}"/>
    <hyperlink ref="H19" r:id="rId7" display="https://app.tikr.com/account/subs?ref=q5ht48" xr:uid="{FE600596-E7B4-47AF-9D89-7A5552FEC4A8}"/>
    <hyperlink ref="H20" r:id="rId8" display="https://app.tikr.com/account/subs?ref=q5ht48" xr:uid="{965E90E6-E37A-47FB-B97B-DCBC3EBB5628}"/>
    <hyperlink ref="H25" r:id="rId9" display="https://app.tikr.com/account/subs?ref=q5ht48" xr:uid="{48541947-6C36-459F-A2DF-F7DE9AA13582}"/>
    <hyperlink ref="H30" r:id="rId10" display="https://app.tikr.com/account/subs?ref=q5ht48" xr:uid="{A112D16A-F4D2-435C-89FB-38E6FBB974FF}"/>
    <hyperlink ref="H31" r:id="rId11" display="https://app.tikr.com/account/subs?ref=q5ht48" xr:uid="{EB5E535E-A093-4CD3-9720-33976AD473C5}"/>
    <hyperlink ref="G32" r:id="rId12" display="https://app.tikr.com/account/subs?ref=q5ht48" xr:uid="{EBD32762-E189-4AB3-8FFD-C22E7B377105}"/>
    <hyperlink ref="H33" r:id="rId13" display="https://app.tikr.com/account/subs?ref=q5ht48" xr:uid="{3FB9C5A1-82E6-4A8A-9D2F-1994DD49CF7A}"/>
    <hyperlink ref="H34" r:id="rId14" display="https://app.tikr.com/account/subs?ref=q5ht48" xr:uid="{F4643582-5370-441B-AFF2-FABDF7B61793}"/>
    <hyperlink ref="H35" r:id="rId15" display="https://app.tikr.com/account/subs?ref=q5ht48" xr:uid="{B3171664-853E-41F2-A81D-6248A820F35B}"/>
    <hyperlink ref="H37" r:id="rId16" display="https://app.tikr.com/account/subs?ref=q5ht48" xr:uid="{06A040FA-0F7D-4BE2-91D6-0B8116AC126E}"/>
    <hyperlink ref="H38" r:id="rId17" display="https://app.tikr.com/account/subs?ref=q5ht48" xr:uid="{B499D1B6-198F-464E-B59A-D99953ABB6E6}"/>
    <hyperlink ref="H39" r:id="rId18" display="https://app.tikr.com/account/subs?ref=q5ht48" xr:uid="{2B4AFA9B-3C40-4C9A-8369-BE180B7E3649}"/>
    <hyperlink ref="H49" r:id="rId19" display="https://app.tikr.com/account/subs?ref=q5ht48" xr:uid="{834E9347-4BA9-40E6-A49E-DBA536BBB220}"/>
    <hyperlink ref="H50" r:id="rId20" display="https://app.tikr.com/account/subs?ref=q5ht48" xr:uid="{7E783A65-FE26-4536-AF9D-192F574077C1}"/>
    <hyperlink ref="H51" r:id="rId21" display="https://app.tikr.com/account/subs?ref=q5ht48" xr:uid="{B3D8C199-79C3-48B0-BBA9-47C1A82E2829}"/>
    <hyperlink ref="H54" r:id="rId22" display="https://app.tikr.com/account/subs?ref=q5ht48" xr:uid="{44F36BED-24AC-4971-8550-92931221836E}"/>
    <hyperlink ref="H56" r:id="rId23" display="https://app.tikr.com/account/subs?ref=q5ht48" xr:uid="{9C844142-0A4F-4F05-8FF7-1EDF587E6DFC}"/>
    <hyperlink ref="H58" r:id="rId24" display="https://app.tikr.com/account/subs?ref=q5ht48" xr:uid="{0574A007-9956-40CA-8F1D-E82D3EDFB5B2}"/>
    <hyperlink ref="H59" r:id="rId25" display="https://app.tikr.com/account/subs?ref=q5ht48" xr:uid="{B1B0B3B0-840F-4429-9CC2-E5D3EE7931FF}"/>
    <hyperlink ref="H60" r:id="rId26" display="https://app.tikr.com/account/subs?ref=q5ht48" xr:uid="{BA4FDAEA-645C-41BA-8364-0778A9792199}"/>
    <hyperlink ref="H61" r:id="rId27" display="https://app.tikr.com/account/subs?ref=q5ht48" xr:uid="{87740999-0C4A-4599-98E2-A432133852C4}"/>
    <hyperlink ref="H63" r:id="rId28" display="https://app.tikr.com/account/subs?ref=q5ht48" xr:uid="{A40EC9FC-B8D6-446B-B52E-772BCA1B0A96}"/>
    <hyperlink ref="G64" r:id="rId29" display="https://app.tikr.com/account/subs?ref=q5ht48" xr:uid="{4580BF44-C9B9-4065-8A9F-BBE83B08907C}"/>
    <hyperlink ref="H65" r:id="rId30" display="https://app.tikr.com/account/subs?ref=q5ht48" xr:uid="{1B719922-B441-4545-AC22-70A42B56960A}"/>
    <hyperlink ref="G66" r:id="rId31" display="https://app.tikr.com/account/subs?ref=q5ht48" xr:uid="{35251611-80AD-4DFD-B45D-69F4646FEFD1}"/>
    <hyperlink ref="H67" r:id="rId32" display="https://app.tikr.com/account/subs?ref=q5ht48" xr:uid="{5E65D9E8-BCF0-40D7-A824-9547B8100D54}"/>
    <hyperlink ref="G68" r:id="rId33" display="https://app.tikr.com/account/subs?ref=q5ht48" xr:uid="{54DBEE86-1369-4EAF-A5E6-8CB585A266C0}"/>
    <hyperlink ref="H73" r:id="rId34" display="https://app.tikr.com/account/subs?ref=q5ht48" xr:uid="{8EFE2A09-BEA0-4403-87D3-B7A8AB24A888}"/>
    <hyperlink ref="H77" r:id="rId35" display="https://app.tikr.com/account/subs?ref=q5ht48" xr:uid="{D3F03B75-8A86-433C-B3DE-F2D5C355E297}"/>
    <hyperlink ref="G78" r:id="rId36" display="https://app.tikr.com/account/subs?ref=q5ht48" xr:uid="{44BE6DE2-30CC-4477-AD10-5FAA60242DA9}"/>
    <hyperlink ref="H79" r:id="rId37" display="https://app.tikr.com/account/subs?ref=q5ht48" xr:uid="{BD7A9648-A587-453A-A663-080EF347659F}"/>
    <hyperlink ref="H80" r:id="rId38" display="https://app.tikr.com/account/subs?ref=q5ht48" xr:uid="{B651BF4E-25CB-4976-8BF6-8A72AEA26ADE}"/>
    <hyperlink ref="H81" r:id="rId39" display="https://app.tikr.com/account/subs?ref=q5ht48" xr:uid="{F6A8191B-3C28-4384-9F41-490C13D476ED}"/>
    <hyperlink ref="H82" r:id="rId40" display="https://app.tikr.com/account/subs?ref=q5ht48" xr:uid="{9C603781-9B22-44BC-A524-A37934E7822C}"/>
    <hyperlink ref="H83" r:id="rId41" display="https://app.tikr.com/account/subs?ref=q5ht48" xr:uid="{9D081D8C-9303-49B6-AB1A-B98D3D04601C}"/>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0DC97-9CE4-40F0-95BD-8510166401E5}">
  <sheetPr codeName="Hoja10"/>
  <dimension ref="A1:H82"/>
  <sheetViews>
    <sheetView workbookViewId="0">
      <selection sqref="A1:H82"/>
    </sheetView>
  </sheetViews>
  <sheetFormatPr baseColWidth="10" defaultRowHeight="15" x14ac:dyDescent="0.25"/>
  <cols>
    <col min="1" max="1" width="45.7109375" bestFit="1" customWidth="1"/>
  </cols>
  <sheetData>
    <row r="1" spans="1:8" x14ac:dyDescent="0.25">
      <c r="A1" s="244"/>
      <c r="B1" s="244"/>
      <c r="C1" s="244"/>
      <c r="D1" s="244"/>
      <c r="E1" s="244"/>
      <c r="F1" s="244"/>
      <c r="G1" s="244"/>
      <c r="H1" s="244"/>
    </row>
    <row r="2" spans="1:8" x14ac:dyDescent="0.25">
      <c r="A2" s="178" t="s">
        <v>182</v>
      </c>
      <c r="B2" s="178" t="s">
        <v>139</v>
      </c>
      <c r="C2" s="179">
        <v>44561</v>
      </c>
      <c r="D2" s="179">
        <v>44196</v>
      </c>
      <c r="E2" s="179">
        <v>43830</v>
      </c>
      <c r="F2" s="179">
        <v>43465</v>
      </c>
      <c r="G2" s="179">
        <v>43100</v>
      </c>
      <c r="H2" s="179">
        <v>42735</v>
      </c>
    </row>
    <row r="3" spans="1:8" x14ac:dyDescent="0.25">
      <c r="A3" s="163"/>
      <c r="B3" s="163"/>
      <c r="C3" s="163"/>
      <c r="D3" s="163"/>
      <c r="E3" s="163"/>
      <c r="F3" s="163"/>
      <c r="G3" s="163"/>
      <c r="H3" s="163"/>
    </row>
    <row r="4" spans="1:8" x14ac:dyDescent="0.25">
      <c r="A4" s="180" t="s">
        <v>183</v>
      </c>
      <c r="B4" s="181">
        <v>137.84</v>
      </c>
      <c r="C4" s="181">
        <v>313.77999999999997</v>
      </c>
      <c r="D4" s="181">
        <v>108.9</v>
      </c>
      <c r="E4" s="181">
        <v>138.97999999999999</v>
      </c>
      <c r="F4" s="181">
        <v>25.06</v>
      </c>
      <c r="G4" s="181">
        <v>24.44</v>
      </c>
      <c r="H4" s="192"/>
    </row>
    <row r="5" spans="1:8" x14ac:dyDescent="0.25">
      <c r="A5" s="180" t="s">
        <v>184</v>
      </c>
      <c r="B5" s="181">
        <v>1498.42</v>
      </c>
      <c r="C5" s="181">
        <v>1508.07</v>
      </c>
      <c r="D5" s="181">
        <v>923.2</v>
      </c>
      <c r="E5" s="181">
        <v>500.75</v>
      </c>
      <c r="F5" s="181">
        <v>138.24</v>
      </c>
      <c r="G5" s="181">
        <v>48.96</v>
      </c>
      <c r="H5" s="192"/>
    </row>
    <row r="6" spans="1:8" x14ac:dyDescent="0.25">
      <c r="A6" s="180" t="s">
        <v>185</v>
      </c>
      <c r="B6" s="192"/>
      <c r="C6" s="192"/>
      <c r="D6" s="192"/>
      <c r="E6" s="192"/>
      <c r="F6" s="192"/>
      <c r="G6" s="192"/>
      <c r="H6" s="192"/>
    </row>
    <row r="7" spans="1:8" x14ac:dyDescent="0.25">
      <c r="A7" s="182" t="s">
        <v>186</v>
      </c>
      <c r="B7" s="183">
        <v>1636.26</v>
      </c>
      <c r="C7" s="183">
        <v>1821.84</v>
      </c>
      <c r="D7" s="183">
        <v>1032.0999999999999</v>
      </c>
      <c r="E7" s="183">
        <v>639.72</v>
      </c>
      <c r="F7" s="183">
        <v>163.29</v>
      </c>
      <c r="G7" s="183">
        <v>73.41</v>
      </c>
      <c r="H7" s="202"/>
    </row>
    <row r="8" spans="1:8" x14ac:dyDescent="0.25">
      <c r="A8" s="180" t="s">
        <v>136</v>
      </c>
      <c r="B8" s="181">
        <v>134.08000000000001</v>
      </c>
      <c r="C8" s="181">
        <v>101.62</v>
      </c>
      <c r="D8" s="181">
        <v>67.040000000000006</v>
      </c>
      <c r="E8" s="181">
        <v>35.93</v>
      </c>
      <c r="F8" s="181">
        <v>26.71</v>
      </c>
      <c r="G8" s="181">
        <v>15.19</v>
      </c>
      <c r="H8" s="192"/>
    </row>
    <row r="9" spans="1:8" x14ac:dyDescent="0.25">
      <c r="A9" s="180" t="s">
        <v>187</v>
      </c>
      <c r="B9" s="192"/>
      <c r="C9" s="192"/>
      <c r="D9" s="192"/>
      <c r="E9" s="192"/>
      <c r="F9" s="192"/>
      <c r="G9" s="192"/>
      <c r="H9" s="192"/>
    </row>
    <row r="10" spans="1:8" x14ac:dyDescent="0.25">
      <c r="A10" s="180" t="s">
        <v>188</v>
      </c>
      <c r="B10" s="192"/>
      <c r="C10" s="192"/>
      <c r="D10" s="192"/>
      <c r="E10" s="192"/>
      <c r="F10" s="192"/>
      <c r="G10" s="192"/>
      <c r="H10" s="192"/>
    </row>
    <row r="11" spans="1:8" x14ac:dyDescent="0.25">
      <c r="A11" s="182" t="s">
        <v>189</v>
      </c>
      <c r="B11" s="183">
        <v>134.08000000000001</v>
      </c>
      <c r="C11" s="183">
        <v>101.62</v>
      </c>
      <c r="D11" s="183">
        <v>67.040000000000006</v>
      </c>
      <c r="E11" s="183">
        <v>35.93</v>
      </c>
      <c r="F11" s="183">
        <v>26.71</v>
      </c>
      <c r="G11" s="183">
        <v>15.19</v>
      </c>
      <c r="H11" s="202"/>
    </row>
    <row r="12" spans="1:8" x14ac:dyDescent="0.25">
      <c r="A12" s="180" t="s">
        <v>124</v>
      </c>
      <c r="B12" s="192"/>
      <c r="C12" s="192"/>
      <c r="D12" s="192"/>
      <c r="E12" s="192"/>
      <c r="F12" s="192"/>
      <c r="G12" s="192"/>
      <c r="H12" s="192"/>
    </row>
    <row r="13" spans="1:8" x14ac:dyDescent="0.25">
      <c r="A13" s="180" t="s">
        <v>190</v>
      </c>
      <c r="B13" s="181">
        <v>34.74</v>
      </c>
      <c r="C13" s="181">
        <v>29.43</v>
      </c>
      <c r="D13" s="181">
        <v>28.23</v>
      </c>
      <c r="E13" s="181">
        <v>10.91</v>
      </c>
      <c r="F13" s="181">
        <v>5.58</v>
      </c>
      <c r="G13" s="181">
        <v>3.43</v>
      </c>
      <c r="H13" s="192"/>
    </row>
    <row r="14" spans="1:8" x14ac:dyDescent="0.25">
      <c r="A14" s="180" t="s">
        <v>191</v>
      </c>
      <c r="B14" s="192"/>
      <c r="C14" s="192"/>
      <c r="D14" s="192"/>
      <c r="E14" s="192"/>
      <c r="F14" s="192"/>
      <c r="G14" s="192"/>
      <c r="H14" s="192"/>
    </row>
    <row r="15" spans="1:8" x14ac:dyDescent="0.25">
      <c r="A15" s="180" t="s">
        <v>192</v>
      </c>
      <c r="B15" s="192"/>
      <c r="C15" s="192"/>
      <c r="D15" s="192"/>
      <c r="E15" s="192"/>
      <c r="F15" s="192"/>
      <c r="G15" s="192"/>
      <c r="H15" s="192"/>
    </row>
    <row r="16" spans="1:8" x14ac:dyDescent="0.25">
      <c r="A16" s="180" t="s">
        <v>193</v>
      </c>
      <c r="B16" s="192"/>
      <c r="C16" s="192"/>
      <c r="D16" s="192"/>
      <c r="E16" s="192"/>
      <c r="F16" s="192"/>
      <c r="G16" s="192"/>
      <c r="H16" s="192"/>
    </row>
    <row r="17" spans="1:8" x14ac:dyDescent="0.25">
      <c r="A17" s="180" t="s">
        <v>194</v>
      </c>
      <c r="B17" s="192"/>
      <c r="C17" s="192"/>
      <c r="D17" s="192"/>
      <c r="E17" s="192"/>
      <c r="F17" s="192"/>
      <c r="G17" s="192"/>
      <c r="H17" s="192"/>
    </row>
    <row r="18" spans="1:8" x14ac:dyDescent="0.25">
      <c r="A18" s="180" t="s">
        <v>195</v>
      </c>
      <c r="B18" s="181">
        <v>10.71</v>
      </c>
      <c r="C18" s="181">
        <v>2.96</v>
      </c>
      <c r="D18" s="181">
        <v>2.59</v>
      </c>
      <c r="E18" s="192"/>
      <c r="F18" s="192"/>
      <c r="G18" s="192"/>
      <c r="H18" s="192"/>
    </row>
    <row r="19" spans="1:8" x14ac:dyDescent="0.25">
      <c r="A19" s="180" t="s">
        <v>125</v>
      </c>
      <c r="B19" s="192"/>
      <c r="C19" s="192"/>
      <c r="D19" s="192"/>
      <c r="E19" s="181">
        <v>3.31</v>
      </c>
      <c r="F19" s="181">
        <v>1.1599999999999999</v>
      </c>
      <c r="G19" s="192"/>
      <c r="H19" s="192"/>
    </row>
    <row r="20" spans="1:8" x14ac:dyDescent="0.25">
      <c r="A20" s="182" t="s">
        <v>126</v>
      </c>
      <c r="B20" s="183">
        <v>1815.79</v>
      </c>
      <c r="C20" s="183">
        <v>1955.86</v>
      </c>
      <c r="D20" s="183">
        <v>1129.95</v>
      </c>
      <c r="E20" s="183">
        <v>689.87</v>
      </c>
      <c r="F20" s="183">
        <v>196.74</v>
      </c>
      <c r="G20" s="183">
        <v>92.02</v>
      </c>
      <c r="H20" s="202"/>
    </row>
    <row r="21" spans="1:8" x14ac:dyDescent="0.25">
      <c r="A21" s="180" t="s">
        <v>196</v>
      </c>
      <c r="B21" s="181">
        <v>572.36</v>
      </c>
      <c r="C21" s="181">
        <v>433.83</v>
      </c>
      <c r="D21" s="181">
        <v>249.01</v>
      </c>
      <c r="E21" s="181">
        <v>168.42</v>
      </c>
      <c r="F21" s="181">
        <v>113.06</v>
      </c>
      <c r="G21" s="181">
        <v>79.11</v>
      </c>
      <c r="H21" s="192"/>
    </row>
    <row r="22" spans="1:8" x14ac:dyDescent="0.25">
      <c r="A22" s="180" t="s">
        <v>197</v>
      </c>
      <c r="B22" s="188">
        <v>-176.09</v>
      </c>
      <c r="C22" s="188">
        <v>-120.21</v>
      </c>
      <c r="D22" s="188">
        <v>-82.61</v>
      </c>
      <c r="E22" s="188">
        <v>-67.19</v>
      </c>
      <c r="F22" s="188">
        <v>-39.9</v>
      </c>
      <c r="G22" s="188">
        <v>-27.74</v>
      </c>
      <c r="H22" s="192"/>
    </row>
    <row r="23" spans="1:8" x14ac:dyDescent="0.25">
      <c r="A23" s="182" t="s">
        <v>198</v>
      </c>
      <c r="B23" s="183">
        <v>396.27</v>
      </c>
      <c r="C23" s="183">
        <v>313.62</v>
      </c>
      <c r="D23" s="183">
        <v>166.41</v>
      </c>
      <c r="E23" s="183">
        <v>101.24</v>
      </c>
      <c r="F23" s="183">
        <v>73.16</v>
      </c>
      <c r="G23" s="183">
        <v>51.37</v>
      </c>
      <c r="H23" s="202"/>
    </row>
    <row r="24" spans="1:8" x14ac:dyDescent="0.25">
      <c r="A24" s="180" t="s">
        <v>199</v>
      </c>
      <c r="B24" s="192"/>
      <c r="C24" s="192"/>
      <c r="D24" s="192"/>
      <c r="E24" s="192"/>
      <c r="F24" s="192"/>
      <c r="G24" s="192"/>
      <c r="H24" s="192"/>
    </row>
    <row r="25" spans="1:8" x14ac:dyDescent="0.25">
      <c r="A25" s="180" t="s">
        <v>127</v>
      </c>
      <c r="B25" s="181">
        <v>149.12</v>
      </c>
      <c r="C25" s="181">
        <v>23.53</v>
      </c>
      <c r="D25" s="181">
        <v>17.170000000000002</v>
      </c>
      <c r="E25" s="181">
        <v>4.08</v>
      </c>
      <c r="F25" s="181">
        <v>4.08</v>
      </c>
      <c r="G25" s="181">
        <v>4.08</v>
      </c>
      <c r="H25" s="192"/>
    </row>
    <row r="26" spans="1:8" x14ac:dyDescent="0.25">
      <c r="A26" s="180" t="s">
        <v>200</v>
      </c>
      <c r="B26" s="181">
        <v>37.369999999999997</v>
      </c>
      <c r="C26" s="181">
        <v>1.25</v>
      </c>
      <c r="D26" s="181">
        <v>2.8</v>
      </c>
      <c r="E26" s="181">
        <v>0.03</v>
      </c>
      <c r="F26" s="181">
        <v>0.16</v>
      </c>
      <c r="G26" s="181">
        <v>0.67</v>
      </c>
      <c r="H26" s="192"/>
    </row>
    <row r="27" spans="1:8" x14ac:dyDescent="0.25">
      <c r="A27" s="180" t="s">
        <v>201</v>
      </c>
      <c r="B27" s="192"/>
      <c r="C27" s="192"/>
      <c r="D27" s="192"/>
      <c r="E27" s="192"/>
      <c r="F27" s="192"/>
      <c r="G27" s="192"/>
      <c r="H27" s="192"/>
    </row>
    <row r="28" spans="1:8" x14ac:dyDescent="0.25">
      <c r="A28" s="180" t="s">
        <v>202</v>
      </c>
      <c r="B28" s="192"/>
      <c r="C28" s="192"/>
      <c r="D28" s="192"/>
      <c r="E28" s="192"/>
      <c r="F28" s="192"/>
      <c r="G28" s="192"/>
      <c r="H28" s="192"/>
    </row>
    <row r="29" spans="1:8" x14ac:dyDescent="0.25">
      <c r="A29" s="180" t="s">
        <v>203</v>
      </c>
      <c r="B29" s="192"/>
      <c r="C29" s="192"/>
      <c r="D29" s="192"/>
      <c r="E29" s="192"/>
      <c r="F29" s="192"/>
      <c r="G29" s="192"/>
      <c r="H29" s="192"/>
    </row>
    <row r="30" spans="1:8" x14ac:dyDescent="0.25">
      <c r="A30" s="180" t="s">
        <v>204</v>
      </c>
      <c r="B30" s="192"/>
      <c r="C30" s="192"/>
      <c r="D30" s="192"/>
      <c r="E30" s="192"/>
      <c r="F30" s="192"/>
      <c r="G30" s="192"/>
      <c r="H30" s="192"/>
    </row>
    <row r="31" spans="1:8" x14ac:dyDescent="0.25">
      <c r="A31" s="180" t="s">
        <v>205</v>
      </c>
      <c r="B31" s="192"/>
      <c r="C31" s="192"/>
      <c r="D31" s="192"/>
      <c r="E31" s="192"/>
      <c r="F31" s="192"/>
      <c r="G31" s="192"/>
      <c r="H31" s="192"/>
    </row>
    <row r="32" spans="1:8" x14ac:dyDescent="0.25">
      <c r="A32" s="180" t="s">
        <v>206</v>
      </c>
      <c r="B32" s="181">
        <v>87.28</v>
      </c>
      <c r="C32" s="181">
        <v>70.319999999999993</v>
      </c>
      <c r="D32" s="181">
        <v>44.18</v>
      </c>
      <c r="E32" s="181">
        <v>25.18</v>
      </c>
      <c r="F32" s="181">
        <v>15.94</v>
      </c>
      <c r="G32" s="181">
        <v>10.77</v>
      </c>
      <c r="H32" s="192"/>
    </row>
    <row r="33" spans="1:8" ht="15.75" thickBot="1" x14ac:dyDescent="0.3">
      <c r="A33" s="180" t="s">
        <v>207</v>
      </c>
      <c r="B33" s="181">
        <v>4.79</v>
      </c>
      <c r="C33" s="181">
        <v>7.49</v>
      </c>
      <c r="D33" s="181">
        <v>20.149999999999999</v>
      </c>
      <c r="E33" s="181">
        <v>10.42</v>
      </c>
      <c r="F33" s="181">
        <v>8.3000000000000007</v>
      </c>
      <c r="G33" s="181">
        <v>4.22</v>
      </c>
      <c r="H33" s="192"/>
    </row>
    <row r="34" spans="1:8" ht="15.75" thickTop="1" x14ac:dyDescent="0.25">
      <c r="A34" s="189" t="s">
        <v>128</v>
      </c>
      <c r="B34" s="190">
        <v>2490.62</v>
      </c>
      <c r="C34" s="190">
        <v>2372.0700000000002</v>
      </c>
      <c r="D34" s="190">
        <v>1380.65</v>
      </c>
      <c r="E34" s="190">
        <v>830.82</v>
      </c>
      <c r="F34" s="190">
        <v>298.38</v>
      </c>
      <c r="G34" s="190">
        <v>163.13999999999999</v>
      </c>
      <c r="H34" s="255"/>
    </row>
    <row r="35" spans="1:8" x14ac:dyDescent="0.25">
      <c r="A35" s="180" t="s">
        <v>129</v>
      </c>
      <c r="B35" s="181">
        <v>39.229999999999997</v>
      </c>
      <c r="C35" s="181">
        <v>26.09</v>
      </c>
      <c r="D35" s="181">
        <v>14.49</v>
      </c>
      <c r="E35" s="181">
        <v>11.46</v>
      </c>
      <c r="F35" s="181">
        <v>14.29</v>
      </c>
      <c r="G35" s="181">
        <v>4.7300000000000004</v>
      </c>
      <c r="H35" s="192"/>
    </row>
    <row r="36" spans="1:8" x14ac:dyDescent="0.25">
      <c r="A36" s="180" t="s">
        <v>208</v>
      </c>
      <c r="B36" s="181">
        <v>100.14</v>
      </c>
      <c r="C36" s="181">
        <v>108.64</v>
      </c>
      <c r="D36" s="181">
        <v>54.23</v>
      </c>
      <c r="E36" s="181">
        <v>33.56</v>
      </c>
      <c r="F36" s="181">
        <v>25.47</v>
      </c>
      <c r="G36" s="181">
        <v>7.08</v>
      </c>
      <c r="H36" s="192"/>
    </row>
    <row r="37" spans="1:8" x14ac:dyDescent="0.25">
      <c r="A37" s="180" t="s">
        <v>209</v>
      </c>
      <c r="B37" s="192"/>
      <c r="C37" s="192"/>
      <c r="D37" s="192"/>
      <c r="E37" s="192"/>
      <c r="F37" s="192"/>
      <c r="G37" s="192"/>
      <c r="H37" s="192"/>
    </row>
    <row r="38" spans="1:8" x14ac:dyDescent="0.25">
      <c r="A38" s="180" t="s">
        <v>210</v>
      </c>
      <c r="B38" s="192"/>
      <c r="C38" s="181">
        <v>12.12</v>
      </c>
      <c r="D38" s="192"/>
      <c r="E38" s="192"/>
      <c r="F38" s="181">
        <v>0.26</v>
      </c>
      <c r="G38" s="181">
        <v>0.36</v>
      </c>
      <c r="H38" s="192"/>
    </row>
    <row r="39" spans="1:8" x14ac:dyDescent="0.25">
      <c r="A39" s="180" t="s">
        <v>211</v>
      </c>
      <c r="B39" s="181">
        <v>28.53</v>
      </c>
      <c r="C39" s="181">
        <v>25.18</v>
      </c>
      <c r="D39" s="181">
        <v>17.72</v>
      </c>
      <c r="E39" s="192"/>
      <c r="F39" s="192"/>
      <c r="G39" s="192"/>
      <c r="H39" s="192"/>
    </row>
    <row r="40" spans="1:8" x14ac:dyDescent="0.25">
      <c r="A40" s="180" t="s">
        <v>212</v>
      </c>
      <c r="B40" s="192"/>
      <c r="C40" s="192"/>
      <c r="D40" s="192"/>
      <c r="E40" s="192"/>
      <c r="F40" s="192"/>
      <c r="G40" s="192"/>
      <c r="H40" s="192"/>
    </row>
    <row r="41" spans="1:8" x14ac:dyDescent="0.25">
      <c r="A41" s="180" t="s">
        <v>213</v>
      </c>
      <c r="B41" s="192"/>
      <c r="C41" s="192"/>
      <c r="D41" s="192"/>
      <c r="E41" s="192"/>
      <c r="F41" s="192"/>
      <c r="G41" s="192"/>
      <c r="H41" s="192"/>
    </row>
    <row r="42" spans="1:8" x14ac:dyDescent="0.25">
      <c r="A42" s="180" t="s">
        <v>214</v>
      </c>
      <c r="B42" s="192"/>
      <c r="C42" s="192"/>
      <c r="D42" s="192"/>
      <c r="E42" s="192"/>
      <c r="F42" s="192"/>
      <c r="G42" s="181">
        <v>0.9</v>
      </c>
      <c r="H42" s="192"/>
    </row>
    <row r="43" spans="1:8" x14ac:dyDescent="0.25">
      <c r="A43" s="180" t="s">
        <v>215</v>
      </c>
      <c r="B43" s="181">
        <v>171.4</v>
      </c>
      <c r="C43" s="181">
        <v>116.55</v>
      </c>
      <c r="D43" s="181">
        <v>54.95</v>
      </c>
      <c r="E43" s="181">
        <v>30.84</v>
      </c>
      <c r="F43" s="181">
        <v>16.82</v>
      </c>
      <c r="G43" s="181">
        <v>11.93</v>
      </c>
      <c r="H43" s="192"/>
    </row>
    <row r="44" spans="1:8" x14ac:dyDescent="0.25">
      <c r="A44" s="180" t="s">
        <v>216</v>
      </c>
      <c r="B44" s="192"/>
      <c r="C44" s="192"/>
      <c r="D44" s="192"/>
      <c r="E44" s="192"/>
      <c r="F44" s="192"/>
      <c r="G44" s="192"/>
      <c r="H44" s="192"/>
    </row>
    <row r="45" spans="1:8" x14ac:dyDescent="0.25">
      <c r="A45" s="180" t="s">
        <v>130</v>
      </c>
      <c r="B45" s="192"/>
      <c r="C45" s="192"/>
      <c r="D45" s="192"/>
      <c r="E45" s="181">
        <v>8.01</v>
      </c>
      <c r="F45" s="181">
        <v>4.55</v>
      </c>
      <c r="G45" s="181">
        <v>2.17</v>
      </c>
      <c r="H45" s="192"/>
    </row>
    <row r="46" spans="1:8" x14ac:dyDescent="0.25">
      <c r="A46" s="182" t="s">
        <v>131</v>
      </c>
      <c r="B46" s="183">
        <v>339.29</v>
      </c>
      <c r="C46" s="183">
        <v>288.57</v>
      </c>
      <c r="D46" s="183">
        <v>141.38</v>
      </c>
      <c r="E46" s="183">
        <v>83.88</v>
      </c>
      <c r="F46" s="183">
        <v>61.38</v>
      </c>
      <c r="G46" s="183">
        <v>27.16</v>
      </c>
      <c r="H46" s="202"/>
    </row>
    <row r="47" spans="1:8" x14ac:dyDescent="0.25">
      <c r="A47" s="180" t="s">
        <v>10</v>
      </c>
      <c r="B47" s="181">
        <v>1435.03</v>
      </c>
      <c r="C47" s="181">
        <v>1146.8800000000001</v>
      </c>
      <c r="D47" s="181">
        <v>383.28</v>
      </c>
      <c r="E47" s="192"/>
      <c r="F47" s="192"/>
      <c r="G47" s="181">
        <v>0.26</v>
      </c>
      <c r="H47" s="192"/>
    </row>
    <row r="48" spans="1:8" x14ac:dyDescent="0.25">
      <c r="A48" s="180" t="s">
        <v>217</v>
      </c>
      <c r="B48" s="181">
        <v>104.02</v>
      </c>
      <c r="C48" s="181">
        <v>109.04</v>
      </c>
      <c r="D48" s="181">
        <v>27.31</v>
      </c>
      <c r="E48" s="181">
        <v>10.51</v>
      </c>
      <c r="F48" s="181">
        <v>10.44</v>
      </c>
      <c r="G48" s="181">
        <v>10.31</v>
      </c>
      <c r="H48" s="192"/>
    </row>
    <row r="49" spans="1:8" x14ac:dyDescent="0.25">
      <c r="A49" s="180" t="s">
        <v>218</v>
      </c>
      <c r="B49" s="192"/>
      <c r="C49" s="192"/>
      <c r="D49" s="192"/>
      <c r="E49" s="192"/>
      <c r="F49" s="192"/>
      <c r="G49" s="192"/>
      <c r="H49" s="192"/>
    </row>
    <row r="50" spans="1:8" x14ac:dyDescent="0.25">
      <c r="A50" s="180" t="s">
        <v>219</v>
      </c>
      <c r="B50" s="192"/>
      <c r="C50" s="192"/>
      <c r="D50" s="192"/>
      <c r="E50" s="192"/>
      <c r="F50" s="192"/>
      <c r="G50" s="192"/>
      <c r="H50" s="192"/>
    </row>
    <row r="51" spans="1:8" x14ac:dyDescent="0.25">
      <c r="A51" s="180" t="s">
        <v>220</v>
      </c>
      <c r="B51" s="181">
        <v>8.69</v>
      </c>
      <c r="C51" s="181">
        <v>4.68</v>
      </c>
      <c r="D51" s="181">
        <v>1.89</v>
      </c>
      <c r="E51" s="181">
        <v>0.8</v>
      </c>
      <c r="F51" s="181">
        <v>0.22</v>
      </c>
      <c r="G51" s="181">
        <v>0.21</v>
      </c>
      <c r="H51" s="192"/>
    </row>
    <row r="52" spans="1:8" x14ac:dyDescent="0.25">
      <c r="A52" s="180" t="s">
        <v>221</v>
      </c>
      <c r="B52" s="192"/>
      <c r="C52" s="192"/>
      <c r="D52" s="192"/>
      <c r="E52" s="192"/>
      <c r="F52" s="192"/>
      <c r="G52" s="192"/>
      <c r="H52" s="192"/>
    </row>
    <row r="53" spans="1:8" x14ac:dyDescent="0.25">
      <c r="A53" s="180" t="s">
        <v>222</v>
      </c>
      <c r="B53" s="192"/>
      <c r="C53" s="192"/>
      <c r="D53" s="192"/>
      <c r="E53" s="192"/>
      <c r="F53" s="192"/>
      <c r="G53" s="192"/>
      <c r="H53" s="192"/>
    </row>
    <row r="54" spans="1:8" ht="15.75" thickBot="1" x14ac:dyDescent="0.3">
      <c r="A54" s="180" t="s">
        <v>223</v>
      </c>
      <c r="B54" s="181">
        <v>9.61</v>
      </c>
      <c r="C54" s="181">
        <v>11.55</v>
      </c>
      <c r="D54" s="181">
        <v>9.86</v>
      </c>
      <c r="E54" s="181">
        <v>9.8000000000000007</v>
      </c>
      <c r="F54" s="181">
        <v>8.32</v>
      </c>
      <c r="G54" s="181">
        <v>3.49</v>
      </c>
      <c r="H54" s="192"/>
    </row>
    <row r="55" spans="1:8" ht="15.75" thickTop="1" x14ac:dyDescent="0.25">
      <c r="A55" s="189" t="s">
        <v>132</v>
      </c>
      <c r="B55" s="190">
        <v>1896.63</v>
      </c>
      <c r="C55" s="190">
        <v>1560.71</v>
      </c>
      <c r="D55" s="190">
        <v>563.71</v>
      </c>
      <c r="E55" s="190">
        <v>105</v>
      </c>
      <c r="F55" s="190">
        <v>80.36</v>
      </c>
      <c r="G55" s="190">
        <v>41.43</v>
      </c>
      <c r="H55" s="255"/>
    </row>
    <row r="56" spans="1:8" x14ac:dyDescent="0.25">
      <c r="A56" s="180" t="s">
        <v>224</v>
      </c>
      <c r="B56" s="192"/>
      <c r="C56" s="192"/>
      <c r="D56" s="192"/>
      <c r="E56" s="192"/>
      <c r="F56" s="192"/>
      <c r="G56" s="192"/>
      <c r="H56" s="192"/>
    </row>
    <row r="57" spans="1:8" x14ac:dyDescent="0.25">
      <c r="A57" s="180" t="s">
        <v>225</v>
      </c>
      <c r="B57" s="192"/>
      <c r="C57" s="192"/>
      <c r="D57" s="192"/>
      <c r="E57" s="192"/>
      <c r="F57" s="192"/>
      <c r="G57" s="192"/>
      <c r="H57" s="192"/>
    </row>
    <row r="58" spans="1:8" x14ac:dyDescent="0.25">
      <c r="A58" s="180" t="s">
        <v>226</v>
      </c>
      <c r="B58" s="192"/>
      <c r="C58" s="192"/>
      <c r="D58" s="192"/>
      <c r="E58" s="192"/>
      <c r="F58" s="181">
        <v>331.52</v>
      </c>
      <c r="G58" s="181">
        <v>181.55</v>
      </c>
      <c r="H58" s="192"/>
    </row>
    <row r="59" spans="1:8" x14ac:dyDescent="0.25">
      <c r="A59" s="180" t="s">
        <v>227</v>
      </c>
      <c r="B59" s="192"/>
      <c r="C59" s="192"/>
      <c r="D59" s="192"/>
      <c r="E59" s="192"/>
      <c r="F59" s="192"/>
      <c r="G59" s="192"/>
      <c r="H59" s="192"/>
    </row>
    <row r="60" spans="1:8" x14ac:dyDescent="0.25">
      <c r="A60" s="182" t="s">
        <v>228</v>
      </c>
      <c r="B60" s="202"/>
      <c r="C60" s="202"/>
      <c r="D60" s="202"/>
      <c r="E60" s="202"/>
      <c r="F60" s="183">
        <v>331.52</v>
      </c>
      <c r="G60" s="183">
        <v>181.55</v>
      </c>
      <c r="H60" s="202"/>
    </row>
    <row r="61" spans="1:8" x14ac:dyDescent="0.25">
      <c r="A61" s="180" t="s">
        <v>133</v>
      </c>
      <c r="B61" s="181">
        <v>0.33</v>
      </c>
      <c r="C61" s="181">
        <v>0.32</v>
      </c>
      <c r="D61" s="181">
        <v>0.3</v>
      </c>
      <c r="E61" s="181">
        <v>0.28999999999999998</v>
      </c>
      <c r="F61" s="181">
        <v>0.09</v>
      </c>
      <c r="G61" s="181">
        <v>0.08</v>
      </c>
      <c r="H61" s="192"/>
    </row>
    <row r="62" spans="1:8" x14ac:dyDescent="0.25">
      <c r="A62" s="180" t="s">
        <v>229</v>
      </c>
      <c r="B62" s="181">
        <v>1404.93</v>
      </c>
      <c r="C62" s="181">
        <v>1494.51</v>
      </c>
      <c r="D62" s="181">
        <v>1236.99</v>
      </c>
      <c r="E62" s="181">
        <v>1027.18</v>
      </c>
      <c r="F62" s="181">
        <v>82.35</v>
      </c>
      <c r="G62" s="181">
        <v>48.91</v>
      </c>
      <c r="H62" s="192"/>
    </row>
    <row r="63" spans="1:8" x14ac:dyDescent="0.25">
      <c r="A63" s="180" t="s">
        <v>134</v>
      </c>
      <c r="B63" s="188">
        <v>-793.97</v>
      </c>
      <c r="C63" s="188">
        <v>-680.83</v>
      </c>
      <c r="D63" s="188">
        <v>-420.52</v>
      </c>
      <c r="E63" s="188">
        <v>-301.70999999999998</v>
      </c>
      <c r="F63" s="188">
        <v>-195.88</v>
      </c>
      <c r="G63" s="188">
        <v>-108.71</v>
      </c>
      <c r="H63" s="192"/>
    </row>
    <row r="64" spans="1:8" x14ac:dyDescent="0.25">
      <c r="A64" s="180" t="s">
        <v>230</v>
      </c>
      <c r="B64" s="192"/>
      <c r="C64" s="192"/>
      <c r="D64" s="192"/>
      <c r="E64" s="192"/>
      <c r="F64" s="192"/>
      <c r="G64" s="192"/>
      <c r="H64" s="192"/>
    </row>
    <row r="65" spans="1:8" x14ac:dyDescent="0.25">
      <c r="A65" s="180" t="s">
        <v>231</v>
      </c>
      <c r="B65" s="188">
        <v>-17.3</v>
      </c>
      <c r="C65" s="188">
        <v>-2.65</v>
      </c>
      <c r="D65" s="181">
        <v>0.16</v>
      </c>
      <c r="E65" s="181">
        <v>0.06</v>
      </c>
      <c r="F65" s="188">
        <v>-0.06</v>
      </c>
      <c r="G65" s="188">
        <v>-0.11</v>
      </c>
      <c r="H65" s="192"/>
    </row>
    <row r="66" spans="1:8" x14ac:dyDescent="0.25">
      <c r="A66" s="182" t="s">
        <v>232</v>
      </c>
      <c r="B66" s="183">
        <v>593.99</v>
      </c>
      <c r="C66" s="183">
        <v>811.36</v>
      </c>
      <c r="D66" s="183">
        <v>816.94</v>
      </c>
      <c r="E66" s="183">
        <v>725.83</v>
      </c>
      <c r="F66" s="254">
        <v>-113.51</v>
      </c>
      <c r="G66" s="254">
        <v>-59.83</v>
      </c>
      <c r="H66" s="202"/>
    </row>
    <row r="67" spans="1:8" ht="15.75" thickBot="1" x14ac:dyDescent="0.3">
      <c r="A67" s="180" t="s">
        <v>135</v>
      </c>
      <c r="B67" s="192"/>
      <c r="C67" s="192"/>
      <c r="D67" s="192"/>
      <c r="E67" s="192"/>
      <c r="F67" s="192"/>
      <c r="G67" s="192"/>
      <c r="H67" s="192"/>
    </row>
    <row r="68" spans="1:8" ht="16.5" thickTop="1" thickBot="1" x14ac:dyDescent="0.3">
      <c r="A68" s="189" t="s">
        <v>233</v>
      </c>
      <c r="B68" s="190">
        <v>593.99</v>
      </c>
      <c r="C68" s="190">
        <v>811.36</v>
      </c>
      <c r="D68" s="190">
        <v>816.94</v>
      </c>
      <c r="E68" s="190">
        <v>725.83</v>
      </c>
      <c r="F68" s="190">
        <v>218.02</v>
      </c>
      <c r="G68" s="190">
        <v>121.71</v>
      </c>
      <c r="H68" s="255"/>
    </row>
    <row r="69" spans="1:8" ht="15.75" thickTop="1" x14ac:dyDescent="0.25">
      <c r="A69" s="189" t="s">
        <v>234</v>
      </c>
      <c r="B69" s="190">
        <v>2490.62</v>
      </c>
      <c r="C69" s="190">
        <v>2372.0700000000002</v>
      </c>
      <c r="D69" s="190">
        <v>1380.65</v>
      </c>
      <c r="E69" s="190">
        <v>830.82</v>
      </c>
      <c r="F69" s="190">
        <v>298.38</v>
      </c>
      <c r="G69" s="190">
        <v>163.13999999999999</v>
      </c>
      <c r="H69" s="255"/>
    </row>
    <row r="70" spans="1:8" x14ac:dyDescent="0.25">
      <c r="A70" s="184" t="s">
        <v>169</v>
      </c>
      <c r="B70" s="163"/>
      <c r="C70" s="163"/>
      <c r="D70" s="163"/>
      <c r="E70" s="163"/>
      <c r="F70" s="163"/>
      <c r="G70" s="163"/>
      <c r="H70" s="163"/>
    </row>
    <row r="71" spans="1:8" x14ac:dyDescent="0.25">
      <c r="A71" s="180" t="s">
        <v>235</v>
      </c>
      <c r="B71" s="181">
        <v>328.62</v>
      </c>
      <c r="C71" s="181">
        <v>324.08</v>
      </c>
      <c r="D71" s="181">
        <v>308.83</v>
      </c>
      <c r="E71" s="181">
        <v>302.64</v>
      </c>
      <c r="F71" s="192"/>
      <c r="G71" s="192"/>
      <c r="H71" s="192"/>
    </row>
    <row r="72" spans="1:8" x14ac:dyDescent="0.25">
      <c r="A72" s="180" t="s">
        <v>236</v>
      </c>
      <c r="B72" s="181">
        <v>1.81</v>
      </c>
      <c r="C72" s="181">
        <v>2.5099999999999998</v>
      </c>
      <c r="D72" s="181">
        <v>2.65</v>
      </c>
      <c r="E72" s="181">
        <v>2.42</v>
      </c>
      <c r="F72" s="188">
        <v>-1.24</v>
      </c>
      <c r="G72" s="188">
        <v>-0.76</v>
      </c>
      <c r="H72" s="192"/>
    </row>
    <row r="73" spans="1:8" x14ac:dyDescent="0.25">
      <c r="A73" s="180" t="s">
        <v>237</v>
      </c>
      <c r="B73" s="181">
        <v>407.5</v>
      </c>
      <c r="C73" s="181">
        <v>786.58</v>
      </c>
      <c r="D73" s="181">
        <v>796.97</v>
      </c>
      <c r="E73" s="181">
        <v>721.71</v>
      </c>
      <c r="F73" s="188">
        <v>-117.74</v>
      </c>
      <c r="G73" s="188">
        <v>-64.59</v>
      </c>
      <c r="H73" s="192"/>
    </row>
    <row r="74" spans="1:8" x14ac:dyDescent="0.25">
      <c r="A74" s="180" t="s">
        <v>238</v>
      </c>
      <c r="B74" s="181">
        <v>1.24</v>
      </c>
      <c r="C74" s="181">
        <v>2.4300000000000002</v>
      </c>
      <c r="D74" s="181">
        <v>2.58</v>
      </c>
      <c r="E74" s="181">
        <v>2.4</v>
      </c>
      <c r="F74" s="188">
        <v>-1.29</v>
      </c>
      <c r="G74" s="188">
        <v>-0.82</v>
      </c>
      <c r="H74" s="192"/>
    </row>
    <row r="75" spans="1:8" x14ac:dyDescent="0.25">
      <c r="A75" s="180" t="s">
        <v>13</v>
      </c>
      <c r="B75" s="181">
        <v>1567.57</v>
      </c>
      <c r="C75" s="181">
        <v>1293.21</v>
      </c>
      <c r="D75" s="181">
        <v>428.3</v>
      </c>
      <c r="E75" s="181">
        <v>10.51</v>
      </c>
      <c r="F75" s="181">
        <v>10.7</v>
      </c>
      <c r="G75" s="181">
        <v>10.92</v>
      </c>
      <c r="H75" s="192"/>
    </row>
    <row r="76" spans="1:8" x14ac:dyDescent="0.25">
      <c r="A76" s="180" t="s">
        <v>14</v>
      </c>
      <c r="B76" s="188">
        <v>-68.69</v>
      </c>
      <c r="C76" s="188">
        <v>-528.64</v>
      </c>
      <c r="D76" s="188">
        <v>-603.79999999999995</v>
      </c>
      <c r="E76" s="188">
        <v>-629.22</v>
      </c>
      <c r="F76" s="188">
        <v>-152.59</v>
      </c>
      <c r="G76" s="188">
        <v>-62.48</v>
      </c>
      <c r="H76" s="192"/>
    </row>
    <row r="77" spans="1:8" x14ac:dyDescent="0.25">
      <c r="A77" s="180" t="s">
        <v>239</v>
      </c>
      <c r="B77" s="192"/>
      <c r="C77" s="192"/>
      <c r="D77" s="192"/>
      <c r="E77" s="192"/>
      <c r="F77" s="192"/>
      <c r="G77" s="192"/>
      <c r="H77" s="192"/>
    </row>
    <row r="78" spans="1:8" x14ac:dyDescent="0.25">
      <c r="A78" s="180" t="s">
        <v>240</v>
      </c>
      <c r="B78" s="192"/>
      <c r="C78" s="192"/>
      <c r="D78" s="192"/>
      <c r="E78" s="192"/>
      <c r="F78" s="192"/>
      <c r="G78" s="192"/>
      <c r="H78" s="192"/>
    </row>
    <row r="79" spans="1:8" x14ac:dyDescent="0.25">
      <c r="A79" s="180" t="s">
        <v>241</v>
      </c>
      <c r="B79" s="192"/>
      <c r="C79" s="192"/>
      <c r="D79" s="192"/>
      <c r="E79" s="192"/>
      <c r="F79" s="192"/>
      <c r="G79" s="192"/>
      <c r="H79" s="192"/>
    </row>
    <row r="80" spans="1:8" x14ac:dyDescent="0.25">
      <c r="A80" s="180" t="s">
        <v>242</v>
      </c>
      <c r="B80" s="192"/>
      <c r="C80" s="192"/>
      <c r="D80" s="192"/>
      <c r="E80" s="164"/>
      <c r="F80" s="164"/>
      <c r="G80" s="164"/>
      <c r="H80" s="192"/>
    </row>
    <row r="81" spans="1:8" x14ac:dyDescent="0.25">
      <c r="A81" s="180" t="s">
        <v>243</v>
      </c>
      <c r="B81" s="164"/>
      <c r="C81" s="164"/>
      <c r="D81" s="164"/>
      <c r="E81" s="164"/>
      <c r="F81" s="164"/>
      <c r="G81" s="164"/>
      <c r="H81" s="192"/>
    </row>
    <row r="82" spans="1:8" x14ac:dyDescent="0.25">
      <c r="A82" s="180" t="s">
        <v>244</v>
      </c>
      <c r="B82" s="164"/>
      <c r="C82" s="164"/>
      <c r="D82" s="164"/>
      <c r="E82" s="164"/>
      <c r="F82" s="164"/>
      <c r="G82" s="192"/>
      <c r="H82" s="192"/>
    </row>
  </sheetData>
  <mergeCells count="1">
    <mergeCell ref="A1:H1"/>
  </mergeCells>
  <hyperlinks>
    <hyperlink ref="E80" r:id="rId1" display="https://app.tikr.com/account/subs?ref=q5ht48" xr:uid="{95F5FD4C-9C4B-4D5F-A76A-079E7132B094}"/>
    <hyperlink ref="F80" r:id="rId2" display="https://app.tikr.com/account/subs?ref=q5ht48" xr:uid="{9E8CEB68-9C42-4797-9C4B-653C3080BF97}"/>
    <hyperlink ref="G80" r:id="rId3" display="https://app.tikr.com/account/subs?ref=q5ht48" xr:uid="{FDA2691C-52CE-408C-A73A-A361DFF37657}"/>
    <hyperlink ref="B81" r:id="rId4" display="https://app.tikr.com/account/subs?ref=q5ht48" xr:uid="{0BFA10E7-3134-4896-802E-74CFB57C9B6B}"/>
    <hyperlink ref="C81" r:id="rId5" display="https://app.tikr.com/account/subs?ref=q5ht48" xr:uid="{8B9F438C-A227-4CC5-9B8D-FB1528853BA9}"/>
    <hyperlink ref="D81" r:id="rId6" display="https://app.tikr.com/account/subs?ref=q5ht48" xr:uid="{F7D27D79-1FCB-4DF5-AD51-73804EA043C4}"/>
    <hyperlink ref="E81" r:id="rId7" display="https://app.tikr.com/account/subs?ref=q5ht48" xr:uid="{99A68008-AAA6-4D63-AEC7-6D00F61F4231}"/>
    <hyperlink ref="F81" r:id="rId8" display="https://app.tikr.com/account/subs?ref=q5ht48" xr:uid="{068D8D9C-6419-47D4-A5F3-D752CD58E4B7}"/>
    <hyperlink ref="G81" r:id="rId9" display="https://app.tikr.com/account/subs?ref=q5ht48" xr:uid="{F8AE068C-F59A-4FCB-8B09-62F712124B29}"/>
    <hyperlink ref="B82" r:id="rId10" display="https://app.tikr.com/account/subs?ref=q5ht48" xr:uid="{15276E59-E1DA-4398-8252-A6F7D137D598}"/>
    <hyperlink ref="C82" r:id="rId11" display="https://app.tikr.com/account/subs?ref=q5ht48" xr:uid="{DDBE37F6-82F9-4176-A665-BAE498D8352F}"/>
    <hyperlink ref="D82" r:id="rId12" display="https://app.tikr.com/account/subs?ref=q5ht48" xr:uid="{750CB562-27E7-4100-B3BB-D3F2030D9AB4}"/>
    <hyperlink ref="E82" r:id="rId13" display="https://app.tikr.com/account/subs?ref=q5ht48" xr:uid="{48BE6AD8-C92F-4EB2-8E69-8473FD229FFC}"/>
    <hyperlink ref="F82" r:id="rId14" display="https://app.tikr.com/account/subs?ref=q5ht48" xr:uid="{6E66AD38-E838-41DD-92D4-A4E5A58014E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A5040-6622-44F4-935D-0CF1591A1790}">
  <sheetPr codeName="Hoja11"/>
  <dimension ref="A1:H66"/>
  <sheetViews>
    <sheetView workbookViewId="0">
      <selection sqref="A1:H66"/>
    </sheetView>
  </sheetViews>
  <sheetFormatPr baseColWidth="10" defaultRowHeight="15" x14ac:dyDescent="0.25"/>
  <cols>
    <col min="1" max="1" width="60.5703125" bestFit="1" customWidth="1"/>
  </cols>
  <sheetData>
    <row r="1" spans="1:8" x14ac:dyDescent="0.25">
      <c r="A1" s="244"/>
      <c r="B1" s="244"/>
      <c r="C1" s="244"/>
      <c r="D1" s="244"/>
      <c r="E1" s="244"/>
      <c r="F1" s="244"/>
      <c r="G1" s="244"/>
      <c r="H1" s="244"/>
    </row>
    <row r="2" spans="1:8" x14ac:dyDescent="0.25">
      <c r="A2" s="178" t="s">
        <v>245</v>
      </c>
      <c r="B2" s="178" t="s">
        <v>139</v>
      </c>
      <c r="C2" s="179">
        <v>44561</v>
      </c>
      <c r="D2" s="179">
        <v>44196</v>
      </c>
      <c r="E2" s="179">
        <v>43830</v>
      </c>
      <c r="F2" s="179">
        <v>43465</v>
      </c>
      <c r="G2" s="179">
        <v>43100</v>
      </c>
      <c r="H2" s="179">
        <v>42735</v>
      </c>
    </row>
    <row r="3" spans="1:8" x14ac:dyDescent="0.25">
      <c r="A3" s="163"/>
      <c r="B3" s="163"/>
      <c r="C3" s="163"/>
      <c r="D3" s="163"/>
      <c r="E3" s="163"/>
      <c r="F3" s="163"/>
      <c r="G3" s="163"/>
      <c r="H3" s="163"/>
    </row>
    <row r="4" spans="1:8" x14ac:dyDescent="0.25">
      <c r="A4" s="182" t="s">
        <v>5</v>
      </c>
      <c r="B4" s="254">
        <v>-224.97</v>
      </c>
      <c r="C4" s="254">
        <v>-260.31</v>
      </c>
      <c r="D4" s="254">
        <v>-119.37</v>
      </c>
      <c r="E4" s="254">
        <v>-105.83</v>
      </c>
      <c r="F4" s="254">
        <v>-87.16</v>
      </c>
      <c r="G4" s="254">
        <v>-10.75</v>
      </c>
      <c r="H4" s="164"/>
    </row>
    <row r="5" spans="1:8" x14ac:dyDescent="0.25">
      <c r="A5" s="180" t="s">
        <v>180</v>
      </c>
      <c r="B5" s="181">
        <v>60.63</v>
      </c>
      <c r="C5" s="181">
        <v>45.81</v>
      </c>
      <c r="D5" s="181">
        <v>33.69</v>
      </c>
      <c r="E5" s="181">
        <v>22.68</v>
      </c>
      <c r="F5" s="181">
        <v>15.11</v>
      </c>
      <c r="G5" s="181">
        <v>10.71</v>
      </c>
      <c r="H5" s="164"/>
    </row>
    <row r="6" spans="1:8" x14ac:dyDescent="0.25">
      <c r="A6" s="180" t="s">
        <v>181</v>
      </c>
      <c r="B6" s="192"/>
      <c r="C6" s="192"/>
      <c r="D6" s="192"/>
      <c r="E6" s="192"/>
      <c r="F6" s="192"/>
      <c r="G6" s="192"/>
      <c r="H6" s="192"/>
    </row>
    <row r="7" spans="1:8" x14ac:dyDescent="0.25">
      <c r="A7" s="180" t="s">
        <v>246</v>
      </c>
      <c r="B7" s="192"/>
      <c r="C7" s="192"/>
      <c r="D7" s="192"/>
      <c r="E7" s="192"/>
      <c r="F7" s="192"/>
      <c r="G7" s="192"/>
      <c r="H7" s="192"/>
    </row>
    <row r="8" spans="1:8" x14ac:dyDescent="0.25">
      <c r="A8" s="182" t="s">
        <v>247</v>
      </c>
      <c r="B8" s="183">
        <v>60.63</v>
      </c>
      <c r="C8" s="183">
        <v>45.81</v>
      </c>
      <c r="D8" s="183">
        <v>33.69</v>
      </c>
      <c r="E8" s="183">
        <v>22.68</v>
      </c>
      <c r="F8" s="183">
        <v>15.11</v>
      </c>
      <c r="G8" s="183">
        <v>10.71</v>
      </c>
      <c r="H8" s="164"/>
    </row>
    <row r="9" spans="1:8" x14ac:dyDescent="0.25">
      <c r="A9" s="180" t="s">
        <v>248</v>
      </c>
      <c r="B9" s="181">
        <v>90.18</v>
      </c>
      <c r="C9" s="181">
        <v>96.24</v>
      </c>
      <c r="D9" s="181">
        <v>54.65</v>
      </c>
      <c r="E9" s="181">
        <v>17.62</v>
      </c>
      <c r="F9" s="181">
        <v>10.86</v>
      </c>
      <c r="G9" s="181">
        <v>5.42</v>
      </c>
      <c r="H9" s="164"/>
    </row>
    <row r="10" spans="1:8" x14ac:dyDescent="0.25">
      <c r="A10" s="180" t="s">
        <v>249</v>
      </c>
      <c r="B10" s="192"/>
      <c r="C10" s="192"/>
      <c r="D10" s="192"/>
      <c r="E10" s="192"/>
      <c r="F10" s="192"/>
      <c r="G10" s="192"/>
      <c r="H10" s="192"/>
    </row>
    <row r="11" spans="1:8" x14ac:dyDescent="0.25">
      <c r="A11" s="180" t="s">
        <v>250</v>
      </c>
      <c r="B11" s="192"/>
      <c r="C11" s="192"/>
      <c r="D11" s="192"/>
      <c r="E11" s="192"/>
      <c r="F11" s="192"/>
      <c r="G11" s="192"/>
      <c r="H11" s="192"/>
    </row>
    <row r="12" spans="1:8" x14ac:dyDescent="0.25">
      <c r="A12" s="180" t="s">
        <v>251</v>
      </c>
      <c r="B12" s="181">
        <v>6.02</v>
      </c>
      <c r="C12" s="181">
        <v>8.36</v>
      </c>
      <c r="D12" s="181">
        <v>1.64</v>
      </c>
      <c r="E12" s="188">
        <v>-1.8</v>
      </c>
      <c r="F12" s="188">
        <v>-0.56999999999999995</v>
      </c>
      <c r="G12" s="181">
        <v>0.34</v>
      </c>
      <c r="H12" s="164"/>
    </row>
    <row r="13" spans="1:8" x14ac:dyDescent="0.25">
      <c r="A13" s="180" t="s">
        <v>252</v>
      </c>
      <c r="B13" s="192"/>
      <c r="C13" s="192"/>
      <c r="D13" s="192"/>
      <c r="E13" s="192"/>
      <c r="F13" s="192"/>
      <c r="G13" s="192"/>
      <c r="H13" s="192"/>
    </row>
    <row r="14" spans="1:8" x14ac:dyDescent="0.25">
      <c r="A14" s="180" t="s">
        <v>253</v>
      </c>
      <c r="B14" s="192"/>
      <c r="C14" s="192"/>
      <c r="D14" s="192"/>
      <c r="E14" s="192"/>
      <c r="F14" s="192"/>
      <c r="G14" s="192"/>
      <c r="H14" s="192"/>
    </row>
    <row r="15" spans="1:8" x14ac:dyDescent="0.25">
      <c r="A15" s="180" t="s">
        <v>254</v>
      </c>
      <c r="B15" s="192"/>
      <c r="C15" s="192"/>
      <c r="D15" s="192"/>
      <c r="E15" s="192"/>
      <c r="F15" s="192"/>
      <c r="G15" s="192"/>
      <c r="H15" s="192"/>
    </row>
    <row r="16" spans="1:8" x14ac:dyDescent="0.25">
      <c r="A16" s="180" t="s">
        <v>255</v>
      </c>
      <c r="B16" s="192"/>
      <c r="C16" s="192"/>
      <c r="D16" s="192"/>
      <c r="E16" s="192"/>
      <c r="F16" s="192"/>
      <c r="G16" s="192"/>
      <c r="H16" s="192"/>
    </row>
    <row r="17" spans="1:8" x14ac:dyDescent="0.25">
      <c r="A17" s="180" t="s">
        <v>179</v>
      </c>
      <c r="B17" s="181">
        <v>171.04</v>
      </c>
      <c r="C17" s="181">
        <v>90.14</v>
      </c>
      <c r="D17" s="181">
        <v>56.33</v>
      </c>
      <c r="E17" s="181">
        <v>36.630000000000003</v>
      </c>
      <c r="F17" s="181">
        <v>27.35</v>
      </c>
      <c r="G17" s="181">
        <v>2.76</v>
      </c>
      <c r="H17" s="164"/>
    </row>
    <row r="18" spans="1:8" x14ac:dyDescent="0.25">
      <c r="A18" s="180" t="s">
        <v>256</v>
      </c>
      <c r="B18" s="192"/>
      <c r="C18" s="192"/>
      <c r="D18" s="192"/>
      <c r="E18" s="192"/>
      <c r="F18" s="192"/>
      <c r="G18" s="192"/>
      <c r="H18" s="192"/>
    </row>
    <row r="19" spans="1:8" x14ac:dyDescent="0.25">
      <c r="A19" s="180" t="s">
        <v>257</v>
      </c>
      <c r="B19" s="181">
        <v>4.03</v>
      </c>
      <c r="C19" s="181">
        <v>3.8</v>
      </c>
      <c r="D19" s="181">
        <v>3.37</v>
      </c>
      <c r="E19" s="181">
        <v>2.4900000000000002</v>
      </c>
      <c r="F19" s="181">
        <v>1.08</v>
      </c>
      <c r="G19" s="192"/>
      <c r="H19" s="192"/>
    </row>
    <row r="20" spans="1:8" x14ac:dyDescent="0.25">
      <c r="A20" s="180" t="s">
        <v>258</v>
      </c>
      <c r="B20" s="192"/>
      <c r="C20" s="192"/>
      <c r="D20" s="192"/>
      <c r="E20" s="192"/>
      <c r="F20" s="192"/>
      <c r="G20" s="192"/>
      <c r="H20" s="192"/>
    </row>
    <row r="21" spans="1:8" x14ac:dyDescent="0.25">
      <c r="A21" s="180" t="s">
        <v>259</v>
      </c>
      <c r="B21" s="181">
        <v>53.09</v>
      </c>
      <c r="C21" s="181">
        <v>77.22</v>
      </c>
      <c r="D21" s="181">
        <v>13.62</v>
      </c>
      <c r="E21" s="181">
        <v>2.19</v>
      </c>
      <c r="F21" s="181">
        <v>1.65</v>
      </c>
      <c r="G21" s="188">
        <v>-0.08</v>
      </c>
      <c r="H21" s="164"/>
    </row>
    <row r="22" spans="1:8" x14ac:dyDescent="0.25">
      <c r="A22" s="180" t="s">
        <v>260</v>
      </c>
      <c r="B22" s="192"/>
      <c r="C22" s="192"/>
      <c r="D22" s="192"/>
      <c r="E22" s="192"/>
      <c r="F22" s="192"/>
      <c r="G22" s="192"/>
      <c r="H22" s="192"/>
    </row>
    <row r="23" spans="1:8" x14ac:dyDescent="0.25">
      <c r="A23" s="180" t="s">
        <v>261</v>
      </c>
      <c r="B23" s="188">
        <v>-46.72</v>
      </c>
      <c r="C23" s="188">
        <v>-38.39</v>
      </c>
      <c r="D23" s="188">
        <v>-34.479999999999997</v>
      </c>
      <c r="E23" s="188">
        <v>-11.71</v>
      </c>
      <c r="F23" s="188">
        <v>-12.6</v>
      </c>
      <c r="G23" s="188">
        <v>-5.15</v>
      </c>
      <c r="H23" s="164"/>
    </row>
    <row r="24" spans="1:8" x14ac:dyDescent="0.25">
      <c r="A24" s="180" t="s">
        <v>262</v>
      </c>
      <c r="B24" s="192"/>
      <c r="C24" s="192"/>
      <c r="D24" s="192"/>
      <c r="E24" s="192"/>
      <c r="F24" s="192"/>
      <c r="G24" s="192"/>
      <c r="H24" s="192"/>
    </row>
    <row r="25" spans="1:8" x14ac:dyDescent="0.25">
      <c r="A25" s="180" t="s">
        <v>263</v>
      </c>
      <c r="B25" s="188">
        <v>-2.67</v>
      </c>
      <c r="C25" s="181">
        <v>2.46</v>
      </c>
      <c r="D25" s="181">
        <v>1.69</v>
      </c>
      <c r="E25" s="188">
        <v>-1.33</v>
      </c>
      <c r="F25" s="181">
        <v>4.3899999999999997</v>
      </c>
      <c r="G25" s="188">
        <v>-0.96</v>
      </c>
      <c r="H25" s="164"/>
    </row>
    <row r="26" spans="1:8" x14ac:dyDescent="0.25">
      <c r="A26" s="180" t="s">
        <v>264</v>
      </c>
      <c r="B26" s="181">
        <v>76.16</v>
      </c>
      <c r="C26" s="181">
        <v>64.39</v>
      </c>
      <c r="D26" s="181">
        <v>25.19</v>
      </c>
      <c r="E26" s="181">
        <v>14.61</v>
      </c>
      <c r="F26" s="181">
        <v>4.9000000000000004</v>
      </c>
      <c r="G26" s="181">
        <v>5.5</v>
      </c>
      <c r="H26" s="164"/>
    </row>
    <row r="27" spans="1:8" x14ac:dyDescent="0.25">
      <c r="A27" s="180" t="s">
        <v>265</v>
      </c>
      <c r="B27" s="192"/>
      <c r="C27" s="192"/>
      <c r="D27" s="192"/>
      <c r="E27" s="192"/>
      <c r="F27" s="192"/>
      <c r="G27" s="192"/>
      <c r="H27" s="192"/>
    </row>
    <row r="28" spans="1:8" x14ac:dyDescent="0.25">
      <c r="A28" s="180" t="s">
        <v>266</v>
      </c>
      <c r="B28" s="192"/>
      <c r="C28" s="192"/>
      <c r="D28" s="192"/>
      <c r="E28" s="192"/>
      <c r="F28" s="192"/>
      <c r="G28" s="192"/>
      <c r="H28" s="192"/>
    </row>
    <row r="29" spans="1:8" ht="15.75" thickBot="1" x14ac:dyDescent="0.3">
      <c r="A29" s="180" t="s">
        <v>267</v>
      </c>
      <c r="B29" s="188">
        <v>-100.71</v>
      </c>
      <c r="C29" s="188">
        <v>-25.07</v>
      </c>
      <c r="D29" s="188">
        <v>-53.47</v>
      </c>
      <c r="E29" s="188">
        <v>-14.47</v>
      </c>
      <c r="F29" s="188">
        <v>-8.2799999999999994</v>
      </c>
      <c r="G29" s="188">
        <v>-4.63</v>
      </c>
      <c r="H29" s="164"/>
    </row>
    <row r="30" spans="1:8" ht="15.75" thickTop="1" x14ac:dyDescent="0.25">
      <c r="A30" s="189" t="s">
        <v>268</v>
      </c>
      <c r="B30" s="190">
        <v>86.09</v>
      </c>
      <c r="C30" s="190">
        <v>64.650000000000006</v>
      </c>
      <c r="D30" s="191">
        <v>-17.13</v>
      </c>
      <c r="E30" s="191">
        <v>-38.92</v>
      </c>
      <c r="F30" s="191">
        <v>-43.28</v>
      </c>
      <c r="G30" s="190">
        <v>3.17</v>
      </c>
      <c r="H30" s="165"/>
    </row>
    <row r="31" spans="1:8" x14ac:dyDescent="0.25">
      <c r="A31" s="193" t="s">
        <v>269</v>
      </c>
      <c r="B31" s="194">
        <v>-73.95</v>
      </c>
      <c r="C31" s="195">
        <v>3.39</v>
      </c>
      <c r="D31" s="194">
        <v>-61.06</v>
      </c>
      <c r="E31" s="194">
        <v>-12.89</v>
      </c>
      <c r="F31" s="194">
        <v>-11.59</v>
      </c>
      <c r="G31" s="194">
        <v>-5.23</v>
      </c>
      <c r="H31" s="164"/>
    </row>
    <row r="32" spans="1:8" x14ac:dyDescent="0.25">
      <c r="A32" s="180" t="s">
        <v>270</v>
      </c>
      <c r="B32" s="188">
        <v>-131.80000000000001</v>
      </c>
      <c r="C32" s="188">
        <v>-92.99</v>
      </c>
      <c r="D32" s="188">
        <v>-56.38</v>
      </c>
      <c r="E32" s="188">
        <v>-43.29</v>
      </c>
      <c r="F32" s="188">
        <v>-25.47</v>
      </c>
      <c r="G32" s="188">
        <v>-19.03</v>
      </c>
      <c r="H32" s="164"/>
    </row>
    <row r="33" spans="1:8" x14ac:dyDescent="0.25">
      <c r="A33" s="180" t="s">
        <v>271</v>
      </c>
      <c r="B33" s="192"/>
      <c r="C33" s="192"/>
      <c r="D33" s="192"/>
      <c r="E33" s="192"/>
      <c r="F33" s="192"/>
      <c r="G33" s="192"/>
      <c r="H33" s="192"/>
    </row>
    <row r="34" spans="1:8" x14ac:dyDescent="0.25">
      <c r="A34" s="180" t="s">
        <v>272</v>
      </c>
      <c r="B34" s="188">
        <v>-93.79</v>
      </c>
      <c r="C34" s="188">
        <v>-5.61</v>
      </c>
      <c r="D34" s="188">
        <v>-13.94</v>
      </c>
      <c r="E34" s="192"/>
      <c r="F34" s="192"/>
      <c r="G34" s="188">
        <v>-0.25</v>
      </c>
      <c r="H34" s="164"/>
    </row>
    <row r="35" spans="1:8" x14ac:dyDescent="0.25">
      <c r="A35" s="180" t="s">
        <v>273</v>
      </c>
      <c r="B35" s="192"/>
      <c r="C35" s="192"/>
      <c r="D35" s="192"/>
      <c r="E35" s="192"/>
      <c r="F35" s="192"/>
      <c r="G35" s="192"/>
      <c r="H35" s="192"/>
    </row>
    <row r="36" spans="1:8" x14ac:dyDescent="0.25">
      <c r="A36" s="180" t="s">
        <v>274</v>
      </c>
      <c r="B36" s="192"/>
      <c r="C36" s="192"/>
      <c r="D36" s="192"/>
      <c r="E36" s="192"/>
      <c r="F36" s="192"/>
      <c r="G36" s="192"/>
      <c r="H36" s="192"/>
    </row>
    <row r="37" spans="1:8" x14ac:dyDescent="0.25">
      <c r="A37" s="180" t="s">
        <v>275</v>
      </c>
      <c r="B37" s="188">
        <v>-19.09</v>
      </c>
      <c r="C37" s="188">
        <v>-14.75</v>
      </c>
      <c r="D37" s="188">
        <v>-18.59</v>
      </c>
      <c r="E37" s="188">
        <v>-13.99</v>
      </c>
      <c r="F37" s="188">
        <v>-9.3699999999999992</v>
      </c>
      <c r="G37" s="188">
        <v>-3.94</v>
      </c>
      <c r="H37" s="164"/>
    </row>
    <row r="38" spans="1:8" x14ac:dyDescent="0.25">
      <c r="A38" s="180" t="s">
        <v>276</v>
      </c>
      <c r="B38" s="188">
        <v>-325.89</v>
      </c>
      <c r="C38" s="188">
        <v>-596.03</v>
      </c>
      <c r="D38" s="188">
        <v>-426.77</v>
      </c>
      <c r="E38" s="188">
        <v>-360.41</v>
      </c>
      <c r="F38" s="188">
        <v>-86.02</v>
      </c>
      <c r="G38" s="181">
        <v>32.74</v>
      </c>
      <c r="H38" s="164"/>
    </row>
    <row r="39" spans="1:8" x14ac:dyDescent="0.25">
      <c r="A39" s="180" t="s">
        <v>277</v>
      </c>
      <c r="B39" s="192"/>
      <c r="C39" s="192"/>
      <c r="D39" s="192"/>
      <c r="E39" s="192"/>
      <c r="F39" s="192"/>
      <c r="G39" s="192"/>
      <c r="H39" s="192"/>
    </row>
    <row r="40" spans="1:8" ht="15.75" thickBot="1" x14ac:dyDescent="0.3">
      <c r="A40" s="180" t="s">
        <v>278</v>
      </c>
      <c r="B40" s="181">
        <v>0.03</v>
      </c>
      <c r="C40" s="181">
        <v>0.05</v>
      </c>
      <c r="D40" s="181">
        <v>0.4</v>
      </c>
      <c r="E40" s="181">
        <v>0.04</v>
      </c>
      <c r="F40" s="181">
        <v>0.06</v>
      </c>
      <c r="G40" s="181">
        <v>0.03</v>
      </c>
      <c r="H40" s="164"/>
    </row>
    <row r="41" spans="1:8" ht="15.75" thickTop="1" x14ac:dyDescent="0.25">
      <c r="A41" s="189" t="s">
        <v>279</v>
      </c>
      <c r="B41" s="191">
        <v>-570.54</v>
      </c>
      <c r="C41" s="191">
        <v>-709.32</v>
      </c>
      <c r="D41" s="191">
        <v>-515.27</v>
      </c>
      <c r="E41" s="191">
        <v>-417.64</v>
      </c>
      <c r="F41" s="191">
        <v>-120.8</v>
      </c>
      <c r="G41" s="190">
        <v>9.5399999999999991</v>
      </c>
      <c r="H41" s="165"/>
    </row>
    <row r="42" spans="1:8" x14ac:dyDescent="0.25">
      <c r="A42" s="180" t="s">
        <v>280</v>
      </c>
      <c r="B42" s="192"/>
      <c r="C42" s="181">
        <v>1293.75</v>
      </c>
      <c r="D42" s="181">
        <v>575</v>
      </c>
      <c r="E42" s="181">
        <v>0.06</v>
      </c>
      <c r="F42" s="181">
        <v>0.13</v>
      </c>
      <c r="G42" s="181">
        <v>2.2000000000000002</v>
      </c>
      <c r="H42" s="164"/>
    </row>
    <row r="43" spans="1:8" x14ac:dyDescent="0.25">
      <c r="A43" s="180" t="s">
        <v>281</v>
      </c>
      <c r="B43" s="181">
        <v>69.72</v>
      </c>
      <c r="C43" s="188">
        <v>-370.65</v>
      </c>
      <c r="D43" s="188">
        <v>-0.2</v>
      </c>
      <c r="E43" s="188">
        <v>-0.26</v>
      </c>
      <c r="F43" s="188">
        <v>-0.36</v>
      </c>
      <c r="G43" s="188">
        <v>-5.0999999999999996</v>
      </c>
      <c r="H43" s="164"/>
    </row>
    <row r="44" spans="1:8" x14ac:dyDescent="0.25">
      <c r="A44" s="180" t="s">
        <v>282</v>
      </c>
      <c r="B44" s="181">
        <v>29.29</v>
      </c>
      <c r="C44" s="181">
        <v>36.479999999999997</v>
      </c>
      <c r="D44" s="181">
        <v>18.62</v>
      </c>
      <c r="E44" s="181">
        <v>576.51</v>
      </c>
      <c r="F44" s="181">
        <v>18.940000000000001</v>
      </c>
      <c r="G44" s="181">
        <v>2.76</v>
      </c>
      <c r="H44" s="164"/>
    </row>
    <row r="45" spans="1:8" x14ac:dyDescent="0.25">
      <c r="A45" s="180" t="s">
        <v>283</v>
      </c>
      <c r="B45" s="188">
        <v>-3.58</v>
      </c>
      <c r="C45" s="188">
        <v>-3.82</v>
      </c>
      <c r="D45" s="188">
        <v>-8.6300000000000008</v>
      </c>
      <c r="E45" s="188">
        <v>-0.28000000000000003</v>
      </c>
      <c r="F45" s="188">
        <v>-7.0000000000000007E-2</v>
      </c>
      <c r="G45" s="188">
        <v>-0.02</v>
      </c>
      <c r="H45" s="164"/>
    </row>
    <row r="46" spans="1:8" x14ac:dyDescent="0.25">
      <c r="A46" s="180" t="s">
        <v>284</v>
      </c>
      <c r="B46" s="192"/>
      <c r="C46" s="192"/>
      <c r="D46" s="192"/>
      <c r="E46" s="192"/>
      <c r="F46" s="181">
        <v>150</v>
      </c>
      <c r="G46" s="192"/>
      <c r="H46" s="192"/>
    </row>
    <row r="47" spans="1:8" x14ac:dyDescent="0.25">
      <c r="A47" s="180" t="s">
        <v>285</v>
      </c>
      <c r="B47" s="192"/>
      <c r="C47" s="192"/>
      <c r="D47" s="192"/>
      <c r="E47" s="192"/>
      <c r="F47" s="192"/>
      <c r="G47" s="192"/>
      <c r="H47" s="192"/>
    </row>
    <row r="48" spans="1:8" x14ac:dyDescent="0.25">
      <c r="A48" s="180" t="s">
        <v>286</v>
      </c>
      <c r="B48" s="192"/>
      <c r="C48" s="192"/>
      <c r="D48" s="192"/>
      <c r="E48" s="192"/>
      <c r="F48" s="192"/>
      <c r="G48" s="192"/>
      <c r="H48" s="192"/>
    </row>
    <row r="49" spans="1:8" x14ac:dyDescent="0.25">
      <c r="A49" s="180" t="s">
        <v>287</v>
      </c>
      <c r="B49" s="192"/>
      <c r="C49" s="192"/>
      <c r="D49" s="192"/>
      <c r="E49" s="192"/>
      <c r="F49" s="192"/>
      <c r="G49" s="192"/>
      <c r="H49" s="192"/>
    </row>
    <row r="50" spans="1:8" x14ac:dyDescent="0.25">
      <c r="A50" s="180" t="s">
        <v>288</v>
      </c>
      <c r="B50" s="192"/>
      <c r="C50" s="192"/>
      <c r="D50" s="192"/>
      <c r="E50" s="192"/>
      <c r="F50" s="192"/>
      <c r="G50" s="192"/>
      <c r="H50" s="192"/>
    </row>
    <row r="51" spans="1:8" x14ac:dyDescent="0.25">
      <c r="A51" s="180" t="s">
        <v>289</v>
      </c>
      <c r="B51" s="192"/>
      <c r="C51" s="192"/>
      <c r="D51" s="192"/>
      <c r="E51" s="192"/>
      <c r="F51" s="192"/>
      <c r="G51" s="192"/>
      <c r="H51" s="192"/>
    </row>
    <row r="52" spans="1:8" ht="15.75" thickBot="1" x14ac:dyDescent="0.3">
      <c r="A52" s="180" t="s">
        <v>290</v>
      </c>
      <c r="B52" s="188">
        <v>-87.33</v>
      </c>
      <c r="C52" s="188">
        <v>-108.28</v>
      </c>
      <c r="D52" s="188">
        <v>-79.88</v>
      </c>
      <c r="E52" s="188">
        <v>-5.27</v>
      </c>
      <c r="F52" s="188">
        <v>-0.03</v>
      </c>
      <c r="G52" s="192"/>
      <c r="H52" s="192"/>
    </row>
    <row r="53" spans="1:8" ht="15.75" thickTop="1" x14ac:dyDescent="0.25">
      <c r="A53" s="189" t="s">
        <v>291</v>
      </c>
      <c r="B53" s="190">
        <v>8.1</v>
      </c>
      <c r="C53" s="190">
        <v>847.49</v>
      </c>
      <c r="D53" s="190">
        <v>504.91</v>
      </c>
      <c r="E53" s="190">
        <v>570.77</v>
      </c>
      <c r="F53" s="190">
        <v>168.62</v>
      </c>
      <c r="G53" s="191">
        <v>-0.15</v>
      </c>
      <c r="H53" s="165"/>
    </row>
    <row r="54" spans="1:8" x14ac:dyDescent="0.25">
      <c r="A54" s="180" t="s">
        <v>292</v>
      </c>
      <c r="B54" s="192"/>
      <c r="C54" s="192"/>
      <c r="D54" s="192"/>
      <c r="E54" s="192"/>
      <c r="F54" s="192"/>
      <c r="G54" s="192"/>
      <c r="H54" s="192"/>
    </row>
    <row r="55" spans="1:8" ht="15.75" thickBot="1" x14ac:dyDescent="0.3">
      <c r="A55" s="180" t="s">
        <v>293</v>
      </c>
      <c r="B55" s="192"/>
      <c r="C55" s="192"/>
      <c r="D55" s="192"/>
      <c r="E55" s="192"/>
      <c r="F55" s="192"/>
      <c r="G55" s="192"/>
      <c r="H55" s="192"/>
    </row>
    <row r="56" spans="1:8" ht="15.75" thickTop="1" x14ac:dyDescent="0.25">
      <c r="A56" s="189" t="s">
        <v>294</v>
      </c>
      <c r="B56" s="191">
        <v>-476.34</v>
      </c>
      <c r="C56" s="190">
        <v>202.81</v>
      </c>
      <c r="D56" s="191">
        <v>-27.49</v>
      </c>
      <c r="E56" s="190">
        <v>114.21</v>
      </c>
      <c r="F56" s="190">
        <v>4.55</v>
      </c>
      <c r="G56" s="190">
        <v>12.56</v>
      </c>
      <c r="H56" s="165"/>
    </row>
    <row r="57" spans="1:8" x14ac:dyDescent="0.25">
      <c r="A57" s="184" t="s">
        <v>169</v>
      </c>
      <c r="B57" s="163"/>
      <c r="C57" s="163"/>
      <c r="D57" s="163"/>
      <c r="E57" s="163"/>
      <c r="F57" s="163"/>
      <c r="G57" s="163"/>
      <c r="H57" s="163"/>
    </row>
    <row r="58" spans="1:8" x14ac:dyDescent="0.25">
      <c r="A58" s="182" t="s">
        <v>11</v>
      </c>
      <c r="B58" s="254">
        <v>-45.71</v>
      </c>
      <c r="C58" s="254">
        <v>-28.34</v>
      </c>
      <c r="D58" s="254">
        <v>-73.5</v>
      </c>
      <c r="E58" s="254">
        <v>-82.21</v>
      </c>
      <c r="F58" s="254">
        <v>-68.75</v>
      </c>
      <c r="G58" s="254">
        <v>-15.86</v>
      </c>
      <c r="H58" s="164"/>
    </row>
    <row r="59" spans="1:8" x14ac:dyDescent="0.25">
      <c r="A59" s="184" t="s">
        <v>142</v>
      </c>
      <c r="B59" s="187"/>
      <c r="C59" s="186" t="s">
        <v>500</v>
      </c>
      <c r="D59" s="186" t="s">
        <v>501</v>
      </c>
      <c r="E59" s="186" t="s">
        <v>502</v>
      </c>
      <c r="F59" s="186" t="s">
        <v>503</v>
      </c>
      <c r="G59" s="164"/>
      <c r="H59" s="187"/>
    </row>
    <row r="60" spans="1:8" x14ac:dyDescent="0.25">
      <c r="A60" s="184" t="s">
        <v>295</v>
      </c>
      <c r="B60" s="185" t="s">
        <v>504</v>
      </c>
      <c r="C60" s="185" t="s">
        <v>505</v>
      </c>
      <c r="D60" s="185" t="s">
        <v>506</v>
      </c>
      <c r="E60" s="185" t="s">
        <v>507</v>
      </c>
      <c r="F60" s="185" t="s">
        <v>508</v>
      </c>
      <c r="G60" s="185" t="s">
        <v>509</v>
      </c>
      <c r="H60" s="164"/>
    </row>
    <row r="61" spans="1:8" x14ac:dyDescent="0.25">
      <c r="A61" s="180" t="s">
        <v>296</v>
      </c>
      <c r="B61" s="181">
        <v>320.95999999999998</v>
      </c>
      <c r="C61" s="181">
        <v>118.15</v>
      </c>
      <c r="D61" s="181">
        <v>145.63999999999999</v>
      </c>
      <c r="E61" s="181">
        <v>31.43</v>
      </c>
      <c r="F61" s="181">
        <v>26.88</v>
      </c>
      <c r="G61" s="181">
        <v>14.32</v>
      </c>
      <c r="H61" s="164"/>
    </row>
    <row r="62" spans="1:8" x14ac:dyDescent="0.25">
      <c r="A62" s="180" t="s">
        <v>297</v>
      </c>
      <c r="B62" s="181">
        <v>149.02000000000001</v>
      </c>
      <c r="C62" s="181">
        <v>320.95999999999998</v>
      </c>
      <c r="D62" s="181">
        <v>118.15</v>
      </c>
      <c r="E62" s="181">
        <v>145.63999999999999</v>
      </c>
      <c r="F62" s="181">
        <v>31.43</v>
      </c>
      <c r="G62" s="181">
        <v>26.88</v>
      </c>
      <c r="H62" s="164"/>
    </row>
    <row r="63" spans="1:8" x14ac:dyDescent="0.25">
      <c r="A63" s="180" t="s">
        <v>298</v>
      </c>
      <c r="B63" s="181">
        <v>1.32</v>
      </c>
      <c r="C63" s="181">
        <v>3.63</v>
      </c>
      <c r="D63" s="181">
        <v>2.19</v>
      </c>
      <c r="E63" s="181">
        <v>0.79</v>
      </c>
      <c r="F63" s="181">
        <v>0.79</v>
      </c>
      <c r="G63" s="181">
        <v>0.81</v>
      </c>
      <c r="H63" s="164"/>
    </row>
    <row r="64" spans="1:8" x14ac:dyDescent="0.25">
      <c r="A64" s="180" t="s">
        <v>299</v>
      </c>
      <c r="B64" s="181">
        <v>1.72</v>
      </c>
      <c r="C64" s="181">
        <v>1.55</v>
      </c>
      <c r="D64" s="181">
        <v>0.7</v>
      </c>
      <c r="E64" s="181">
        <v>1.04</v>
      </c>
      <c r="F64" s="181">
        <v>1.3</v>
      </c>
      <c r="G64" s="181">
        <v>0.83</v>
      </c>
      <c r="H64" s="164"/>
    </row>
    <row r="65" spans="1:8" x14ac:dyDescent="0.25">
      <c r="A65" s="180" t="s">
        <v>300</v>
      </c>
      <c r="B65" s="192"/>
      <c r="C65" s="192"/>
      <c r="D65" s="192"/>
      <c r="E65" s="192"/>
      <c r="F65" s="192"/>
      <c r="G65" s="192"/>
      <c r="H65" s="192"/>
    </row>
    <row r="66" spans="1:8" x14ac:dyDescent="0.25">
      <c r="A66" s="180" t="s">
        <v>301</v>
      </c>
      <c r="B66" s="188">
        <v>-0.2</v>
      </c>
      <c r="C66" s="188">
        <v>-0.14000000000000001</v>
      </c>
      <c r="D66" s="188">
        <v>-0.31</v>
      </c>
      <c r="E66" s="188">
        <v>-0.66</v>
      </c>
      <c r="F66" s="188">
        <v>-0.96</v>
      </c>
      <c r="G66" s="188">
        <v>-0.26</v>
      </c>
      <c r="H66" s="164"/>
    </row>
  </sheetData>
  <mergeCells count="1">
    <mergeCell ref="A1:H1"/>
  </mergeCells>
  <hyperlinks>
    <hyperlink ref="H4" r:id="rId1" display="https://app.tikr.com/account/subs?ref=q5ht48" xr:uid="{733A10E2-C453-4316-B8D4-B858367ED11B}"/>
    <hyperlink ref="H5" r:id="rId2" display="https://app.tikr.com/account/subs?ref=q5ht48" xr:uid="{085EF37D-82BE-4BE5-AD4F-790C23109D10}"/>
    <hyperlink ref="H8" r:id="rId3" display="https://app.tikr.com/account/subs?ref=q5ht48" xr:uid="{4998B019-60B7-4E19-9382-D3314563D614}"/>
    <hyperlink ref="H9" r:id="rId4" display="https://app.tikr.com/account/subs?ref=q5ht48" xr:uid="{8BEDAE8F-CD27-4628-B603-32097AFBF405}"/>
    <hyperlink ref="H12" r:id="rId5" display="https://app.tikr.com/account/subs?ref=q5ht48" xr:uid="{47D890F9-AEB3-419B-96DA-E97378700C7D}"/>
    <hyperlink ref="H17" r:id="rId6" display="https://app.tikr.com/account/subs?ref=q5ht48" xr:uid="{70ED9E28-1E10-40CC-8408-5A351C85F970}"/>
    <hyperlink ref="H21" r:id="rId7" display="https://app.tikr.com/account/subs?ref=q5ht48" xr:uid="{39C6AECF-8D0E-4763-8B3C-83E8D5E501FA}"/>
    <hyperlink ref="H23" r:id="rId8" display="https://app.tikr.com/account/subs?ref=q5ht48" xr:uid="{B8415ECD-D664-4494-ABED-90C3F645AA31}"/>
    <hyperlink ref="H25" r:id="rId9" display="https://app.tikr.com/account/subs?ref=q5ht48" xr:uid="{911B3CFC-5E3E-411F-805C-42C3CC3905AF}"/>
    <hyperlink ref="H26" r:id="rId10" display="https://app.tikr.com/account/subs?ref=q5ht48" xr:uid="{55E215E9-0D0E-4E2E-B0CF-71E9F9CD5308}"/>
    <hyperlink ref="H29" r:id="rId11" display="https://app.tikr.com/account/subs?ref=q5ht48" xr:uid="{CF67B5DE-541C-4EDB-8B89-06AA2A8D1C5D}"/>
    <hyperlink ref="H30" r:id="rId12" display="https://app.tikr.com/account/subs?ref=q5ht48" xr:uid="{D0471263-8591-46C9-AC3E-899EEB251FC9}"/>
    <hyperlink ref="H31" r:id="rId13" display="https://app.tikr.com/account/subs?ref=q5ht48" xr:uid="{3626D797-6D98-4F54-96AF-064FBFB1E609}"/>
    <hyperlink ref="H32" r:id="rId14" display="https://app.tikr.com/account/subs?ref=q5ht48" xr:uid="{5DE2DA9B-3AED-45D4-B40C-E8DC650A2E99}"/>
    <hyperlink ref="H34" r:id="rId15" display="https://app.tikr.com/account/subs?ref=q5ht48" xr:uid="{EEA11191-6674-46FC-83AE-23F7BF3FDDA6}"/>
    <hyperlink ref="H37" r:id="rId16" display="https://app.tikr.com/account/subs?ref=q5ht48" xr:uid="{8E86F4B1-9191-407C-A13E-949A23D52320}"/>
    <hyperlink ref="H38" r:id="rId17" display="https://app.tikr.com/account/subs?ref=q5ht48" xr:uid="{D9431E0E-BF30-40A3-B940-F5B853AAD0F1}"/>
    <hyperlink ref="H40" r:id="rId18" display="https://app.tikr.com/account/subs?ref=q5ht48" xr:uid="{4596E24F-8074-44BF-B20F-D04BF58DB45A}"/>
    <hyperlink ref="H41" r:id="rId19" display="https://app.tikr.com/account/subs?ref=q5ht48" xr:uid="{05EA0C8B-49C3-4D3A-98CA-760DC3F8FF19}"/>
    <hyperlink ref="H42" r:id="rId20" display="https://app.tikr.com/account/subs?ref=q5ht48" xr:uid="{7E97876D-8DA4-44F6-9471-347FD7295E60}"/>
    <hyperlink ref="H43" r:id="rId21" display="https://app.tikr.com/account/subs?ref=q5ht48" xr:uid="{F83D6D8B-DCA9-4D40-8710-CF812E54F519}"/>
    <hyperlink ref="H44" r:id="rId22" display="https://app.tikr.com/account/subs?ref=q5ht48" xr:uid="{6D154D8B-847F-4444-9B0D-8B77E69DF6F9}"/>
    <hyperlink ref="H45" r:id="rId23" display="https://app.tikr.com/account/subs?ref=q5ht48" xr:uid="{D57D0C9F-DFBA-413A-BC14-1C23E6C833A1}"/>
    <hyperlink ref="H53" r:id="rId24" display="https://app.tikr.com/account/subs?ref=q5ht48" xr:uid="{17E3844A-37E8-4F5E-B986-92E448D7BF58}"/>
    <hyperlink ref="H56" r:id="rId25" display="https://app.tikr.com/account/subs?ref=q5ht48" xr:uid="{A67F5994-30D7-4126-9A2E-94FC7A228BDD}"/>
    <hyperlink ref="H58" r:id="rId26" display="https://app.tikr.com/account/subs?ref=q5ht48" xr:uid="{BCD03665-6AC3-4AB4-B909-601A75772EAA}"/>
    <hyperlink ref="G59" r:id="rId27" display="https://app.tikr.com/account/subs?ref=q5ht48" xr:uid="{16D0A008-79FF-4CEF-A9A1-79D2D7907902}"/>
    <hyperlink ref="H60" r:id="rId28" display="https://app.tikr.com/account/subs?ref=q5ht48" xr:uid="{D42B5E7B-1B77-4CBA-9780-7231728076B9}"/>
    <hyperlink ref="H61" r:id="rId29" display="https://app.tikr.com/account/subs?ref=q5ht48" xr:uid="{A226788E-77CF-48AE-83B3-CACC230F4511}"/>
    <hyperlink ref="H62" r:id="rId30" display="https://app.tikr.com/account/subs?ref=q5ht48" xr:uid="{7EAE7169-23B3-48E1-82B6-6D657E51D0DD}"/>
    <hyperlink ref="H63" r:id="rId31" display="https://app.tikr.com/account/subs?ref=q5ht48" xr:uid="{226EA647-6ECE-49BB-B00D-09EC698F3CB9}"/>
    <hyperlink ref="H64" r:id="rId32" display="https://app.tikr.com/account/subs?ref=q5ht48" xr:uid="{25F1ADDB-D2B2-423C-80D3-50A4FE11220D}"/>
    <hyperlink ref="H66" r:id="rId33" display="https://app.tikr.com/account/subs?ref=q5ht48" xr:uid="{B53D00D7-2AAC-423B-8FF9-9BEB7FFF343E}"/>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28BF4-5D7C-477A-AE14-235C4BFEAE19}">
  <sheetPr codeName="Hoja12"/>
  <dimension ref="A1:H72"/>
  <sheetViews>
    <sheetView workbookViewId="0">
      <selection sqref="A1:H72"/>
    </sheetView>
  </sheetViews>
  <sheetFormatPr baseColWidth="10" defaultRowHeight="15" x14ac:dyDescent="0.25"/>
  <cols>
    <col min="1" max="1" width="55.42578125" bestFit="1" customWidth="1"/>
  </cols>
  <sheetData>
    <row r="1" spans="1:8" x14ac:dyDescent="0.25">
      <c r="A1" s="244"/>
      <c r="B1" s="244"/>
      <c r="C1" s="244"/>
      <c r="D1" s="244"/>
      <c r="E1" s="244"/>
      <c r="F1" s="244"/>
      <c r="G1" s="244"/>
      <c r="H1" s="244"/>
    </row>
    <row r="2" spans="1:8" x14ac:dyDescent="0.25">
      <c r="A2" s="178" t="s">
        <v>382</v>
      </c>
      <c r="B2" s="178" t="s">
        <v>139</v>
      </c>
      <c r="C2" s="179">
        <v>44561</v>
      </c>
      <c r="D2" s="179">
        <v>44196</v>
      </c>
      <c r="E2" s="179">
        <v>43830</v>
      </c>
      <c r="F2" s="179">
        <v>43465</v>
      </c>
      <c r="G2" s="179">
        <v>43100</v>
      </c>
      <c r="H2" s="179">
        <v>42735</v>
      </c>
    </row>
    <row r="3" spans="1:8" x14ac:dyDescent="0.25">
      <c r="A3" s="163"/>
      <c r="B3" s="163"/>
      <c r="C3" s="163"/>
      <c r="D3" s="163"/>
      <c r="E3" s="163"/>
      <c r="F3" s="163"/>
      <c r="G3" s="163"/>
      <c r="H3" s="163"/>
    </row>
    <row r="4" spans="1:8" x14ac:dyDescent="0.25">
      <c r="A4" s="182" t="s">
        <v>383</v>
      </c>
      <c r="B4" s="163"/>
      <c r="C4" s="163"/>
      <c r="D4" s="163"/>
      <c r="E4" s="163"/>
      <c r="F4" s="163"/>
      <c r="G4" s="163"/>
      <c r="H4" s="163"/>
    </row>
    <row r="5" spans="1:8" x14ac:dyDescent="0.25">
      <c r="A5" s="180" t="s">
        <v>30</v>
      </c>
      <c r="B5" s="188" t="s">
        <v>495</v>
      </c>
      <c r="C5" s="188" t="s">
        <v>510</v>
      </c>
      <c r="D5" s="188" t="s">
        <v>511</v>
      </c>
      <c r="E5" s="188" t="s">
        <v>512</v>
      </c>
      <c r="F5" s="188" t="s">
        <v>513</v>
      </c>
      <c r="G5" s="192"/>
      <c r="H5" s="192"/>
    </row>
    <row r="6" spans="1:8" x14ac:dyDescent="0.25">
      <c r="A6" s="180" t="s">
        <v>384</v>
      </c>
      <c r="B6" s="188" t="s">
        <v>514</v>
      </c>
      <c r="C6" s="188" t="s">
        <v>515</v>
      </c>
      <c r="D6" s="188" t="s">
        <v>516</v>
      </c>
      <c r="E6" s="188" t="s">
        <v>517</v>
      </c>
      <c r="F6" s="188" t="s">
        <v>518</v>
      </c>
      <c r="G6" s="188" t="s">
        <v>519</v>
      </c>
      <c r="H6" s="192"/>
    </row>
    <row r="7" spans="1:8" x14ac:dyDescent="0.25">
      <c r="A7" s="180" t="s">
        <v>385</v>
      </c>
      <c r="B7" s="188" t="s">
        <v>520</v>
      </c>
      <c r="C7" s="188" t="s">
        <v>521</v>
      </c>
      <c r="D7" s="188" t="s">
        <v>522</v>
      </c>
      <c r="E7" s="188" t="s">
        <v>523</v>
      </c>
      <c r="F7" s="188" t="s">
        <v>524</v>
      </c>
      <c r="G7" s="192"/>
      <c r="H7" s="192"/>
    </row>
    <row r="8" spans="1:8" x14ac:dyDescent="0.25">
      <c r="A8" s="180" t="s">
        <v>386</v>
      </c>
      <c r="B8" s="188" t="s">
        <v>520</v>
      </c>
      <c r="C8" s="188" t="s">
        <v>521</v>
      </c>
      <c r="D8" s="188" t="s">
        <v>522</v>
      </c>
      <c r="E8" s="188" t="s">
        <v>525</v>
      </c>
      <c r="F8" s="181" t="s">
        <v>526</v>
      </c>
      <c r="G8" s="192"/>
      <c r="H8" s="192"/>
    </row>
    <row r="9" spans="1:8" x14ac:dyDescent="0.25">
      <c r="A9" s="182" t="s">
        <v>387</v>
      </c>
      <c r="B9" s="163"/>
      <c r="C9" s="163"/>
      <c r="D9" s="163"/>
      <c r="E9" s="163"/>
      <c r="F9" s="163"/>
      <c r="G9" s="163"/>
      <c r="H9" s="163"/>
    </row>
    <row r="10" spans="1:8" x14ac:dyDescent="0.25">
      <c r="A10" s="180" t="s">
        <v>388</v>
      </c>
      <c r="B10" s="181" t="s">
        <v>461</v>
      </c>
      <c r="C10" s="181" t="s">
        <v>462</v>
      </c>
      <c r="D10" s="181" t="s">
        <v>463</v>
      </c>
      <c r="E10" s="181" t="s">
        <v>464</v>
      </c>
      <c r="F10" s="181" t="s">
        <v>465</v>
      </c>
      <c r="G10" s="181" t="s">
        <v>466</v>
      </c>
      <c r="H10" s="164"/>
    </row>
    <row r="11" spans="1:8" x14ac:dyDescent="0.25">
      <c r="A11" s="180" t="s">
        <v>389</v>
      </c>
      <c r="B11" s="181" t="s">
        <v>527</v>
      </c>
      <c r="C11" s="181" t="s">
        <v>528</v>
      </c>
      <c r="D11" s="181" t="s">
        <v>529</v>
      </c>
      <c r="E11" s="181" t="s">
        <v>530</v>
      </c>
      <c r="F11" s="181" t="s">
        <v>531</v>
      </c>
      <c r="G11" s="181" t="s">
        <v>532</v>
      </c>
      <c r="H11" s="164"/>
    </row>
    <row r="12" spans="1:8" x14ac:dyDescent="0.25">
      <c r="A12" s="180" t="s">
        <v>81</v>
      </c>
      <c r="B12" s="188" t="s">
        <v>533</v>
      </c>
      <c r="C12" s="188" t="s">
        <v>534</v>
      </c>
      <c r="D12" s="188" t="s">
        <v>522</v>
      </c>
      <c r="E12" s="188" t="s">
        <v>535</v>
      </c>
      <c r="F12" s="188" t="s">
        <v>536</v>
      </c>
      <c r="G12" s="181" t="s">
        <v>537</v>
      </c>
      <c r="H12" s="164"/>
    </row>
    <row r="13" spans="1:8" x14ac:dyDescent="0.25">
      <c r="A13" s="180" t="s">
        <v>390</v>
      </c>
      <c r="B13" s="188" t="s">
        <v>471</v>
      </c>
      <c r="C13" s="188" t="s">
        <v>472</v>
      </c>
      <c r="D13" s="188" t="s">
        <v>473</v>
      </c>
      <c r="E13" s="188" t="s">
        <v>474</v>
      </c>
      <c r="F13" s="188" t="s">
        <v>475</v>
      </c>
      <c r="G13" s="188" t="s">
        <v>476</v>
      </c>
      <c r="H13" s="164"/>
    </row>
    <row r="14" spans="1:8" x14ac:dyDescent="0.25">
      <c r="A14" s="180" t="s">
        <v>391</v>
      </c>
      <c r="B14" s="188" t="s">
        <v>471</v>
      </c>
      <c r="C14" s="188" t="s">
        <v>472</v>
      </c>
      <c r="D14" s="188" t="s">
        <v>473</v>
      </c>
      <c r="E14" s="188" t="s">
        <v>474</v>
      </c>
      <c r="F14" s="188" t="s">
        <v>475</v>
      </c>
      <c r="G14" s="188" t="s">
        <v>476</v>
      </c>
      <c r="H14" s="164"/>
    </row>
    <row r="15" spans="1:8" x14ac:dyDescent="0.25">
      <c r="A15" s="180" t="s">
        <v>392</v>
      </c>
      <c r="B15" s="192"/>
      <c r="C15" s="192"/>
      <c r="D15" s="192"/>
      <c r="E15" s="192"/>
      <c r="F15" s="192"/>
      <c r="G15" s="192"/>
      <c r="H15" s="192"/>
    </row>
    <row r="16" spans="1:8" x14ac:dyDescent="0.25">
      <c r="A16" s="180" t="s">
        <v>393</v>
      </c>
      <c r="B16" s="192"/>
      <c r="C16" s="192"/>
      <c r="D16" s="192"/>
      <c r="E16" s="192"/>
      <c r="F16" s="192"/>
      <c r="G16" s="192"/>
      <c r="H16" s="192"/>
    </row>
    <row r="17" spans="1:8" x14ac:dyDescent="0.25">
      <c r="A17" s="180" t="s">
        <v>394</v>
      </c>
      <c r="B17" s="188" t="s">
        <v>477</v>
      </c>
      <c r="C17" s="188" t="s">
        <v>478</v>
      </c>
      <c r="D17" s="188" t="s">
        <v>479</v>
      </c>
      <c r="E17" s="188" t="s">
        <v>480</v>
      </c>
      <c r="F17" s="188" t="s">
        <v>481</v>
      </c>
      <c r="G17" s="188" t="s">
        <v>482</v>
      </c>
      <c r="H17" s="164"/>
    </row>
    <row r="18" spans="1:8" x14ac:dyDescent="0.25">
      <c r="A18" s="180" t="s">
        <v>395</v>
      </c>
      <c r="B18" s="188" t="s">
        <v>477</v>
      </c>
      <c r="C18" s="188" t="s">
        <v>478</v>
      </c>
      <c r="D18" s="188" t="s">
        <v>479</v>
      </c>
      <c r="E18" s="188" t="s">
        <v>480</v>
      </c>
      <c r="F18" s="188" t="s">
        <v>481</v>
      </c>
      <c r="G18" s="188" t="s">
        <v>482</v>
      </c>
      <c r="H18" s="164"/>
    </row>
    <row r="19" spans="1:8" x14ac:dyDescent="0.25">
      <c r="A19" s="180" t="s">
        <v>396</v>
      </c>
      <c r="B19" s="188" t="s">
        <v>538</v>
      </c>
      <c r="C19" s="188" t="s">
        <v>539</v>
      </c>
      <c r="D19" s="188" t="s">
        <v>540</v>
      </c>
      <c r="E19" s="188" t="s">
        <v>541</v>
      </c>
      <c r="F19" s="188" t="s">
        <v>542</v>
      </c>
      <c r="G19" s="188" t="s">
        <v>353</v>
      </c>
      <c r="H19" s="164"/>
    </row>
    <row r="20" spans="1:8" x14ac:dyDescent="0.25">
      <c r="A20" s="180" t="s">
        <v>397</v>
      </c>
      <c r="B20" s="188" t="s">
        <v>477</v>
      </c>
      <c r="C20" s="188" t="s">
        <v>478</v>
      </c>
      <c r="D20" s="188" t="s">
        <v>479</v>
      </c>
      <c r="E20" s="188" t="s">
        <v>480</v>
      </c>
      <c r="F20" s="188" t="s">
        <v>481</v>
      </c>
      <c r="G20" s="188" t="s">
        <v>482</v>
      </c>
      <c r="H20" s="164"/>
    </row>
    <row r="21" spans="1:8" x14ac:dyDescent="0.25">
      <c r="A21" s="180" t="s">
        <v>398</v>
      </c>
      <c r="B21" s="181" t="s">
        <v>543</v>
      </c>
      <c r="C21" s="181" t="s">
        <v>544</v>
      </c>
      <c r="D21" s="188" t="s">
        <v>545</v>
      </c>
      <c r="E21" s="188" t="s">
        <v>546</v>
      </c>
      <c r="F21" s="188" t="s">
        <v>547</v>
      </c>
      <c r="G21" s="192"/>
      <c r="H21" s="192"/>
    </row>
    <row r="22" spans="1:8" x14ac:dyDescent="0.25">
      <c r="A22" s="180" t="s">
        <v>399</v>
      </c>
      <c r="B22" s="181" t="s">
        <v>548</v>
      </c>
      <c r="C22" s="181" t="s">
        <v>549</v>
      </c>
      <c r="D22" s="188" t="s">
        <v>550</v>
      </c>
      <c r="E22" s="188" t="s">
        <v>533</v>
      </c>
      <c r="F22" s="188" t="s">
        <v>551</v>
      </c>
      <c r="G22" s="192"/>
      <c r="H22" s="192"/>
    </row>
    <row r="23" spans="1:8" x14ac:dyDescent="0.25">
      <c r="A23" s="182" t="s">
        <v>400</v>
      </c>
      <c r="B23" s="163"/>
      <c r="C23" s="163"/>
      <c r="D23" s="163"/>
      <c r="E23" s="163"/>
      <c r="F23" s="163"/>
      <c r="G23" s="163"/>
      <c r="H23" s="163"/>
    </row>
    <row r="24" spans="1:8" x14ac:dyDescent="0.25">
      <c r="A24" s="180" t="s">
        <v>401</v>
      </c>
      <c r="B24" s="181">
        <v>0.36</v>
      </c>
      <c r="C24" s="181">
        <v>0.28000000000000003</v>
      </c>
      <c r="D24" s="181">
        <v>0.31</v>
      </c>
      <c r="E24" s="181">
        <v>0.35</v>
      </c>
      <c r="F24" s="181">
        <v>0.65</v>
      </c>
      <c r="G24" s="181">
        <v>0.83</v>
      </c>
      <c r="H24" s="192"/>
    </row>
    <row r="25" spans="1:8" x14ac:dyDescent="0.25">
      <c r="A25" s="180" t="s">
        <v>402</v>
      </c>
      <c r="B25" s="181">
        <v>2.65</v>
      </c>
      <c r="C25" s="181">
        <v>2.73</v>
      </c>
      <c r="D25" s="181">
        <v>3.22</v>
      </c>
      <c r="E25" s="181">
        <v>3.29</v>
      </c>
      <c r="F25" s="181">
        <v>3.09</v>
      </c>
      <c r="G25" s="192"/>
      <c r="H25" s="192"/>
    </row>
    <row r="26" spans="1:8" x14ac:dyDescent="0.25">
      <c r="A26" s="180" t="s">
        <v>77</v>
      </c>
      <c r="B26" s="181">
        <v>7.99</v>
      </c>
      <c r="C26" s="181">
        <v>7.78</v>
      </c>
      <c r="D26" s="181">
        <v>8.3699999999999992</v>
      </c>
      <c r="E26" s="181">
        <v>9.16</v>
      </c>
      <c r="F26" s="181">
        <v>9.1999999999999993</v>
      </c>
      <c r="G26" s="192"/>
      <c r="H26" s="192"/>
    </row>
    <row r="27" spans="1:8" x14ac:dyDescent="0.25">
      <c r="A27" s="180" t="s">
        <v>74</v>
      </c>
      <c r="B27" s="192"/>
      <c r="C27" s="192"/>
      <c r="D27" s="192"/>
      <c r="E27" s="192"/>
      <c r="F27" s="192"/>
      <c r="G27" s="192"/>
      <c r="H27" s="192"/>
    </row>
    <row r="28" spans="1:8" x14ac:dyDescent="0.25">
      <c r="A28" s="180" t="s">
        <v>403</v>
      </c>
      <c r="B28" s="181">
        <v>0.61</v>
      </c>
      <c r="C28" s="181">
        <v>0.39</v>
      </c>
      <c r="D28" s="181">
        <v>0.44</v>
      </c>
      <c r="E28" s="181">
        <v>0.47</v>
      </c>
      <c r="F28" s="181">
        <v>1.42</v>
      </c>
      <c r="G28" s="181">
        <v>2.08</v>
      </c>
      <c r="H28" s="192"/>
    </row>
    <row r="29" spans="1:8" x14ac:dyDescent="0.25">
      <c r="A29" s="182" t="s">
        <v>404</v>
      </c>
      <c r="B29" s="163"/>
      <c r="C29" s="163"/>
      <c r="D29" s="163"/>
      <c r="E29" s="163"/>
      <c r="F29" s="163"/>
      <c r="G29" s="163"/>
      <c r="H29" s="163"/>
    </row>
    <row r="30" spans="1:8" x14ac:dyDescent="0.25">
      <c r="A30" s="180" t="s">
        <v>112</v>
      </c>
      <c r="B30" s="181">
        <v>5.35</v>
      </c>
      <c r="C30" s="181">
        <v>6.78</v>
      </c>
      <c r="D30" s="181">
        <v>7.99</v>
      </c>
      <c r="E30" s="181">
        <v>8.2200000000000006</v>
      </c>
      <c r="F30" s="181">
        <v>3.21</v>
      </c>
      <c r="G30" s="181">
        <v>3.39</v>
      </c>
      <c r="H30" s="192"/>
    </row>
    <row r="31" spans="1:8" x14ac:dyDescent="0.25">
      <c r="A31" s="180" t="s">
        <v>405</v>
      </c>
      <c r="B31" s="181">
        <v>5.22</v>
      </c>
      <c r="C31" s="181">
        <v>6.67</v>
      </c>
      <c r="D31" s="181">
        <v>7.77</v>
      </c>
      <c r="E31" s="181">
        <v>8.0500000000000007</v>
      </c>
      <c r="F31" s="181">
        <v>3.1</v>
      </c>
      <c r="G31" s="181">
        <v>3.26</v>
      </c>
      <c r="H31" s="192"/>
    </row>
    <row r="32" spans="1:8" x14ac:dyDescent="0.25">
      <c r="A32" s="180" t="s">
        <v>406</v>
      </c>
      <c r="B32" s="192"/>
      <c r="C32" s="192"/>
      <c r="D32" s="192"/>
      <c r="E32" s="192"/>
      <c r="F32" s="192"/>
      <c r="G32" s="192"/>
      <c r="H32" s="192"/>
    </row>
    <row r="33" spans="1:8" x14ac:dyDescent="0.25">
      <c r="A33" s="180" t="s">
        <v>407</v>
      </c>
      <c r="B33" s="192"/>
      <c r="C33" s="192"/>
      <c r="D33" s="192"/>
      <c r="E33" s="192"/>
      <c r="F33" s="192"/>
      <c r="G33" s="192"/>
      <c r="H33" s="192"/>
    </row>
    <row r="34" spans="1:8" x14ac:dyDescent="0.25">
      <c r="A34" s="180" t="s">
        <v>408</v>
      </c>
      <c r="B34" s="181">
        <v>0.25</v>
      </c>
      <c r="C34" s="181">
        <v>0.22</v>
      </c>
      <c r="D34" s="188">
        <v>-0.12</v>
      </c>
      <c r="E34" s="188">
        <v>-0.46</v>
      </c>
      <c r="F34" s="188">
        <v>-0.71</v>
      </c>
      <c r="G34" s="181">
        <v>0.12</v>
      </c>
      <c r="H34" s="192"/>
    </row>
    <row r="35" spans="1:8" x14ac:dyDescent="0.25">
      <c r="A35" s="180" t="s">
        <v>409</v>
      </c>
      <c r="B35" s="192"/>
      <c r="C35" s="192"/>
      <c r="D35" s="192"/>
      <c r="E35" s="192"/>
      <c r="F35" s="192"/>
      <c r="G35" s="192"/>
      <c r="H35" s="192"/>
    </row>
    <row r="36" spans="1:8" x14ac:dyDescent="0.25">
      <c r="A36" s="180" t="s">
        <v>410</v>
      </c>
      <c r="B36" s="181">
        <v>45.69</v>
      </c>
      <c r="C36" s="181">
        <v>46.89</v>
      </c>
      <c r="D36" s="181">
        <v>43.71</v>
      </c>
      <c r="E36" s="181">
        <v>39.83</v>
      </c>
      <c r="F36" s="181">
        <v>39.68</v>
      </c>
      <c r="G36" s="192"/>
      <c r="H36" s="192"/>
    </row>
    <row r="37" spans="1:8" x14ac:dyDescent="0.25">
      <c r="A37" s="180" t="s">
        <v>411</v>
      </c>
      <c r="B37" s="192"/>
      <c r="C37" s="192"/>
      <c r="D37" s="192"/>
      <c r="E37" s="192"/>
      <c r="F37" s="192"/>
      <c r="G37" s="192"/>
      <c r="H37" s="192"/>
    </row>
    <row r="38" spans="1:8" x14ac:dyDescent="0.25">
      <c r="A38" s="180" t="s">
        <v>412</v>
      </c>
      <c r="B38" s="181">
        <v>64.95</v>
      </c>
      <c r="C38" s="181">
        <v>50.32</v>
      </c>
      <c r="D38" s="181">
        <v>46.99</v>
      </c>
      <c r="E38" s="181">
        <v>74.09</v>
      </c>
      <c r="F38" s="181">
        <v>79.69</v>
      </c>
      <c r="G38" s="192"/>
      <c r="H38" s="192"/>
    </row>
    <row r="39" spans="1:8" x14ac:dyDescent="0.25">
      <c r="A39" s="182" t="s">
        <v>413</v>
      </c>
      <c r="B39" s="163"/>
      <c r="C39" s="163"/>
      <c r="D39" s="163"/>
      <c r="E39" s="163"/>
      <c r="F39" s="163"/>
      <c r="G39" s="163"/>
      <c r="H39" s="163"/>
    </row>
    <row r="40" spans="1:8" x14ac:dyDescent="0.25">
      <c r="A40" s="180" t="s">
        <v>414</v>
      </c>
      <c r="B40" s="181" t="s">
        <v>552</v>
      </c>
      <c r="C40" s="181" t="s">
        <v>553</v>
      </c>
      <c r="D40" s="181" t="s">
        <v>554</v>
      </c>
      <c r="E40" s="181" t="s">
        <v>555</v>
      </c>
      <c r="F40" s="181" t="s">
        <v>556</v>
      </c>
      <c r="G40" s="181" t="s">
        <v>557</v>
      </c>
      <c r="H40" s="192"/>
    </row>
    <row r="41" spans="1:8" x14ac:dyDescent="0.25">
      <c r="A41" s="180" t="s">
        <v>415</v>
      </c>
      <c r="B41" s="181" t="s">
        <v>558</v>
      </c>
      <c r="C41" s="181" t="s">
        <v>500</v>
      </c>
      <c r="D41" s="181" t="s">
        <v>559</v>
      </c>
      <c r="E41" s="181" t="s">
        <v>555</v>
      </c>
      <c r="F41" s="181" t="s">
        <v>560</v>
      </c>
      <c r="G41" s="181" t="s">
        <v>561</v>
      </c>
      <c r="H41" s="192"/>
    </row>
    <row r="42" spans="1:8" x14ac:dyDescent="0.25">
      <c r="A42" s="180" t="s">
        <v>416</v>
      </c>
      <c r="B42" s="181" t="s">
        <v>562</v>
      </c>
      <c r="C42" s="181" t="s">
        <v>563</v>
      </c>
      <c r="D42" s="181" t="s">
        <v>564</v>
      </c>
      <c r="E42" s="181" t="s">
        <v>565</v>
      </c>
      <c r="F42" s="181" t="s">
        <v>447</v>
      </c>
      <c r="G42" s="181" t="s">
        <v>566</v>
      </c>
      <c r="H42" s="192"/>
    </row>
    <row r="43" spans="1:8" x14ac:dyDescent="0.25">
      <c r="A43" s="180" t="s">
        <v>417</v>
      </c>
      <c r="B43" s="188">
        <v>-9.4600000000000009</v>
      </c>
      <c r="C43" s="188">
        <v>-2.59</v>
      </c>
      <c r="D43" s="188">
        <v>-4.03</v>
      </c>
      <c r="E43" s="188">
        <v>-97.07</v>
      </c>
      <c r="F43" s="188">
        <v>-85.58</v>
      </c>
      <c r="G43" s="188">
        <v>-11.29</v>
      </c>
      <c r="H43" s="164"/>
    </row>
    <row r="44" spans="1:8" x14ac:dyDescent="0.25">
      <c r="A44" s="180" t="s">
        <v>418</v>
      </c>
      <c r="B44" s="188">
        <v>-4.76</v>
      </c>
      <c r="C44" s="188">
        <v>-1.17</v>
      </c>
      <c r="D44" s="188">
        <v>-2.0099999999999998</v>
      </c>
      <c r="E44" s="188">
        <v>-76.680000000000007</v>
      </c>
      <c r="F44" s="188">
        <v>-70.36</v>
      </c>
      <c r="G44" s="181">
        <v>1.1399999999999999</v>
      </c>
      <c r="H44" s="164"/>
    </row>
    <row r="45" spans="1:8" x14ac:dyDescent="0.25">
      <c r="A45" s="180" t="s">
        <v>419</v>
      </c>
      <c r="B45" s="188">
        <v>-11.28</v>
      </c>
      <c r="C45" s="188">
        <v>-3.06</v>
      </c>
      <c r="D45" s="188">
        <v>-4.26</v>
      </c>
      <c r="E45" s="188">
        <v>-115.61</v>
      </c>
      <c r="F45" s="188">
        <v>-96.03</v>
      </c>
      <c r="G45" s="188">
        <v>-20.94</v>
      </c>
      <c r="H45" s="164"/>
    </row>
    <row r="46" spans="1:8" x14ac:dyDescent="0.25">
      <c r="A46" s="180" t="s">
        <v>420</v>
      </c>
      <c r="B46" s="164"/>
      <c r="C46" s="164"/>
      <c r="D46" s="164"/>
      <c r="E46" s="164"/>
      <c r="F46" s="164"/>
      <c r="G46" s="164"/>
      <c r="H46" s="164"/>
    </row>
    <row r="47" spans="1:8" x14ac:dyDescent="0.25">
      <c r="A47" s="180" t="s">
        <v>421</v>
      </c>
      <c r="B47" s="164"/>
      <c r="C47" s="164"/>
      <c r="D47" s="164"/>
      <c r="E47" s="164"/>
      <c r="F47" s="164"/>
      <c r="G47" s="164"/>
      <c r="H47" s="192"/>
    </row>
    <row r="48" spans="1:8" x14ac:dyDescent="0.25">
      <c r="A48" s="180" t="s">
        <v>422</v>
      </c>
      <c r="B48" s="188">
        <v>-16.29</v>
      </c>
      <c r="C48" s="188">
        <v>-22.49</v>
      </c>
      <c r="D48" s="188">
        <v>-8.5500000000000007</v>
      </c>
      <c r="E48" s="188">
        <v>-0.12</v>
      </c>
      <c r="F48" s="188">
        <v>-0.15</v>
      </c>
      <c r="G48" s="181">
        <v>11.12</v>
      </c>
      <c r="H48" s="192"/>
    </row>
    <row r="49" spans="1:8" x14ac:dyDescent="0.25">
      <c r="A49" s="180" t="s">
        <v>423</v>
      </c>
      <c r="B49" s="181">
        <v>0.71</v>
      </c>
      <c r="C49" s="181">
        <v>9.19</v>
      </c>
      <c r="D49" s="181">
        <v>12.05</v>
      </c>
      <c r="E49" s="181">
        <v>7.38</v>
      </c>
      <c r="F49" s="181">
        <v>2.19</v>
      </c>
      <c r="G49" s="188">
        <v>-63.63</v>
      </c>
      <c r="H49" s="192"/>
    </row>
    <row r="50" spans="1:8" x14ac:dyDescent="0.25">
      <c r="A50" s="180" t="s">
        <v>424</v>
      </c>
      <c r="B50" s="181">
        <v>0.3</v>
      </c>
      <c r="C50" s="181">
        <v>3.51</v>
      </c>
      <c r="D50" s="181">
        <v>5.67</v>
      </c>
      <c r="E50" s="181">
        <v>4.8899999999999997</v>
      </c>
      <c r="F50" s="181">
        <v>1.6</v>
      </c>
      <c r="G50" s="181">
        <v>3.46</v>
      </c>
      <c r="H50" s="192"/>
    </row>
    <row r="51" spans="1:8" x14ac:dyDescent="0.25">
      <c r="A51" s="182" t="s">
        <v>425</v>
      </c>
      <c r="B51" s="163"/>
      <c r="C51" s="163"/>
      <c r="D51" s="163"/>
      <c r="E51" s="163"/>
      <c r="F51" s="163"/>
      <c r="G51" s="163"/>
      <c r="H51" s="163"/>
    </row>
    <row r="52" spans="1:8" x14ac:dyDescent="0.25">
      <c r="A52" s="180" t="s">
        <v>426</v>
      </c>
      <c r="B52" s="192"/>
      <c r="C52" s="192"/>
      <c r="D52" s="192"/>
      <c r="E52" s="192"/>
      <c r="F52" s="192"/>
      <c r="G52" s="192"/>
      <c r="H52" s="192"/>
    </row>
    <row r="53" spans="1:8" x14ac:dyDescent="0.25">
      <c r="A53" s="180" t="s">
        <v>427</v>
      </c>
      <c r="B53" s="192"/>
      <c r="C53" s="192"/>
      <c r="D53" s="192"/>
      <c r="E53" s="192"/>
      <c r="F53" s="192"/>
      <c r="G53" s="192"/>
      <c r="H53" s="192"/>
    </row>
    <row r="54" spans="1:8" x14ac:dyDescent="0.25">
      <c r="A54" s="180" t="s">
        <v>428</v>
      </c>
      <c r="B54" s="192"/>
      <c r="C54" s="192"/>
      <c r="D54" s="192"/>
      <c r="E54" s="192"/>
      <c r="F54" s="192"/>
      <c r="G54" s="192"/>
      <c r="H54" s="192"/>
    </row>
    <row r="55" spans="1:8" x14ac:dyDescent="0.25">
      <c r="A55" s="180" t="s">
        <v>429</v>
      </c>
      <c r="B55" s="192"/>
      <c r="C55" s="192"/>
      <c r="D55" s="192"/>
      <c r="E55" s="192"/>
      <c r="F55" s="192"/>
      <c r="G55" s="192"/>
      <c r="H55" s="192"/>
    </row>
    <row r="56" spans="1:8" x14ac:dyDescent="0.25">
      <c r="A56" s="180" t="s">
        <v>430</v>
      </c>
      <c r="B56" s="192"/>
      <c r="C56" s="192"/>
      <c r="D56" s="192"/>
      <c r="E56" s="192"/>
      <c r="F56" s="192"/>
      <c r="G56" s="192"/>
      <c r="H56" s="192"/>
    </row>
    <row r="57" spans="1:8" x14ac:dyDescent="0.25">
      <c r="A57" s="180" t="s">
        <v>431</v>
      </c>
      <c r="B57" s="192"/>
      <c r="C57" s="192"/>
      <c r="D57" s="192"/>
      <c r="E57" s="192"/>
      <c r="F57" s="192"/>
      <c r="G57" s="192"/>
      <c r="H57" s="192"/>
    </row>
    <row r="58" spans="1:8" x14ac:dyDescent="0.25">
      <c r="A58" s="180" t="s">
        <v>432</v>
      </c>
      <c r="B58" s="192"/>
      <c r="C58" s="192"/>
      <c r="D58" s="192"/>
      <c r="E58" s="192"/>
      <c r="F58" s="192"/>
      <c r="G58" s="192"/>
      <c r="H58" s="192"/>
    </row>
    <row r="59" spans="1:8" x14ac:dyDescent="0.25">
      <c r="A59" s="180" t="s">
        <v>433</v>
      </c>
      <c r="B59" s="192"/>
      <c r="C59" s="192"/>
      <c r="D59" s="192"/>
      <c r="E59" s="192"/>
      <c r="F59" s="192"/>
      <c r="G59" s="192"/>
      <c r="H59" s="192"/>
    </row>
    <row r="60" spans="1:8" x14ac:dyDescent="0.25">
      <c r="A60" s="180" t="s">
        <v>434</v>
      </c>
      <c r="B60" s="192"/>
      <c r="C60" s="192"/>
      <c r="D60" s="192"/>
      <c r="E60" s="192"/>
      <c r="F60" s="192"/>
      <c r="G60" s="192"/>
      <c r="H60" s="192"/>
    </row>
    <row r="61" spans="1:8" x14ac:dyDescent="0.25">
      <c r="A61" s="180" t="s">
        <v>435</v>
      </c>
      <c r="B61" s="192"/>
      <c r="C61" s="192"/>
      <c r="D61" s="192"/>
      <c r="E61" s="192"/>
      <c r="F61" s="192"/>
      <c r="G61" s="192"/>
      <c r="H61" s="192"/>
    </row>
    <row r="62" spans="1:8" x14ac:dyDescent="0.25">
      <c r="A62" s="180" t="s">
        <v>436</v>
      </c>
      <c r="B62" s="192"/>
      <c r="C62" s="192"/>
      <c r="D62" s="192"/>
      <c r="E62" s="192"/>
      <c r="F62" s="192"/>
      <c r="G62" s="192"/>
      <c r="H62" s="192"/>
    </row>
    <row r="63" spans="1:8" x14ac:dyDescent="0.25">
      <c r="A63" s="180" t="s">
        <v>437</v>
      </c>
      <c r="B63" s="192"/>
      <c r="C63" s="192"/>
      <c r="D63" s="192"/>
      <c r="E63" s="192"/>
      <c r="F63" s="192"/>
      <c r="G63" s="192"/>
      <c r="H63" s="192"/>
    </row>
    <row r="64" spans="1:8" x14ac:dyDescent="0.25">
      <c r="A64" s="180" t="s">
        <v>438</v>
      </c>
      <c r="B64" s="192"/>
      <c r="C64" s="192"/>
      <c r="D64" s="192"/>
      <c r="E64" s="192"/>
      <c r="F64" s="192"/>
      <c r="G64" s="192"/>
      <c r="H64" s="192"/>
    </row>
    <row r="65" spans="1:8" x14ac:dyDescent="0.25">
      <c r="A65" s="180" t="s">
        <v>439</v>
      </c>
      <c r="B65" s="192"/>
      <c r="C65" s="192"/>
      <c r="D65" s="192"/>
      <c r="E65" s="192"/>
      <c r="F65" s="192"/>
      <c r="G65" s="192"/>
      <c r="H65" s="192"/>
    </row>
    <row r="66" spans="1:8" x14ac:dyDescent="0.25">
      <c r="A66" s="180" t="s">
        <v>440</v>
      </c>
      <c r="B66" s="192"/>
      <c r="C66" s="192"/>
      <c r="D66" s="192"/>
      <c r="E66" s="192"/>
      <c r="F66" s="192"/>
      <c r="G66" s="192"/>
      <c r="H66" s="192"/>
    </row>
    <row r="67" spans="1:8" x14ac:dyDescent="0.25">
      <c r="A67" s="180" t="s">
        <v>441</v>
      </c>
      <c r="B67" s="192"/>
      <c r="C67" s="192"/>
      <c r="D67" s="192"/>
      <c r="E67" s="192"/>
      <c r="F67" s="192"/>
      <c r="G67" s="192"/>
      <c r="H67" s="192"/>
    </row>
    <row r="68" spans="1:8" x14ac:dyDescent="0.25">
      <c r="A68" s="180" t="s">
        <v>442</v>
      </c>
      <c r="B68" s="192"/>
      <c r="C68" s="192"/>
      <c r="D68" s="192"/>
      <c r="E68" s="192"/>
      <c r="F68" s="192"/>
      <c r="G68" s="192"/>
      <c r="H68" s="192"/>
    </row>
    <row r="69" spans="1:8" x14ac:dyDescent="0.25">
      <c r="A69" s="180" t="s">
        <v>443</v>
      </c>
      <c r="B69" s="192"/>
      <c r="C69" s="192"/>
      <c r="D69" s="192"/>
      <c r="E69" s="192"/>
      <c r="F69" s="192"/>
      <c r="G69" s="192"/>
      <c r="H69" s="192"/>
    </row>
    <row r="70" spans="1:8" x14ac:dyDescent="0.25">
      <c r="A70" s="180" t="s">
        <v>444</v>
      </c>
      <c r="B70" s="192"/>
      <c r="C70" s="192"/>
      <c r="D70" s="192"/>
      <c r="E70" s="192"/>
      <c r="F70" s="192"/>
      <c r="G70" s="192"/>
      <c r="H70" s="192"/>
    </row>
    <row r="71" spans="1:8" x14ac:dyDescent="0.25">
      <c r="A71" s="180" t="s">
        <v>445</v>
      </c>
      <c r="B71" s="192"/>
      <c r="C71" s="192"/>
      <c r="D71" s="192"/>
      <c r="E71" s="192"/>
      <c r="F71" s="192"/>
      <c r="G71" s="192"/>
      <c r="H71" s="192"/>
    </row>
    <row r="72" spans="1:8" x14ac:dyDescent="0.25">
      <c r="A72" s="180" t="s">
        <v>446</v>
      </c>
      <c r="B72" s="192"/>
      <c r="C72" s="192"/>
      <c r="D72" s="192"/>
      <c r="E72" s="192"/>
      <c r="F72" s="192"/>
      <c r="G72" s="192"/>
      <c r="H72" s="192"/>
    </row>
  </sheetData>
  <mergeCells count="1">
    <mergeCell ref="A1:H1"/>
  </mergeCells>
  <hyperlinks>
    <hyperlink ref="H10" r:id="rId1" display="https://app.tikr.com/account/subs?ref=q5ht48" xr:uid="{FAC63048-25E4-4D8B-9C47-16532DFA16A6}"/>
    <hyperlink ref="H11" r:id="rId2" display="https://app.tikr.com/account/subs?ref=q5ht48" xr:uid="{BC7C6323-3C0B-43E5-BF46-86BF18C771B7}"/>
    <hyperlink ref="H12" r:id="rId3" display="https://app.tikr.com/account/subs?ref=q5ht48" xr:uid="{C6BE4944-9910-40D4-9C8F-5FCC977ACB4E}"/>
    <hyperlink ref="H13" r:id="rId4" display="https://app.tikr.com/account/subs?ref=q5ht48" xr:uid="{7CC9BFD1-215E-46FD-8108-23EB722E1CD4}"/>
    <hyperlink ref="H14" r:id="rId5" display="https://app.tikr.com/account/subs?ref=q5ht48" xr:uid="{6C2C9EA4-0B45-4FBF-B896-98CDA1F9D0CF}"/>
    <hyperlink ref="H17" r:id="rId6" display="https://app.tikr.com/account/subs?ref=q5ht48" xr:uid="{2A1ACCA1-2578-429B-9C19-D1F4B4767899}"/>
    <hyperlink ref="H18" r:id="rId7" display="https://app.tikr.com/account/subs?ref=q5ht48" xr:uid="{FD400E46-FB6C-4E7A-9307-608CB231F789}"/>
    <hyperlink ref="H19" r:id="rId8" display="https://app.tikr.com/account/subs?ref=q5ht48" xr:uid="{B5BECC70-D27E-4349-9156-06781AC7B5E4}"/>
    <hyperlink ref="H20" r:id="rId9" display="https://app.tikr.com/account/subs?ref=q5ht48" xr:uid="{15B51EA2-76CB-4CBA-9E38-24C7E79DF435}"/>
    <hyperlink ref="H43" r:id="rId10" display="https://app.tikr.com/account/subs?ref=q5ht48" xr:uid="{DBC01916-5493-4681-B210-97A2760609E2}"/>
    <hyperlink ref="H44" r:id="rId11" display="https://app.tikr.com/account/subs?ref=q5ht48" xr:uid="{336CED7D-DF41-4E1A-A393-A0B82B1515B4}"/>
    <hyperlink ref="H45" r:id="rId12" display="https://app.tikr.com/account/subs?ref=q5ht48" xr:uid="{E36100E5-5CEF-4E13-AA02-542318FD7E94}"/>
    <hyperlink ref="B46" r:id="rId13" display="https://app.tikr.com/account/subs?ref=q5ht48" xr:uid="{AF537D58-09FF-4D02-8307-5CD89D70CF4F}"/>
    <hyperlink ref="C46" r:id="rId14" display="https://app.tikr.com/account/subs?ref=q5ht48" xr:uid="{46C440CC-E8D8-49E3-AB88-3521B7FC7341}"/>
    <hyperlink ref="D46" r:id="rId15" display="https://app.tikr.com/account/subs?ref=q5ht48" xr:uid="{8AA6127E-6730-4197-A21B-8ED549F54C4B}"/>
    <hyperlink ref="E46" r:id="rId16" display="https://app.tikr.com/account/subs?ref=q5ht48" xr:uid="{F13011E5-036C-4415-B2A3-172CFF123C9C}"/>
    <hyperlink ref="F46" r:id="rId17" display="https://app.tikr.com/account/subs?ref=q5ht48" xr:uid="{78217631-BDCD-4F49-974F-74C7B997AAE5}"/>
    <hyperlink ref="G46" r:id="rId18" display="https://app.tikr.com/account/subs?ref=q5ht48" xr:uid="{2EC329D8-7CF7-4E58-B3C6-716BFD5BDF94}"/>
    <hyperlink ref="H46" r:id="rId19" display="https://app.tikr.com/account/subs?ref=q5ht48" xr:uid="{7E4053B6-BB79-4532-ACA1-BCD42F5BB990}"/>
    <hyperlink ref="B47" r:id="rId20" display="https://app.tikr.com/account/subs?ref=q5ht48" xr:uid="{E55D1387-2AB8-4D13-B074-76CBC8DDA8C0}"/>
    <hyperlink ref="C47" r:id="rId21" display="https://app.tikr.com/account/subs?ref=q5ht48" xr:uid="{B69ACB69-A3D1-4E0C-A8BC-9DF9337EC366}"/>
    <hyperlink ref="D47" r:id="rId22" display="https://app.tikr.com/account/subs?ref=q5ht48" xr:uid="{51D16DA6-732F-4A91-B608-35758FD384AE}"/>
    <hyperlink ref="E47" r:id="rId23" display="https://app.tikr.com/account/subs?ref=q5ht48" xr:uid="{F524DA4B-2786-4F68-A8A3-62994068391E}"/>
    <hyperlink ref="F47" r:id="rId24" display="https://app.tikr.com/account/subs?ref=q5ht48" xr:uid="{24C7F21E-4650-49A6-ACE9-9BB5ECCCD685}"/>
    <hyperlink ref="G47" r:id="rId25" display="https://app.tikr.com/account/subs?ref=q5ht48" xr:uid="{44655AAD-54BB-4475-A6DC-32924067F2CB}"/>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073C9-0840-4417-B1DE-07BD902CB29A}">
  <sheetPr codeName="Hoja2"/>
  <dimension ref="B2:Q39"/>
  <sheetViews>
    <sheetView workbookViewId="0">
      <selection activeCell="B14" sqref="B14"/>
    </sheetView>
  </sheetViews>
  <sheetFormatPr baseColWidth="10" defaultRowHeight="15" x14ac:dyDescent="0.25"/>
  <cols>
    <col min="1" max="1" width="5.42578125" style="6" customWidth="1"/>
    <col min="2" max="2" width="25.140625" style="6" customWidth="1"/>
    <col min="3" max="3" width="22.28515625" style="6" bestFit="1" customWidth="1"/>
    <col min="4" max="4" width="7.85546875" style="6" customWidth="1"/>
    <col min="5" max="5" width="4.7109375" style="6" customWidth="1"/>
    <col min="6" max="6" width="4.28515625" style="6" customWidth="1"/>
    <col min="7" max="7" width="2.28515625" style="6" customWidth="1"/>
    <col min="8" max="8" width="19.42578125" style="6" bestFit="1" customWidth="1"/>
    <col min="9" max="15" width="11.42578125" style="6"/>
    <col min="16" max="16" width="21.5703125" style="6" customWidth="1"/>
    <col min="17" max="17" width="2.140625" style="6" customWidth="1"/>
    <col min="18" max="16384" width="11.42578125" style="6"/>
  </cols>
  <sheetData>
    <row r="2" spans="2:17" x14ac:dyDescent="0.25">
      <c r="G2" s="71"/>
      <c r="H2" s="40"/>
      <c r="I2" s="40"/>
      <c r="J2" s="40"/>
      <c r="K2" s="40"/>
      <c r="L2" s="40"/>
      <c r="M2" s="40"/>
      <c r="N2" s="40"/>
      <c r="O2" s="40"/>
      <c r="P2" s="40"/>
      <c r="Q2" s="42"/>
    </row>
    <row r="3" spans="2:17" x14ac:dyDescent="0.25">
      <c r="B3" s="61" t="s">
        <v>335</v>
      </c>
      <c r="G3" s="25"/>
      <c r="H3" s="72" t="s">
        <v>66</v>
      </c>
      <c r="I3" s="72" t="s">
        <v>69</v>
      </c>
      <c r="J3" s="72"/>
      <c r="K3" s="72"/>
      <c r="L3" s="72"/>
      <c r="M3" s="72"/>
      <c r="N3" s="72"/>
      <c r="O3" s="72"/>
      <c r="P3" s="72"/>
      <c r="Q3" s="26"/>
    </row>
    <row r="4" spans="2:17" x14ac:dyDescent="0.25">
      <c r="B4" s="6" t="s">
        <v>1</v>
      </c>
      <c r="G4" s="25"/>
      <c r="H4" s="72" t="s">
        <v>67</v>
      </c>
      <c r="I4" s="72" t="s">
        <v>68</v>
      </c>
      <c r="J4" s="72"/>
      <c r="K4" s="72"/>
      <c r="L4" s="72"/>
      <c r="M4" s="72"/>
      <c r="N4" s="72"/>
      <c r="O4" s="72"/>
      <c r="P4" s="72"/>
      <c r="Q4" s="26"/>
    </row>
    <row r="5" spans="2:17" x14ac:dyDescent="0.25">
      <c r="B5" s="197" t="s">
        <v>336</v>
      </c>
      <c r="G5" s="25"/>
      <c r="H5" s="72" t="s">
        <v>70</v>
      </c>
      <c r="I5" s="72" t="s">
        <v>451</v>
      </c>
      <c r="J5" s="72"/>
      <c r="K5" s="72"/>
      <c r="L5" s="72"/>
      <c r="M5" s="72"/>
      <c r="N5" s="72"/>
      <c r="O5" s="72"/>
      <c r="P5" s="72"/>
      <c r="Q5" s="26"/>
    </row>
    <row r="6" spans="2:17" x14ac:dyDescent="0.25">
      <c r="B6" s="6" t="s">
        <v>2</v>
      </c>
      <c r="G6" s="25"/>
      <c r="H6" s="6" t="s">
        <v>450</v>
      </c>
      <c r="I6" s="6" t="s">
        <v>452</v>
      </c>
      <c r="J6" s="72"/>
      <c r="K6" s="72"/>
      <c r="L6" s="72"/>
      <c r="M6" s="72"/>
      <c r="N6" s="72"/>
      <c r="O6" s="72"/>
      <c r="P6" s="72"/>
      <c r="Q6" s="26"/>
    </row>
    <row r="7" spans="2:17" x14ac:dyDescent="0.25">
      <c r="B7" s="197" t="s">
        <v>337</v>
      </c>
      <c r="G7" s="25"/>
      <c r="H7" s="72" t="s">
        <v>71</v>
      </c>
      <c r="I7" s="72" t="s">
        <v>72</v>
      </c>
      <c r="J7" s="72"/>
      <c r="K7" s="72"/>
      <c r="L7" s="72"/>
      <c r="M7" s="72"/>
      <c r="N7" s="72"/>
      <c r="O7" s="72"/>
      <c r="P7" s="72"/>
      <c r="Q7" s="26"/>
    </row>
    <row r="8" spans="2:17" x14ac:dyDescent="0.25">
      <c r="B8" s="6" t="s">
        <v>3</v>
      </c>
      <c r="F8" s="70"/>
      <c r="G8" s="25"/>
      <c r="H8" s="72" t="s">
        <v>75</v>
      </c>
      <c r="I8" s="72" t="s">
        <v>76</v>
      </c>
      <c r="J8" s="72"/>
      <c r="K8" s="72"/>
      <c r="L8" s="72"/>
      <c r="M8" s="72"/>
      <c r="N8" s="72"/>
      <c r="O8" s="72"/>
      <c r="P8" s="72"/>
      <c r="Q8" s="26"/>
    </row>
    <row r="9" spans="2:17" x14ac:dyDescent="0.25">
      <c r="B9" s="197" t="s">
        <v>180</v>
      </c>
      <c r="G9" s="25"/>
      <c r="H9" s="72"/>
      <c r="I9" s="72"/>
      <c r="J9" s="72"/>
      <c r="K9" s="72"/>
      <c r="L9" s="72"/>
      <c r="M9" s="72"/>
      <c r="N9" s="72"/>
      <c r="O9" s="72"/>
      <c r="P9" s="72"/>
      <c r="Q9" s="26"/>
    </row>
    <row r="10" spans="2:17" x14ac:dyDescent="0.25">
      <c r="B10" s="6" t="s">
        <v>340</v>
      </c>
      <c r="G10" s="25"/>
      <c r="H10" s="72"/>
      <c r="I10" s="72"/>
      <c r="J10" s="72"/>
      <c r="K10" s="72"/>
      <c r="L10" s="72"/>
      <c r="M10" s="72"/>
      <c r="N10" s="72"/>
      <c r="O10" s="72"/>
      <c r="P10" s="72"/>
      <c r="Q10" s="26"/>
    </row>
    <row r="11" spans="2:17" x14ac:dyDescent="0.25">
      <c r="B11" s="197" t="s">
        <v>338</v>
      </c>
      <c r="G11" s="25"/>
      <c r="H11" s="72"/>
      <c r="I11" s="72"/>
      <c r="J11" s="72"/>
      <c r="K11" s="72"/>
      <c r="L11" s="72"/>
      <c r="M11" s="72"/>
      <c r="N11" s="72"/>
      <c r="O11" s="72"/>
      <c r="P11" s="72"/>
      <c r="Q11" s="26"/>
    </row>
    <row r="12" spans="2:17" x14ac:dyDescent="0.25">
      <c r="B12" s="6" t="s">
        <v>341</v>
      </c>
      <c r="G12" s="25"/>
      <c r="H12" s="72"/>
      <c r="I12" s="72"/>
      <c r="J12" s="72"/>
      <c r="K12" s="72"/>
      <c r="L12" s="72"/>
      <c r="M12" s="72"/>
      <c r="N12" s="72"/>
      <c r="O12" s="72"/>
      <c r="P12" s="72"/>
      <c r="Q12" s="26"/>
    </row>
    <row r="13" spans="2:17" x14ac:dyDescent="0.25">
      <c r="B13" s="197" t="s">
        <v>339</v>
      </c>
      <c r="G13" s="25"/>
      <c r="H13" s="72"/>
      <c r="I13" s="72"/>
      <c r="J13" s="72"/>
      <c r="K13" s="72"/>
      <c r="L13" s="72"/>
      <c r="M13" s="72"/>
      <c r="N13" s="72"/>
      <c r="O13" s="72"/>
      <c r="P13" s="72"/>
      <c r="Q13" s="26"/>
    </row>
    <row r="14" spans="2:17" x14ac:dyDescent="0.25">
      <c r="B14" s="6" t="s">
        <v>5</v>
      </c>
      <c r="G14" s="25"/>
      <c r="H14" s="72"/>
      <c r="I14" s="72"/>
      <c r="J14" s="72"/>
      <c r="K14" s="72"/>
      <c r="L14" s="72"/>
      <c r="M14" s="72"/>
      <c r="N14" s="72"/>
      <c r="O14" s="72"/>
      <c r="P14" s="72"/>
      <c r="Q14" s="26"/>
    </row>
    <row r="15" spans="2:17" x14ac:dyDescent="0.25">
      <c r="G15" s="25"/>
      <c r="H15" s="72"/>
      <c r="I15" s="72"/>
      <c r="J15" s="72"/>
      <c r="K15" s="72"/>
      <c r="L15" s="72"/>
      <c r="M15" s="72"/>
      <c r="N15" s="72"/>
      <c r="O15" s="72"/>
      <c r="P15" s="72"/>
      <c r="Q15" s="26"/>
    </row>
    <row r="16" spans="2:17" x14ac:dyDescent="0.25">
      <c r="G16" s="25"/>
      <c r="H16" s="72"/>
      <c r="I16" s="72"/>
      <c r="J16" s="72"/>
      <c r="K16" s="72"/>
      <c r="L16" s="72"/>
      <c r="M16" s="72"/>
      <c r="N16" s="72"/>
      <c r="O16" s="72"/>
      <c r="P16" s="72"/>
      <c r="Q16" s="26"/>
    </row>
    <row r="17" spans="2:17" x14ac:dyDescent="0.25">
      <c r="B17" s="61" t="s">
        <v>358</v>
      </c>
      <c r="C17" s="20" t="s">
        <v>362</v>
      </c>
      <c r="D17" s="20" t="s">
        <v>363</v>
      </c>
      <c r="G17" s="25"/>
      <c r="H17" s="72"/>
      <c r="I17" s="72"/>
      <c r="J17" s="72"/>
      <c r="K17" s="72"/>
      <c r="L17" s="72"/>
      <c r="M17" s="72"/>
      <c r="N17" s="72"/>
      <c r="O17" s="72"/>
      <c r="P17" s="72"/>
      <c r="Q17" s="26"/>
    </row>
    <row r="18" spans="2:17" x14ac:dyDescent="0.25">
      <c r="B18" s="6" t="s">
        <v>359</v>
      </c>
      <c r="C18" s="215">
        <v>1</v>
      </c>
      <c r="D18" s="215">
        <v>1</v>
      </c>
      <c r="G18" s="25"/>
      <c r="Q18" s="26"/>
    </row>
    <row r="19" spans="2:17" x14ac:dyDescent="0.25">
      <c r="B19" s="6" t="s">
        <v>360</v>
      </c>
      <c r="C19" s="215" t="s">
        <v>364</v>
      </c>
      <c r="D19" s="215">
        <v>0.8</v>
      </c>
      <c r="G19" s="25"/>
      <c r="Q19" s="26"/>
    </row>
    <row r="20" spans="2:17" x14ac:dyDescent="0.25">
      <c r="B20" s="6" t="s">
        <v>124</v>
      </c>
      <c r="C20" s="215" t="s">
        <v>365</v>
      </c>
      <c r="D20" s="215">
        <v>0.67</v>
      </c>
      <c r="G20" s="25"/>
      <c r="Q20" s="26"/>
    </row>
    <row r="21" spans="2:17" x14ac:dyDescent="0.25">
      <c r="B21" s="6" t="s">
        <v>361</v>
      </c>
      <c r="C21" s="215" t="s">
        <v>366</v>
      </c>
      <c r="D21" s="215">
        <v>0.15</v>
      </c>
      <c r="G21" s="25"/>
      <c r="Q21" s="26"/>
    </row>
    <row r="22" spans="2:17" x14ac:dyDescent="0.25">
      <c r="B22" s="216" t="s">
        <v>127</v>
      </c>
      <c r="C22" s="217">
        <v>0</v>
      </c>
      <c r="D22" s="217">
        <v>0</v>
      </c>
      <c r="G22" s="25"/>
      <c r="Q22" s="26"/>
    </row>
    <row r="23" spans="2:17" x14ac:dyDescent="0.25">
      <c r="B23" s="6" t="s">
        <v>7</v>
      </c>
      <c r="C23" s="214">
        <v>0.9</v>
      </c>
      <c r="D23" s="214">
        <v>0.9</v>
      </c>
      <c r="G23" s="25"/>
      <c r="Q23" s="26"/>
    </row>
    <row r="24" spans="2:17" x14ac:dyDescent="0.25">
      <c r="B24" s="6" t="s">
        <v>367</v>
      </c>
      <c r="C24" s="215" t="s">
        <v>368</v>
      </c>
      <c r="D24" s="214">
        <v>0.2</v>
      </c>
      <c r="G24" s="25"/>
      <c r="Q24" s="26"/>
    </row>
    <row r="25" spans="2:17" x14ac:dyDescent="0.25">
      <c r="B25" s="6" t="s">
        <v>374</v>
      </c>
      <c r="C25" s="214">
        <v>1</v>
      </c>
      <c r="D25" s="214">
        <v>1</v>
      </c>
      <c r="G25" s="25"/>
      <c r="Q25" s="26"/>
    </row>
    <row r="26" spans="2:17" x14ac:dyDescent="0.25">
      <c r="G26" s="25"/>
      <c r="Q26" s="26"/>
    </row>
    <row r="27" spans="2:17" x14ac:dyDescent="0.25">
      <c r="B27" s="61" t="s">
        <v>369</v>
      </c>
      <c r="G27" s="25"/>
      <c r="Q27" s="26"/>
    </row>
    <row r="28" spans="2:17" x14ac:dyDescent="0.25">
      <c r="B28" s="6" t="s">
        <v>52</v>
      </c>
      <c r="D28" s="214">
        <v>1</v>
      </c>
      <c r="G28" s="25"/>
      <c r="Q28" s="26"/>
    </row>
    <row r="29" spans="2:17" x14ac:dyDescent="0.25">
      <c r="B29" s="6" t="s">
        <v>370</v>
      </c>
      <c r="C29" s="6" t="s">
        <v>7</v>
      </c>
      <c r="D29" s="214">
        <v>0.9</v>
      </c>
      <c r="G29" s="25"/>
      <c r="Q29" s="26"/>
    </row>
    <row r="30" spans="2:17" x14ac:dyDescent="0.25">
      <c r="B30" s="6" t="s">
        <v>370</v>
      </c>
      <c r="C30" s="6" t="s">
        <v>372</v>
      </c>
      <c r="D30" s="214">
        <v>0.8</v>
      </c>
      <c r="G30" s="25"/>
      <c r="Q30" s="26"/>
    </row>
    <row r="31" spans="2:17" x14ac:dyDescent="0.25">
      <c r="B31" s="6" t="s">
        <v>370</v>
      </c>
      <c r="C31" s="6" t="s">
        <v>124</v>
      </c>
      <c r="D31" s="214">
        <v>0.67</v>
      </c>
      <c r="G31" s="25"/>
      <c r="Q31" s="26"/>
    </row>
    <row r="32" spans="2:17" x14ac:dyDescent="0.25">
      <c r="B32" s="6" t="s">
        <v>370</v>
      </c>
      <c r="C32" s="6" t="s">
        <v>190</v>
      </c>
      <c r="D32" s="214">
        <v>0.2</v>
      </c>
      <c r="G32" s="25"/>
      <c r="Q32" s="26"/>
    </row>
    <row r="33" spans="2:17" x14ac:dyDescent="0.25">
      <c r="B33" s="6" t="s">
        <v>370</v>
      </c>
      <c r="C33" s="6" t="s">
        <v>373</v>
      </c>
      <c r="D33" s="214">
        <v>1</v>
      </c>
      <c r="G33" s="25"/>
      <c r="Q33" s="26"/>
    </row>
    <row r="34" spans="2:17" x14ac:dyDescent="0.25">
      <c r="B34" s="6" t="s">
        <v>370</v>
      </c>
      <c r="C34" s="6" t="s">
        <v>375</v>
      </c>
      <c r="D34" s="214">
        <v>0.15</v>
      </c>
      <c r="G34" s="25"/>
      <c r="Q34" s="26"/>
    </row>
    <row r="35" spans="2:17" x14ac:dyDescent="0.25">
      <c r="B35" s="6" t="s">
        <v>371</v>
      </c>
      <c r="C35" s="6" t="s">
        <v>376</v>
      </c>
      <c r="D35" s="214">
        <v>1</v>
      </c>
      <c r="G35" s="25"/>
      <c r="Q35" s="26"/>
    </row>
    <row r="36" spans="2:17" x14ac:dyDescent="0.25">
      <c r="B36" s="6" t="s">
        <v>371</v>
      </c>
      <c r="C36" s="6" t="s">
        <v>377</v>
      </c>
      <c r="D36" s="214">
        <v>1</v>
      </c>
      <c r="G36" s="25"/>
      <c r="Q36" s="26"/>
    </row>
    <row r="37" spans="2:17" x14ac:dyDescent="0.25">
      <c r="B37" s="6" t="s">
        <v>371</v>
      </c>
      <c r="C37" s="6" t="s">
        <v>378</v>
      </c>
      <c r="D37" s="214">
        <v>1</v>
      </c>
      <c r="G37" s="25"/>
      <c r="Q37" s="26"/>
    </row>
    <row r="38" spans="2:17" x14ac:dyDescent="0.25">
      <c r="G38" s="25"/>
      <c r="Q38" s="26"/>
    </row>
    <row r="39" spans="2:17" x14ac:dyDescent="0.25">
      <c r="G39" s="27"/>
      <c r="H39" s="28"/>
      <c r="I39" s="28"/>
      <c r="J39" s="28"/>
      <c r="K39" s="28"/>
      <c r="L39" s="28"/>
      <c r="M39" s="28"/>
      <c r="N39" s="28"/>
      <c r="O39" s="28"/>
      <c r="P39" s="28"/>
      <c r="Q39" s="29"/>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Financials</vt:lpstr>
      <vt:lpstr>Tracking</vt:lpstr>
      <vt:lpstr>Options</vt:lpstr>
      <vt:lpstr>IncomeStatement</vt:lpstr>
      <vt:lpstr>BalanceSheet</vt:lpstr>
      <vt:lpstr>CashFlow</vt:lpstr>
      <vt:lpstr>Ratios</vt:lpstr>
      <vt:lpstr>Bible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J700070 Hernandx</dc:creator>
  <cp:lastModifiedBy>J700070 Hernandx</cp:lastModifiedBy>
  <dcterms:created xsi:type="dcterms:W3CDTF">2015-06-05T18:17:20Z</dcterms:created>
  <dcterms:modified xsi:type="dcterms:W3CDTF">2023-01-22T22:53:48Z</dcterms:modified>
</cp:coreProperties>
</file>