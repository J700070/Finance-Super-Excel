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mc:AlternateContent xmlns:mc="http://schemas.openxmlformats.org/markup-compatibility/2006">
    <mc:Choice Requires="x15">
      <x15ac:absPath xmlns:x15ac="http://schemas.microsoft.com/office/spreadsheetml/2010/11/ac" url="C:\Users\juani\Documents\Coding Projects\Python Projects\Excel_python\Finance-Super-Excel\"/>
    </mc:Choice>
  </mc:AlternateContent>
  <xr:revisionPtr revIDLastSave="0" documentId="13_ncr:1_{D63BB55D-8150-4480-9F37-3945D1983A57}" xr6:coauthVersionLast="47" xr6:coauthVersionMax="47" xr10:uidLastSave="{00000000-0000-0000-0000-000000000000}"/>
  <bookViews>
    <workbookView xWindow="-120" yWindow="-120" windowWidth="28110" windowHeight="16440" activeTab="3" xr2:uid="{00000000-000D-0000-FFFF-FFFF00000000}"/>
    <workbookView xWindow="-120" yWindow="-120" windowWidth="28110" windowHeight="16440" xr2:uid="{AB29AB00-34FB-41D9-8FFA-C69378937F2E}"/>
  </bookViews>
  <sheets>
    <sheet name="Financials" sheetId="4" r:id="rId1"/>
    <sheet name="Tracking" sheetId="7" r:id="rId2"/>
    <sheet name="Options" sheetId="5" r:id="rId3"/>
    <sheet name="IncomeStatement" sheetId="10" r:id="rId4"/>
    <sheet name="BalanceSheet" sheetId="11" r:id="rId5"/>
    <sheet name="CashFlow" sheetId="12" r:id="rId6"/>
    <sheet name="Ratios" sheetId="13" r:id="rId7"/>
    <sheet name="Bible" sheetId="6" r:id="rId8"/>
    <sheet name="Processed" sheetId="3" r:id="rId9"/>
    <sheet name="ProcessedQ" sheetId="9" r:id="rId10"/>
  </sheets>
  <calcPr calcId="191029"/>
  <extLst>
    <ext xmlns:x14="http://schemas.microsoft.com/office/spreadsheetml/2009/9/main" uri="{8193D73E-4604-4355-AFF4-8A2333D13BE4}">
      <x14:definedNames>
        <x14:definedName name="clean_pages">
          <x14:argumentDescriptions count="1">
            <x14:argumentDescription index="0">Positional argument 1</x14:argumentDescription>
          </x14:argumentDescriptions>
        </x14:definedName>
        <x14:definedName name="double_sum">
          <x14:argumentDescriptions count="2">
            <x14:argumentDescription index="0">Positional argument 1</x14:argumentDescription>
            <x14:argumentDescription index="1">Positional argument 2</x14:argumentDescription>
          </x14:argumentDescriptions>
        </x14:definedName>
        <x14:definedName name="printX">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35" i="4" l="1"/>
  <c r="S35" i="4"/>
  <c r="T35" i="4"/>
  <c r="U35" i="4"/>
  <c r="J27" i="4" a="1"/>
  <c r="F27" i="4" a="1"/>
  <c r="G27" i="4" a="1"/>
  <c r="N27" i="4" a="1"/>
  <c r="M27" i="4" a="1"/>
  <c r="E27" i="4" a="1"/>
  <c r="I27" i="4" a="1"/>
  <c r="L27" i="4" a="1"/>
  <c r="H27" i="4" a="1"/>
  <c r="K27" i="4" a="1"/>
  <c r="N37" i="4" a="1"/>
  <c r="J37" i="4" a="1"/>
  <c r="F37" i="4" a="1"/>
  <c r="I37" i="4" a="1"/>
  <c r="E37" i="4" a="1"/>
  <c r="K37" i="4" a="1"/>
  <c r="M37" i="4" a="1"/>
  <c r="L37" i="4" a="1"/>
  <c r="H37" i="4" a="1"/>
  <c r="G37" i="4" a="1"/>
  <c r="H26" i="4" a="1"/>
  <c r="I26" i="4" a="1"/>
  <c r="E26" i="4" a="1"/>
  <c r="L26" i="4" a="1"/>
  <c r="N26" i="4" a="1"/>
  <c r="K26" i="4" a="1"/>
  <c r="F26" i="4" a="1"/>
  <c r="G26" i="4" a="1"/>
  <c r="J26" i="4" a="1"/>
  <c r="M26" i="4" a="1"/>
  <c r="E28" i="4" a="1"/>
  <c r="K27" i="4" l="1"/>
  <c r="H27" i="4"/>
  <c r="L27" i="4"/>
  <c r="I27" i="4"/>
  <c r="E27" i="4"/>
  <c r="M27" i="4"/>
  <c r="N27" i="4"/>
  <c r="G27" i="4"/>
  <c r="F27" i="4"/>
  <c r="J27" i="4"/>
  <c r="G37" i="4"/>
  <c r="H37" i="4"/>
  <c r="L37" i="4"/>
  <c r="M37" i="4"/>
  <c r="K37" i="4"/>
  <c r="E37" i="4"/>
  <c r="I37" i="4"/>
  <c r="F37" i="4"/>
  <c r="J37" i="4"/>
  <c r="N37" i="4"/>
  <c r="M26" i="4"/>
  <c r="J26" i="4"/>
  <c r="G26" i="4"/>
  <c r="F26" i="4"/>
  <c r="K26" i="4"/>
  <c r="N26" i="4"/>
  <c r="L26" i="4"/>
  <c r="E26" i="4"/>
  <c r="I26" i="4"/>
  <c r="H26" i="4"/>
  <c r="E28" i="4"/>
  <c r="F28" i="4" a="1"/>
  <c r="U26" i="4" l="1"/>
  <c r="T26" i="4"/>
  <c r="S26" i="4"/>
  <c r="R26" i="4"/>
  <c r="F28" i="4"/>
  <c r="G28" i="4" a="1"/>
  <c r="G28" i="4" l="1"/>
  <c r="H28" i="4" a="1"/>
  <c r="H28" i="4" l="1"/>
  <c r="I28" i="4" a="1"/>
  <c r="I28" i="4" l="1"/>
  <c r="J28" i="4" a="1"/>
  <c r="J28" i="4" l="1"/>
  <c r="K28" i="4" a="1"/>
  <c r="K28" i="4" l="1"/>
  <c r="L28" i="4" a="1"/>
  <c r="L28" i="4" l="1"/>
  <c r="M28" i="4" a="1"/>
  <c r="M28" i="4" l="1"/>
  <c r="N28" i="4" a="1"/>
  <c r="N28" i="4" l="1"/>
  <c r="D34" i="7"/>
  <c r="E20" i="4" a="1"/>
  <c r="F20" i="4" a="1"/>
  <c r="G20" i="4" a="1"/>
  <c r="H20" i="4" a="1"/>
  <c r="I20" i="4" a="1"/>
  <c r="J20" i="4" a="1"/>
  <c r="K20" i="4" a="1"/>
  <c r="L20" i="4" a="1"/>
  <c r="M20" i="4" a="1"/>
  <c r="N20" i="4" a="1"/>
  <c r="J36" i="4" a="1"/>
  <c r="F36" i="4" a="1"/>
  <c r="G36" i="4" a="1"/>
  <c r="N36" i="4" a="1"/>
  <c r="I36" i="4" a="1"/>
  <c r="H36" i="4" a="1"/>
  <c r="M36" i="4" a="1"/>
  <c r="E36" i="4" a="1"/>
  <c r="L36" i="4" a="1"/>
  <c r="K36" i="4" a="1"/>
  <c r="L25" i="4" a="1"/>
  <c r="H25" i="4" a="1"/>
  <c r="N24" i="4" a="1"/>
  <c r="J24" i="4" a="1"/>
  <c r="F24" i="4" a="1"/>
  <c r="L23" i="4" a="1"/>
  <c r="H23" i="4" a="1"/>
  <c r="N22" i="4" a="1"/>
  <c r="J22" i="4" a="1"/>
  <c r="F22" i="4" a="1"/>
  <c r="K21" i="4" a="1"/>
  <c r="G21" i="4" a="1"/>
  <c r="L21" i="4" a="1"/>
  <c r="G25" i="4" a="1"/>
  <c r="E24" i="4" a="1"/>
  <c r="G23" i="4" a="1"/>
  <c r="I22" i="4" a="1"/>
  <c r="J21" i="4" a="1"/>
  <c r="L22" i="4" a="1"/>
  <c r="I21" i="4" a="1"/>
  <c r="H21" i="4" a="1"/>
  <c r="K25" i="4" a="1"/>
  <c r="M24" i="4" a="1"/>
  <c r="I24" i="4" a="1"/>
  <c r="K23" i="4" a="1"/>
  <c r="M22" i="4" a="1"/>
  <c r="E22" i="4" a="1"/>
  <c r="F21" i="4" a="1"/>
  <c r="H22" i="4" a="1"/>
  <c r="E21" i="4" a="1"/>
  <c r="N25" i="4" a="1"/>
  <c r="J25" i="4" a="1"/>
  <c r="F25" i="4" a="1"/>
  <c r="L24" i="4" a="1"/>
  <c r="H24" i="4" a="1"/>
  <c r="N23" i="4" a="1"/>
  <c r="J23" i="4" a="1"/>
  <c r="F23" i="4" a="1"/>
  <c r="M21" i="4" a="1"/>
  <c r="M25" i="4" a="1"/>
  <c r="I25" i="4" a="1"/>
  <c r="E25" i="4" a="1"/>
  <c r="K24" i="4" a="1"/>
  <c r="G24" i="4" a="1"/>
  <c r="M23" i="4" a="1"/>
  <c r="I23" i="4" a="1"/>
  <c r="E23" i="4" a="1"/>
  <c r="K22" i="4" a="1"/>
  <c r="G22" i="4" a="1"/>
  <c r="N21" i="4" a="1"/>
  <c r="R28" i="4" l="1"/>
  <c r="U28" i="4"/>
  <c r="T28" i="4"/>
  <c r="S28" i="4"/>
  <c r="E20" i="4"/>
  <c r="F20" i="4"/>
  <c r="G20" i="4"/>
  <c r="H20" i="4"/>
  <c r="I20" i="4"/>
  <c r="J20" i="4"/>
  <c r="K20" i="4"/>
  <c r="L20" i="4"/>
  <c r="M20" i="4"/>
  <c r="N20" i="4"/>
  <c r="K36" i="4"/>
  <c r="K34" i="4" s="1"/>
  <c r="L36" i="4"/>
  <c r="L34" i="4" s="1"/>
  <c r="E36" i="4"/>
  <c r="E34" i="4" s="1"/>
  <c r="M36" i="4"/>
  <c r="M34" i="4" s="1"/>
  <c r="H36" i="4"/>
  <c r="H34" i="4" s="1"/>
  <c r="I36" i="4"/>
  <c r="I34" i="4" s="1"/>
  <c r="N36" i="4"/>
  <c r="N33" i="4" s="1"/>
  <c r="G36" i="4"/>
  <c r="G34" i="4" s="1"/>
  <c r="F36" i="4"/>
  <c r="F34" i="4" s="1"/>
  <c r="J36" i="4"/>
  <c r="J34" i="4" s="1"/>
  <c r="G22" i="4"/>
  <c r="K22" i="4"/>
  <c r="E23" i="4"/>
  <c r="I23" i="4"/>
  <c r="M23" i="4"/>
  <c r="G24" i="4"/>
  <c r="K24" i="4"/>
  <c r="E25" i="4"/>
  <c r="I25" i="4"/>
  <c r="M25" i="4"/>
  <c r="M21" i="4"/>
  <c r="F23" i="4"/>
  <c r="J23" i="4"/>
  <c r="N23" i="4"/>
  <c r="H24" i="4"/>
  <c r="L24" i="4"/>
  <c r="F25" i="4"/>
  <c r="J25" i="4"/>
  <c r="N25" i="4"/>
  <c r="E21" i="4"/>
  <c r="H22" i="4"/>
  <c r="F21" i="4"/>
  <c r="E22" i="4"/>
  <c r="M22" i="4"/>
  <c r="K23" i="4"/>
  <c r="I24" i="4"/>
  <c r="M24" i="4"/>
  <c r="K25" i="4"/>
  <c r="H21" i="4"/>
  <c r="I21" i="4"/>
  <c r="L22" i="4"/>
  <c r="J21" i="4"/>
  <c r="I22" i="4"/>
  <c r="G23" i="4"/>
  <c r="E24" i="4"/>
  <c r="G25" i="4"/>
  <c r="L21" i="4"/>
  <c r="G21" i="4"/>
  <c r="K21" i="4"/>
  <c r="F22" i="4"/>
  <c r="J22" i="4"/>
  <c r="N22" i="4"/>
  <c r="H23" i="4"/>
  <c r="L23" i="4"/>
  <c r="F24" i="4"/>
  <c r="J24" i="4"/>
  <c r="N24" i="4"/>
  <c r="H25" i="4"/>
  <c r="L25" i="4"/>
  <c r="N21" i="4"/>
  <c r="AE16" i="4"/>
  <c r="E28" i="7" a="1"/>
  <c r="E28" i="7" s="1"/>
  <c r="C28" i="7" a="1"/>
  <c r="C28" i="7" s="1"/>
  <c r="A28" i="7" a="1"/>
  <c r="A28" i="7" s="1"/>
  <c r="E3" i="7" a="1"/>
  <c r="E3" i="7" s="1"/>
  <c r="E23" i="7" a="1"/>
  <c r="E23" i="7" s="1"/>
  <c r="C23" i="7" a="1"/>
  <c r="C23" i="7" s="1"/>
  <c r="A23" i="7" a="1"/>
  <c r="A23" i="7" s="1"/>
  <c r="E19" i="7" a="1"/>
  <c r="E19" i="7" s="1"/>
  <c r="C19" i="7" a="1"/>
  <c r="C19" i="7" s="1"/>
  <c r="A19" i="7" a="1"/>
  <c r="A19" i="7" s="1"/>
  <c r="S34" i="7"/>
  <c r="P34" i="7"/>
  <c r="O34" i="7"/>
  <c r="N34" i="7"/>
  <c r="M34" i="7"/>
  <c r="L34" i="7"/>
  <c r="K34" i="7"/>
  <c r="H34" i="7"/>
  <c r="B34" i="7"/>
  <c r="E26" i="7" a="1"/>
  <c r="E26" i="7" s="1"/>
  <c r="C26" i="7" a="1"/>
  <c r="C26" i="7" s="1"/>
  <c r="A26" i="7" a="1"/>
  <c r="A26" i="7" s="1"/>
  <c r="E48" i="4"/>
  <c r="F48" i="4"/>
  <c r="G48" i="4"/>
  <c r="H48" i="4"/>
  <c r="I48" i="4"/>
  <c r="J48" i="4"/>
  <c r="K48" i="4"/>
  <c r="L48" i="4"/>
  <c r="M48" i="4"/>
  <c r="N48" i="4"/>
  <c r="E46" i="4"/>
  <c r="F46" i="4"/>
  <c r="G46" i="4"/>
  <c r="H46" i="4"/>
  <c r="I46" i="4"/>
  <c r="J46" i="4"/>
  <c r="K46" i="4"/>
  <c r="L46" i="4"/>
  <c r="M46" i="4"/>
  <c r="N46" i="4"/>
  <c r="E44" i="4"/>
  <c r="F44" i="4"/>
  <c r="G44" i="4"/>
  <c r="H44" i="4"/>
  <c r="I44" i="4"/>
  <c r="J44" i="4"/>
  <c r="K44" i="4"/>
  <c r="L44" i="4"/>
  <c r="M44" i="4"/>
  <c r="N44" i="4"/>
  <c r="N42" i="4" a="1"/>
  <c r="E43" i="4" a="1"/>
  <c r="F43" i="4" a="1"/>
  <c r="G43" i="4" a="1"/>
  <c r="H43" i="4" a="1"/>
  <c r="I43" i="4" a="1"/>
  <c r="J43" i="4" a="1"/>
  <c r="K43" i="4" a="1"/>
  <c r="L43" i="4" a="1"/>
  <c r="M43" i="4" a="1"/>
  <c r="N43" i="4" a="1"/>
  <c r="E42" i="4" a="1"/>
  <c r="F42" i="4" a="1"/>
  <c r="G42" i="4" a="1"/>
  <c r="H42" i="4" a="1"/>
  <c r="I42" i="4" a="1"/>
  <c r="J42" i="4" a="1"/>
  <c r="K42" i="4" a="1"/>
  <c r="L42" i="4" a="1"/>
  <c r="M42" i="4" a="1"/>
  <c r="T46" i="4" l="1"/>
  <c r="N42" i="4"/>
  <c r="E43" i="4"/>
  <c r="F43" i="4"/>
  <c r="G43" i="4"/>
  <c r="H43" i="4"/>
  <c r="I43" i="4"/>
  <c r="J43" i="4"/>
  <c r="K43" i="4"/>
  <c r="L43" i="4"/>
  <c r="M43" i="4"/>
  <c r="N43" i="4"/>
  <c r="M47" i="4"/>
  <c r="E42" i="4"/>
  <c r="E50" i="4"/>
  <c r="F42" i="4"/>
  <c r="F50" i="4"/>
  <c r="G42" i="4"/>
  <c r="G50" i="4"/>
  <c r="H42" i="4"/>
  <c r="H50" i="4"/>
  <c r="I42" i="4"/>
  <c r="I50" i="4"/>
  <c r="J42" i="4"/>
  <c r="J50" i="4"/>
  <c r="K42" i="4"/>
  <c r="K50" i="4"/>
  <c r="L42" i="4"/>
  <c r="L50" i="4"/>
  <c r="M42" i="4"/>
  <c r="M50" i="4"/>
  <c r="N50" i="4"/>
  <c r="H49" i="4"/>
  <c r="F41" i="4"/>
  <c r="L47" i="4"/>
  <c r="E49" i="4"/>
  <c r="M41" i="4"/>
  <c r="H47" i="4"/>
  <c r="F49" i="4"/>
  <c r="G49" i="4"/>
  <c r="I49" i="4"/>
  <c r="J49" i="4"/>
  <c r="K49" i="4"/>
  <c r="N49" i="4"/>
  <c r="L49" i="4"/>
  <c r="M31" i="4"/>
  <c r="M49" i="4"/>
  <c r="E47" i="4"/>
  <c r="G47" i="4"/>
  <c r="F47" i="4"/>
  <c r="K47" i="4"/>
  <c r="I47" i="4"/>
  <c r="J47" i="4"/>
  <c r="N47" i="4"/>
  <c r="E41" i="4"/>
  <c r="E45" i="4"/>
  <c r="F45" i="4"/>
  <c r="H45" i="4"/>
  <c r="G45" i="4"/>
  <c r="I45" i="4"/>
  <c r="L41" i="4"/>
  <c r="J45" i="4"/>
  <c r="K45" i="4"/>
  <c r="L45" i="4"/>
  <c r="M45" i="4"/>
  <c r="N45" i="4"/>
  <c r="G30" i="4"/>
  <c r="H41" i="4"/>
  <c r="I41" i="4"/>
  <c r="G41" i="4"/>
  <c r="J41" i="4"/>
  <c r="K41" i="4"/>
  <c r="N41" i="4"/>
  <c r="N34" i="4"/>
  <c r="N32" i="4"/>
  <c r="E32" i="4"/>
  <c r="E33" i="4"/>
  <c r="J32" i="4"/>
  <c r="J33" i="4"/>
  <c r="L32" i="4"/>
  <c r="L33" i="4"/>
  <c r="F32" i="4"/>
  <c r="F33" i="4"/>
  <c r="K32" i="4"/>
  <c r="K33" i="4"/>
  <c r="G32" i="4"/>
  <c r="G33" i="4"/>
  <c r="M32" i="4"/>
  <c r="M33" i="4"/>
  <c r="I32" i="4"/>
  <c r="I33" i="4"/>
  <c r="H32" i="4"/>
  <c r="H33" i="4"/>
  <c r="K30" i="4"/>
  <c r="L31" i="4"/>
  <c r="N31" i="4"/>
  <c r="I29" i="4"/>
  <c r="J31" i="4"/>
  <c r="F31" i="4"/>
  <c r="M29" i="4"/>
  <c r="I30" i="4"/>
  <c r="E30" i="4"/>
  <c r="K31" i="4"/>
  <c r="H31" i="4"/>
  <c r="G31" i="4"/>
  <c r="I31" i="4"/>
  <c r="E31" i="4"/>
  <c r="H29" i="4"/>
  <c r="F30" i="4"/>
  <c r="J30" i="4"/>
  <c r="H30" i="4"/>
  <c r="L30" i="4"/>
  <c r="E29" i="4"/>
  <c r="M30" i="4"/>
  <c r="N30" i="4"/>
  <c r="F29" i="4"/>
  <c r="G29" i="4"/>
  <c r="J29" i="4"/>
  <c r="K29" i="4"/>
  <c r="L29" i="4"/>
  <c r="N29" i="4"/>
  <c r="G23" i="7"/>
  <c r="G26" i="7"/>
  <c r="G28" i="7"/>
  <c r="G19" i="7"/>
  <c r="E13" i="7" a="1"/>
  <c r="E13" i="7" s="1"/>
  <c r="C13" i="7" a="1"/>
  <c r="C13" i="7" s="1"/>
  <c r="A13" i="7" a="1"/>
  <c r="A13" i="7" s="1"/>
  <c r="E33" i="7" a="1"/>
  <c r="E33" i="7" s="1"/>
  <c r="E9" i="7" a="1"/>
  <c r="E9" i="7" s="1"/>
  <c r="E8" i="7" a="1"/>
  <c r="E8" i="7" s="1"/>
  <c r="C20" i="7" a="1"/>
  <c r="C20" i="7" s="1"/>
  <c r="C5" i="7" a="1"/>
  <c r="C5" i="7" s="1"/>
  <c r="C21" i="7" a="1"/>
  <c r="C21" i="7" s="1"/>
  <c r="C32" i="7" a="1"/>
  <c r="C32" i="7" s="1"/>
  <c r="C30" i="7" a="1"/>
  <c r="C30" i="7" s="1"/>
  <c r="C31" i="7" a="1"/>
  <c r="C31" i="7" s="1"/>
  <c r="C33" i="7" a="1"/>
  <c r="C33" i="7" s="1"/>
  <c r="C4" i="7" a="1"/>
  <c r="C4" i="7" s="1"/>
  <c r="C22" i="7" a="1"/>
  <c r="C22" i="7" s="1"/>
  <c r="C9" i="7" a="1"/>
  <c r="C9" i="7" s="1"/>
  <c r="C11" i="7" a="1"/>
  <c r="C11" i="7" s="1"/>
  <c r="C8" i="7" a="1"/>
  <c r="C8" i="7" s="1"/>
  <c r="C29" i="7" a="1"/>
  <c r="C29" i="7" s="1"/>
  <c r="C27" i="7" a="1"/>
  <c r="C27" i="7" s="1"/>
  <c r="C24" i="7" a="1"/>
  <c r="C24" i="7" s="1"/>
  <c r="A21" i="7" a="1"/>
  <c r="A21" i="7" s="1"/>
  <c r="A32" i="7" a="1"/>
  <c r="A32" i="7" s="1"/>
  <c r="A30" i="7" a="1"/>
  <c r="A30" i="7" s="1"/>
  <c r="A31" i="7" a="1"/>
  <c r="A31" i="7" s="1"/>
  <c r="A33" i="7" a="1"/>
  <c r="A33" i="7" s="1"/>
  <c r="A4" i="7" a="1"/>
  <c r="A4" i="7" s="1"/>
  <c r="A22" i="7" a="1"/>
  <c r="A22" i="7" s="1"/>
  <c r="A9" i="7" a="1"/>
  <c r="A9" i="7" s="1"/>
  <c r="A11" i="7" a="1"/>
  <c r="A11" i="7" s="1"/>
  <c r="A8" i="7" a="1"/>
  <c r="A8" i="7" s="1"/>
  <c r="A29" i="7" a="1"/>
  <c r="A29" i="7" s="1"/>
  <c r="A27" i="7" a="1"/>
  <c r="A27" i="7" s="1"/>
  <c r="A24" i="7" a="1"/>
  <c r="A24" i="7" s="1"/>
  <c r="E4" i="7" a="1"/>
  <c r="E4" i="7" s="1"/>
  <c r="E22" i="7" a="1"/>
  <c r="E22" i="7" s="1"/>
  <c r="E11" i="7" a="1"/>
  <c r="E11" i="7" s="1"/>
  <c r="E29" i="7" a="1"/>
  <c r="E29" i="7" s="1"/>
  <c r="E27" i="7" a="1"/>
  <c r="E27" i="7" s="1"/>
  <c r="E24" i="7" a="1"/>
  <c r="E24" i="7" s="1"/>
  <c r="G17" i="7"/>
  <c r="C25" i="7" a="1"/>
  <c r="C25" i="7" s="1"/>
  <c r="C2" i="7" a="1"/>
  <c r="C2" i="7" s="1"/>
  <c r="C16" i="7" a="1"/>
  <c r="C16" i="7" s="1"/>
  <c r="C14" i="7" a="1"/>
  <c r="C14" i="7" s="1"/>
  <c r="C10" i="7" a="1"/>
  <c r="C10" i="7" s="1"/>
  <c r="C12" i="7" a="1"/>
  <c r="C12" i="7" s="1"/>
  <c r="C18" i="7" a="1"/>
  <c r="C18" i="7" s="1"/>
  <c r="C7" i="7" a="1"/>
  <c r="C7" i="7" s="1"/>
  <c r="C6" i="7" a="1"/>
  <c r="C6" i="7" s="1"/>
  <c r="C15" i="7" a="1"/>
  <c r="C15" i="7" s="1"/>
  <c r="C3" i="7" a="1"/>
  <c r="C3" i="7" s="1"/>
  <c r="E5" i="7" a="1"/>
  <c r="E5" i="7" s="1"/>
  <c r="E30" i="7" a="1"/>
  <c r="E30" i="7" s="1"/>
  <c r="E32" i="7" a="1"/>
  <c r="E32" i="7" s="1"/>
  <c r="E21" i="7" a="1"/>
  <c r="E21" i="7" s="1"/>
  <c r="E31" i="7" a="1"/>
  <c r="E31" i="7" s="1"/>
  <c r="E25" i="7" a="1"/>
  <c r="E25" i="7" s="1"/>
  <c r="E20" i="7" a="1"/>
  <c r="E20" i="7" s="1"/>
  <c r="E2" i="7" a="1"/>
  <c r="E2" i="7" s="1"/>
  <c r="E16" i="7" a="1"/>
  <c r="E16" i="7" s="1"/>
  <c r="E14" i="7" a="1"/>
  <c r="E14" i="7" s="1"/>
  <c r="E10" i="7" a="1"/>
  <c r="E10" i="7" s="1"/>
  <c r="E12" i="7" a="1"/>
  <c r="E12" i="7" s="1"/>
  <c r="E18" i="7" a="1"/>
  <c r="E18" i="7" s="1"/>
  <c r="E7" i="7" a="1"/>
  <c r="E7" i="7" s="1"/>
  <c r="E6" i="7" a="1"/>
  <c r="E6" i="7" s="1"/>
  <c r="E15" i="7" a="1"/>
  <c r="E15" i="7" s="1"/>
  <c r="G3" i="7"/>
  <c r="A7" i="7" a="1"/>
  <c r="A7" i="7" s="1"/>
  <c r="A18" i="7" a="1"/>
  <c r="A18" i="7" s="1"/>
  <c r="A12" i="7" a="1"/>
  <c r="A12" i="7" s="1"/>
  <c r="A10" i="7" a="1"/>
  <c r="A10" i="7" s="1"/>
  <c r="A14" i="7" a="1"/>
  <c r="A14" i="7" s="1"/>
  <c r="A16" i="7" a="1"/>
  <c r="A16" i="7" s="1"/>
  <c r="A2" i="7" a="1"/>
  <c r="A2" i="7" s="1"/>
  <c r="A20" i="7" a="1"/>
  <c r="A20" i="7" s="1"/>
  <c r="A25" i="7" a="1"/>
  <c r="A25" i="7" s="1"/>
  <c r="A5" i="7" a="1"/>
  <c r="A5" i="7" s="1"/>
  <c r="A6" i="7" a="1"/>
  <c r="A6" i="7" s="1"/>
  <c r="A15" i="7" a="1"/>
  <c r="A15" i="7" s="1"/>
  <c r="A3" i="7" a="1"/>
  <c r="A3" i="7" s="1"/>
  <c r="R37" i="4"/>
  <c r="U57" i="4"/>
  <c r="T57" i="4"/>
  <c r="S57" i="4"/>
  <c r="R57" i="4"/>
  <c r="R56" i="4"/>
  <c r="R55" i="4"/>
  <c r="R54" i="4"/>
  <c r="R53" i="4"/>
  <c r="U37" i="4"/>
  <c r="T37" i="4"/>
  <c r="S37" i="4"/>
  <c r="AD4" i="4"/>
  <c r="AD5" i="4" s="1"/>
  <c r="J5" i="4" a="1"/>
  <c r="J5" i="4" s="1"/>
  <c r="I2" i="4" s="1" a="1"/>
  <c r="I2" i="4" s="1"/>
  <c r="K9" i="4" a="1"/>
  <c r="K9" i="4" s="1"/>
  <c r="K8" i="4" a="1"/>
  <c r="K8" i="4" s="1"/>
  <c r="M6" i="4" a="1"/>
  <c r="M6" i="4" s="1"/>
  <c r="L6" i="4" a="1"/>
  <c r="L6" i="4" s="1"/>
  <c r="L2" i="4" a="1"/>
  <c r="L2" i="4" s="1"/>
  <c r="D4" i="4" a="1"/>
  <c r="D4" i="4" s="1"/>
  <c r="U21" i="4"/>
  <c r="T21" i="4"/>
  <c r="S21" i="4"/>
  <c r="R21" i="4"/>
  <c r="U23" i="4"/>
  <c r="T23" i="4"/>
  <c r="S23" i="4"/>
  <c r="R23" i="4"/>
  <c r="U22" i="4"/>
  <c r="T22" i="4"/>
  <c r="S22" i="4"/>
  <c r="R22" i="4"/>
  <c r="U55" i="4"/>
  <c r="T55" i="4"/>
  <c r="S55" i="4"/>
  <c r="U54" i="4"/>
  <c r="T54" i="4"/>
  <c r="S54" i="4"/>
  <c r="U53" i="4"/>
  <c r="T53" i="4"/>
  <c r="S53" i="4"/>
  <c r="U36" i="4"/>
  <c r="T36" i="4"/>
  <c r="S36" i="4"/>
  <c r="R36" i="4"/>
  <c r="U48" i="4"/>
  <c r="T48" i="4"/>
  <c r="S48" i="4"/>
  <c r="R48" i="4"/>
  <c r="U44" i="4"/>
  <c r="T44" i="4"/>
  <c r="S44" i="4"/>
  <c r="R44" i="4"/>
  <c r="U40" i="4"/>
  <c r="T40" i="4"/>
  <c r="S40" i="4"/>
  <c r="R40" i="4"/>
  <c r="U25" i="4"/>
  <c r="T25" i="4"/>
  <c r="S25" i="4"/>
  <c r="R25" i="4"/>
  <c r="U24" i="4"/>
  <c r="T24" i="4"/>
  <c r="S24" i="4"/>
  <c r="R24" i="4"/>
  <c r="U46" i="4" l="1"/>
  <c r="R46" i="4"/>
  <c r="S46" i="4"/>
  <c r="U43" i="4"/>
  <c r="U49" i="4"/>
  <c r="T43" i="4"/>
  <c r="R43" i="4"/>
  <c r="S43" i="4"/>
  <c r="U42" i="4"/>
  <c r="S50" i="4"/>
  <c r="R50" i="4"/>
  <c r="U50" i="4"/>
  <c r="R42" i="4"/>
  <c r="T50" i="4"/>
  <c r="S42" i="4"/>
  <c r="T42" i="4"/>
  <c r="S49" i="4"/>
  <c r="T49" i="4"/>
  <c r="R49" i="4"/>
  <c r="U47" i="4"/>
  <c r="S47" i="4"/>
  <c r="T47" i="4"/>
  <c r="U45" i="4"/>
  <c r="R47" i="4"/>
  <c r="U41" i="4"/>
  <c r="S45" i="4"/>
  <c r="T45" i="4"/>
  <c r="R45" i="4"/>
  <c r="T41" i="4"/>
  <c r="R41" i="4"/>
  <c r="S41" i="4"/>
  <c r="R32" i="4"/>
  <c r="T32" i="4"/>
  <c r="S32" i="4"/>
  <c r="U32" i="4"/>
  <c r="N9" i="4"/>
  <c r="T31" i="4"/>
  <c r="U31" i="4"/>
  <c r="T30" i="4"/>
  <c r="U29" i="4"/>
  <c r="S30" i="4"/>
  <c r="R30" i="4"/>
  <c r="U30" i="4"/>
  <c r="S31" i="4"/>
  <c r="R31" i="4"/>
  <c r="R29" i="4"/>
  <c r="S29" i="4"/>
  <c r="T29" i="4"/>
  <c r="A19" i="5" a="1"/>
  <c r="A19" i="5" s="1"/>
  <c r="G32" i="7"/>
  <c r="G14" i="7"/>
  <c r="G30" i="7"/>
  <c r="G29" i="7"/>
  <c r="G8" i="7"/>
  <c r="G16" i="7"/>
  <c r="G5" i="7"/>
  <c r="G11" i="7"/>
  <c r="G9" i="7"/>
  <c r="G27" i="7"/>
  <c r="G15" i="7"/>
  <c r="G2" i="7"/>
  <c r="G22" i="7"/>
  <c r="G33" i="7"/>
  <c r="G10" i="7"/>
  <c r="G6" i="7"/>
  <c r="G20" i="7"/>
  <c r="G4" i="7"/>
  <c r="G25" i="7"/>
  <c r="G7" i="7"/>
  <c r="G18" i="7"/>
  <c r="G31" i="7"/>
  <c r="G12" i="7"/>
  <c r="G21" i="7"/>
  <c r="G24" i="7"/>
  <c r="G13" i="7"/>
  <c r="K17" i="4"/>
  <c r="S7" i="4" s="1"/>
  <c r="R5" i="4"/>
  <c r="U58" i="4"/>
  <c r="S58" i="4"/>
  <c r="R58" i="4"/>
  <c r="T58" i="4"/>
  <c r="U56" i="4"/>
  <c r="S56" i="4"/>
  <c r="T56" i="4"/>
  <c r="AD6" i="4"/>
  <c r="S5" i="4"/>
  <c r="T34" i="4" l="1"/>
  <c r="N8" i="4"/>
  <c r="S34" i="4"/>
  <c r="U34" i="4"/>
  <c r="R34" i="4"/>
  <c r="G34" i="7"/>
  <c r="R7" i="4"/>
  <c r="U7" i="4"/>
  <c r="T7" i="4"/>
  <c r="AD7" i="4"/>
  <c r="T5" i="4"/>
  <c r="U5" i="4"/>
  <c r="AD8" i="4" l="1"/>
  <c r="AD9" i="4" s="1"/>
  <c r="AD10" i="4" s="1"/>
  <c r="AD11" i="4" l="1"/>
  <c r="AD12" i="4" s="1"/>
  <c r="AD13" i="4" s="1"/>
  <c r="AD14" i="4" s="1"/>
  <c r="AE15" i="4" s="1"/>
  <c r="S16" i="4" s="1"/>
  <c r="U17"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1">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futureMetadata>
  <cellMetadata count="1">
    <bk>
      <rc t="1" v="0"/>
    </bk>
  </cellMetadata>
  <valueMetadata count="31">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valueMetadata>
</metadata>
</file>

<file path=xl/sharedStrings.xml><?xml version="1.0" encoding="utf-8"?>
<sst xmlns="http://schemas.openxmlformats.org/spreadsheetml/2006/main" count="879" uniqueCount="615">
  <si>
    <t xml:space="preserve"> </t>
  </si>
  <si>
    <t>Revenue</t>
  </si>
  <si>
    <t>Gross Profit</t>
  </si>
  <si>
    <t>EBITDA</t>
  </si>
  <si>
    <t>Operating Income</t>
  </si>
  <si>
    <t>Net Income</t>
  </si>
  <si>
    <t>EPS</t>
  </si>
  <si>
    <t>Short-Term Investments</t>
  </si>
  <si>
    <t>Cash and Short-Term Investments</t>
  </si>
  <si>
    <t>Short-Term Debt</t>
  </si>
  <si>
    <t>Long-Term Debt</t>
  </si>
  <si>
    <t>Free Cash Flow</t>
  </si>
  <si>
    <t>FCF per share</t>
  </si>
  <si>
    <t>Total Debt</t>
  </si>
  <si>
    <t>Net Debt</t>
  </si>
  <si>
    <t>Revenue per share</t>
  </si>
  <si>
    <t>Operating Income per share</t>
  </si>
  <si>
    <t>Dividends per share</t>
  </si>
  <si>
    <t>Units in:</t>
  </si>
  <si>
    <t>R&amp;D %</t>
  </si>
  <si>
    <t>SG&amp;A %</t>
  </si>
  <si>
    <t>Other %</t>
  </si>
  <si>
    <t>Depreciation &amp; Amortization %</t>
  </si>
  <si>
    <t>Interest Income %</t>
  </si>
  <si>
    <t>y/y</t>
  </si>
  <si>
    <t>3y. CAGR</t>
  </si>
  <si>
    <t>5y. CAGR</t>
  </si>
  <si>
    <t>9y. CAGR</t>
  </si>
  <si>
    <t>Shares Diluted</t>
  </si>
  <si>
    <t>Revenue %</t>
  </si>
  <si>
    <t>Return on Assets %</t>
  </si>
  <si>
    <t>Return on Equity %</t>
  </si>
  <si>
    <t>Return on Invested Capital %</t>
  </si>
  <si>
    <t>Price</t>
  </si>
  <si>
    <t>Industry:</t>
  </si>
  <si>
    <t>Change:</t>
  </si>
  <si>
    <t>Billions</t>
  </si>
  <si>
    <t>52 W. High:</t>
  </si>
  <si>
    <t>52 W. Low:</t>
  </si>
  <si>
    <t>Market Cap:</t>
  </si>
  <si>
    <t>Valuation Summary</t>
  </si>
  <si>
    <t>Dividend Yield:</t>
  </si>
  <si>
    <t>Dividend Payout:</t>
  </si>
  <si>
    <t>Institutional Ownership</t>
  </si>
  <si>
    <t>Insider Ownership</t>
  </si>
  <si>
    <t>PER</t>
  </si>
  <si>
    <t>P/FCF</t>
  </si>
  <si>
    <t>PEG</t>
  </si>
  <si>
    <t>Earnings Yield</t>
  </si>
  <si>
    <t>Enterprise Value</t>
  </si>
  <si>
    <t>Cash &amp; Investments</t>
  </si>
  <si>
    <t>Net Debt w/Investments</t>
  </si>
  <si>
    <t>Cash &amp; Cash Equivalents</t>
  </si>
  <si>
    <t>Cash &amp; Short-Term Investments</t>
  </si>
  <si>
    <t>Long-Term Investements</t>
  </si>
  <si>
    <t>B</t>
  </si>
  <si>
    <t>EV/FCF</t>
  </si>
  <si>
    <t>EV/E</t>
  </si>
  <si>
    <t>EV/FCF/G</t>
  </si>
  <si>
    <t>FCF Yield</t>
  </si>
  <si>
    <t>Growth 1-5 years:</t>
  </si>
  <si>
    <t>Growth 6-10 years:</t>
  </si>
  <si>
    <t>Interest Rate:</t>
  </si>
  <si>
    <t>Exit Multiple:</t>
  </si>
  <si>
    <t>Earnings:</t>
  </si>
  <si>
    <t>Mult:</t>
  </si>
  <si>
    <t>ROE:</t>
  </si>
  <si>
    <t>ROA:</t>
  </si>
  <si>
    <t>Assets required to generate a certain amount of net income</t>
  </si>
  <si>
    <t>Equity required to generate a certain amount of net income</t>
  </si>
  <si>
    <t>ROIC:</t>
  </si>
  <si>
    <t>How much net income does a company generate with all its capital</t>
  </si>
  <si>
    <t>Asset Turnover Ratio:</t>
  </si>
  <si>
    <t>How dependent is a company on its assets to generate revenue / How efficient is using its assets to generate revenue</t>
  </si>
  <si>
    <t>Asset Turnover Ratio</t>
  </si>
  <si>
    <t>Inventory Turnover</t>
  </si>
  <si>
    <t>Inventory Turnover:</t>
  </si>
  <si>
    <t>How many times per year does a company sell off all its Inventory?</t>
  </si>
  <si>
    <t>Receivables Turnover</t>
  </si>
  <si>
    <t>Return on Capital Employed %</t>
  </si>
  <si>
    <t>Cash Flow Return on Investment %</t>
  </si>
  <si>
    <t>Gross Margin %</t>
  </si>
  <si>
    <t>EBITDA Margin %</t>
  </si>
  <si>
    <t>Operating Margin %</t>
  </si>
  <si>
    <t>Net Margin %</t>
  </si>
  <si>
    <t>Free Cash Flow Margin %</t>
  </si>
  <si>
    <t>Upside</t>
  </si>
  <si>
    <t>X</t>
  </si>
  <si>
    <t>ALTO</t>
  </si>
  <si>
    <t>MUY ALINEADA</t>
  </si>
  <si>
    <t>MEDIO</t>
  </si>
  <si>
    <t>MUY BAJO</t>
  </si>
  <si>
    <t>CAJA</t>
  </si>
  <si>
    <t>AMPLIO</t>
  </si>
  <si>
    <t>BAJO</t>
  </si>
  <si>
    <t>GRANDE</t>
  </si>
  <si>
    <t>BAJA</t>
  </si>
  <si>
    <t>MEDIA</t>
  </si>
  <si>
    <t>ALINEADA</t>
  </si>
  <si>
    <t>Premier Antiaging Co</t>
  </si>
  <si>
    <t>Cosmetics</t>
  </si>
  <si>
    <t>Ticker</t>
  </si>
  <si>
    <t>Nombre</t>
  </si>
  <si>
    <t>Sector</t>
  </si>
  <si>
    <t>Precio</t>
  </si>
  <si>
    <t>Objetivo</t>
  </si>
  <si>
    <t>Valoración</t>
  </si>
  <si>
    <t>Moat</t>
  </si>
  <si>
    <t>Deuda</t>
  </si>
  <si>
    <t>Directiva</t>
  </si>
  <si>
    <t>Last Modified</t>
  </si>
  <si>
    <t>ALTA</t>
  </si>
  <si>
    <t>CFROIC</t>
  </si>
  <si>
    <t>Current Ratio</t>
  </si>
  <si>
    <t>Z-Score</t>
  </si>
  <si>
    <t>EBITDA / Net Debt</t>
  </si>
  <si>
    <t>M. Bruto</t>
  </si>
  <si>
    <t>M. Neto</t>
  </si>
  <si>
    <t>Riesgo</t>
  </si>
  <si>
    <t>Δ FCF</t>
  </si>
  <si>
    <t>Δ EPS</t>
  </si>
  <si>
    <t>Δ Rev.</t>
  </si>
  <si>
    <t>Total</t>
  </si>
  <si>
    <t>MALA</t>
  </si>
  <si>
    <t>IR</t>
  </si>
  <si>
    <t>TTM</t>
  </si>
  <si>
    <t>Multiplier</t>
  </si>
  <si>
    <t>Inventory</t>
  </si>
  <si>
    <t>Other Current Assets</t>
  </si>
  <si>
    <t>Total Current Assets</t>
  </si>
  <si>
    <t>Goodwill</t>
  </si>
  <si>
    <t>Total Assets</t>
  </si>
  <si>
    <t>Accounts Payable</t>
  </si>
  <si>
    <t>Other Current Liabilities</t>
  </si>
  <si>
    <t>Total Current Liabilities</t>
  </si>
  <si>
    <t>Total Liabilities</t>
  </si>
  <si>
    <t>Common Stock</t>
  </si>
  <si>
    <t>Retained Earnings</t>
  </si>
  <si>
    <t>Minority Interest</t>
  </si>
  <si>
    <t>Accounts Receivable</t>
  </si>
  <si>
    <t>80-100%</t>
  </si>
  <si>
    <t>Income Statement | TIKR.com</t>
  </si>
  <si>
    <t>LTM</t>
  </si>
  <si>
    <t>Revenues</t>
  </si>
  <si>
    <t>110.855,00</t>
  </si>
  <si>
    <t>136.819,00</t>
  </si>
  <si>
    <t>161.857,00</t>
  </si>
  <si>
    <t>182.527,00</t>
  </si>
  <si>
    <t>257.637,00</t>
  </si>
  <si>
    <t>282.113,00</t>
  </si>
  <si>
    <t>Total Revenues</t>
  </si>
  <si>
    <t>   % Change YoY</t>
  </si>
  <si>
    <t>23,4 %</t>
  </si>
  <si>
    <t>18,3 %</t>
  </si>
  <si>
    <t>12,8 %</t>
  </si>
  <si>
    <t>41,2 %</t>
  </si>
  <si>
    <t>Cost of Goods Sold</t>
  </si>
  <si>
    <t>(45.583,00)</t>
  </si>
  <si>
    <t>(59.549,00)</t>
  </si>
  <si>
    <t>(71.896,00)</t>
  </si>
  <si>
    <t>(84.732,00)</t>
  </si>
  <si>
    <t>(110.939,00)</t>
  </si>
  <si>
    <t>(123.849,00)</t>
  </si>
  <si>
    <t>65.272,00</t>
  </si>
  <si>
    <t>77.270,00</t>
  </si>
  <si>
    <t>89.961,00</t>
  </si>
  <si>
    <t>97.795,00</t>
  </si>
  <si>
    <t>146.698,00</t>
  </si>
  <si>
    <t>158.264,00</t>
  </si>
  <si>
    <t>18,4 %</t>
  </si>
  <si>
    <t>16,4 %</t>
  </si>
  <si>
    <t>8,7 %</t>
  </si>
  <si>
    <t>50,0 %</t>
  </si>
  <si>
    <t>   % Gross Margins</t>
  </si>
  <si>
    <t>58,9 %</t>
  </si>
  <si>
    <t>56,5 %</t>
  </si>
  <si>
    <t>55,6 %</t>
  </si>
  <si>
    <t>53,6 %</t>
  </si>
  <si>
    <t>56,9 %</t>
  </si>
  <si>
    <t>56,1 %</t>
  </si>
  <si>
    <t>Selling General &amp; Admin Expenses</t>
  </si>
  <si>
    <t>(19.733,00)</t>
  </si>
  <si>
    <t>(23.256,00)</t>
  </si>
  <si>
    <t>(28.015,00)</t>
  </si>
  <si>
    <t>(28.998,00)</t>
  </si>
  <si>
    <t>(36.422,00)</t>
  </si>
  <si>
    <t>(41.756,00)</t>
  </si>
  <si>
    <t>R&amp;D Expenses</t>
  </si>
  <si>
    <t>(16.625,00)</t>
  </si>
  <si>
    <t>(21.419,00)</t>
  </si>
  <si>
    <t>(26.018,00)</t>
  </si>
  <si>
    <t>(27.573,00)</t>
  </si>
  <si>
    <t>(31.562,00)</t>
  </si>
  <si>
    <t>(37.941,00)</t>
  </si>
  <si>
    <t>Total Operating Expenses</t>
  </si>
  <si>
    <t>(36.358,00)</t>
  </si>
  <si>
    <t>(44.675,00)</t>
  </si>
  <si>
    <t>(54.033,00)</t>
  </si>
  <si>
    <t>(56.571,00)</t>
  </si>
  <si>
    <t>(67.984,00)</t>
  </si>
  <si>
    <t>(79.697,00)</t>
  </si>
  <si>
    <t>28.914,00</t>
  </si>
  <si>
    <t>32.595,00</t>
  </si>
  <si>
    <t>35.928,00</t>
  </si>
  <si>
    <t>41.224,00</t>
  </si>
  <si>
    <t>78.714,00</t>
  </si>
  <si>
    <t>78.567,00</t>
  </si>
  <si>
    <t>12,7 %</t>
  </si>
  <si>
    <t>10,2 %</t>
  </si>
  <si>
    <t>14,7 %</t>
  </si>
  <si>
    <t>90,9 %</t>
  </si>
  <si>
    <t>   % Operating Margins</t>
  </si>
  <si>
    <t>26,1 %</t>
  </si>
  <si>
    <t>23,8 %</t>
  </si>
  <si>
    <t>22,2 %</t>
  </si>
  <si>
    <t>22,6 %</t>
  </si>
  <si>
    <t>30,6 %</t>
  </si>
  <si>
    <t>27,8 %</t>
  </si>
  <si>
    <t>Interest Expense</t>
  </si>
  <si>
    <t>(109,00)</t>
  </si>
  <si>
    <t>(114,00)</t>
  </si>
  <si>
    <t>(100,00)</t>
  </si>
  <si>
    <t>(135,00)</t>
  </si>
  <si>
    <t>(346,00)</t>
  </si>
  <si>
    <t>(384,00)</t>
  </si>
  <si>
    <t>Interest And Investment Income</t>
  </si>
  <si>
    <t>1312,00</t>
  </si>
  <si>
    <t>1878,00</t>
  </si>
  <si>
    <t>2427,00</t>
  </si>
  <si>
    <t>1865,00</t>
  </si>
  <si>
    <t>1499,00</t>
  </si>
  <si>
    <t>1893,00</t>
  </si>
  <si>
    <t>Currency Exchange Gains (Loss)</t>
  </si>
  <si>
    <t>(121,00)</t>
  </si>
  <si>
    <t>(80,00)</t>
  </si>
  <si>
    <t>103,00</t>
  </si>
  <si>
    <t>(344,00)</t>
  </si>
  <si>
    <t>(240,00)</t>
  </si>
  <si>
    <t>(632,00)</t>
  </si>
  <si>
    <t>Other Non Operating Income (Expenses)</t>
  </si>
  <si>
    <t>126,00</t>
  </si>
  <si>
    <t>(825,00)</t>
  </si>
  <si>
    <t>(224,00)</t>
  </si>
  <si>
    <t>(1589,00)</t>
  </si>
  <si>
    <t>682,00</t>
  </si>
  <si>
    <t>EBT Excl. Unusual Items</t>
  </si>
  <si>
    <t>30.122,00</t>
  </si>
  <si>
    <t>33.454,00</t>
  </si>
  <si>
    <t>38.134,00</t>
  </si>
  <si>
    <t>42.266,00</t>
  </si>
  <si>
    <t>78.038,00</t>
  </si>
  <si>
    <t>80.126,00</t>
  </si>
  <si>
    <t>Gain (Loss) On Sale Of Investments</t>
  </si>
  <si>
    <t>(193,00)</t>
  </si>
  <si>
    <t>6530,00</t>
  </si>
  <si>
    <t>3188,00</t>
  </si>
  <si>
    <t>5816,00</t>
  </si>
  <si>
    <t>12.696,00</t>
  </si>
  <si>
    <t>(1543,00)</t>
  </si>
  <si>
    <t>Gain (Loss) On Sale Of Assets</t>
  </si>
  <si>
    <t>Asset Writedown</t>
  </si>
  <si>
    <t>In Process R&amp;D Expenses</t>
  </si>
  <si>
    <t>Legal Settlements</t>
  </si>
  <si>
    <t>(2736,00)</t>
  </si>
  <si>
    <t>(5071,00)</t>
  </si>
  <si>
    <t>(1697,00)</t>
  </si>
  <si>
    <t>Other Unusual Items</t>
  </si>
  <si>
    <t>EBT Incl. Unusual Items</t>
  </si>
  <si>
    <t>27.193,00</t>
  </si>
  <si>
    <t>34.913,00</t>
  </si>
  <si>
    <t>39.625,00</t>
  </si>
  <si>
    <t>48.082,00</t>
  </si>
  <si>
    <t>90.734,00</t>
  </si>
  <si>
    <t>78.583,00</t>
  </si>
  <si>
    <t>Income Tax Expense</t>
  </si>
  <si>
    <t>(14.531,00)</t>
  </si>
  <si>
    <t>(4177,00)</t>
  </si>
  <si>
    <t>(5282,00)</t>
  </si>
  <si>
    <t>(7813,00)</t>
  </si>
  <si>
    <t>(14.701,00)</t>
  </si>
  <si>
    <t>(11.593,00)</t>
  </si>
  <si>
    <t>Earnings From Continuing Operations</t>
  </si>
  <si>
    <t>12.662,00</t>
  </si>
  <si>
    <t>30.736,00</t>
  </si>
  <si>
    <t>34.343,00</t>
  </si>
  <si>
    <t>40.269,00</t>
  </si>
  <si>
    <t>76.033,00</t>
  </si>
  <si>
    <t>66.990,00</t>
  </si>
  <si>
    <t>Earnings Of Discontinued Operations</t>
  </si>
  <si>
    <t>Net Income to Company</t>
  </si>
  <si>
    <t>Net Income to Common Incl Extra Items</t>
  </si>
  <si>
    <t>   % Net Income to Common Incl Extra Items Margins</t>
  </si>
  <si>
    <t>11,4 %</t>
  </si>
  <si>
    <t>22,5 %</t>
  </si>
  <si>
    <t>21,2 %</t>
  </si>
  <si>
    <t>22,1 %</t>
  </si>
  <si>
    <t>29,5 %</t>
  </si>
  <si>
    <t>23,7 %</t>
  </si>
  <si>
    <t>Net Income to Common Excl. Extra Items</t>
  </si>
  <si>
    <t>   % Net Income to Common Excl. Extra Items Margins</t>
  </si>
  <si>
    <t>Supplementary Data:</t>
  </si>
  <si>
    <t>Diluted EPS Excl Extra Items</t>
  </si>
  <si>
    <t>0,90</t>
  </si>
  <si>
    <t>2,19</t>
  </si>
  <si>
    <t>2,46</t>
  </si>
  <si>
    <t>2,93</t>
  </si>
  <si>
    <t>5,61</t>
  </si>
  <si>
    <t>5,04</t>
  </si>
  <si>
    <t>142,8 %</t>
  </si>
  <si>
    <t>12,5 %</t>
  </si>
  <si>
    <t>19,2 %</t>
  </si>
  <si>
    <t>91,4 %</t>
  </si>
  <si>
    <t>Weighted Average Diluted Shares Outstanding</t>
  </si>
  <si>
    <t>14.071,68</t>
  </si>
  <si>
    <t>14.065,70</t>
  </si>
  <si>
    <t>13.971,12</t>
  </si>
  <si>
    <t>13.740,56</t>
  </si>
  <si>
    <t>13.553,48</t>
  </si>
  <si>
    <t>13.284,23</t>
  </si>
  <si>
    <t>(0,0 %)</t>
  </si>
  <si>
    <t>(0,7 %)</t>
  </si>
  <si>
    <t>(1,7 %)</t>
  </si>
  <si>
    <t>(1,4 %)</t>
  </si>
  <si>
    <t>Weighted Average Basic Shares Outstanding</t>
  </si>
  <si>
    <t>13.858,02</t>
  </si>
  <si>
    <t>13.902,80</t>
  </si>
  <si>
    <t>13.851,92</t>
  </si>
  <si>
    <t>13.616,32</t>
  </si>
  <si>
    <t>13.353,00</t>
  </si>
  <si>
    <t>13.152,00</t>
  </si>
  <si>
    <t>0,3 %</t>
  </si>
  <si>
    <t>(0,4 %)</t>
  </si>
  <si>
    <t>(1,9 %)</t>
  </si>
  <si>
    <t>Basic EPS</t>
  </si>
  <si>
    <t>0,91</t>
  </si>
  <si>
    <t>2,21</t>
  </si>
  <si>
    <t>2,48</t>
  </si>
  <si>
    <t>2,96</t>
  </si>
  <si>
    <t>5,69</t>
  </si>
  <si>
    <t>5,09</t>
  </si>
  <si>
    <t>35.813,00</t>
  </si>
  <si>
    <t>41.624,00</t>
  </si>
  <si>
    <t>47.579,00</t>
  </si>
  <si>
    <t>54.903,00</t>
  </si>
  <si>
    <t>91.144,00</t>
  </si>
  <si>
    <t>93.733,00</t>
  </si>
  <si>
    <t>16,2 %</t>
  </si>
  <si>
    <t>14,3 %</t>
  </si>
  <si>
    <t>15,4 %</t>
  </si>
  <si>
    <t>66,0 %</t>
  </si>
  <si>
    <t>EBITDAR</t>
  </si>
  <si>
    <t>36.913,00</t>
  </si>
  <si>
    <t>57.789,00</t>
  </si>
  <si>
    <t>94.569,00</t>
  </si>
  <si>
    <t>R&amp;D Expense</t>
  </si>
  <si>
    <t>16.625,00</t>
  </si>
  <si>
    <t>21.419,00</t>
  </si>
  <si>
    <t>26.018,00</t>
  </si>
  <si>
    <t>27.573,00</t>
  </si>
  <si>
    <t>31.562,00</t>
  </si>
  <si>
    <t>37.941,00</t>
  </si>
  <si>
    <t>Selling and Marketing Expense</t>
  </si>
  <si>
    <t>12.893,00</t>
  </si>
  <si>
    <t>16.333,00</t>
  </si>
  <si>
    <t>18.464,00</t>
  </si>
  <si>
    <t>17.946,00</t>
  </si>
  <si>
    <t>22.912,00</t>
  </si>
  <si>
    <t>26.988,00</t>
  </si>
  <si>
    <t>General and Administrative Expense</t>
  </si>
  <si>
    <t>6840,00</t>
  </si>
  <si>
    <t>6923,00</t>
  </si>
  <si>
    <t>9551,00</t>
  </si>
  <si>
    <t>11.052,00</t>
  </si>
  <si>
    <t>13.510,00</t>
  </si>
  <si>
    <t>14.768,00</t>
  </si>
  <si>
    <t>Effective Tax Rate %</t>
  </si>
  <si>
    <t>53,4 %</t>
  </si>
  <si>
    <t>12,0 %</t>
  </si>
  <si>
    <t>13,3 %</t>
  </si>
  <si>
    <t>14,8 %</t>
  </si>
  <si>
    <t>Stock-Based Compensation</t>
  </si>
  <si>
    <t>Depreciation &amp; Amortization</t>
  </si>
  <si>
    <t>Amortization of Goodwill and Intangible Assets</t>
  </si>
  <si>
    <t>Balance Sheet | TIKR.com</t>
  </si>
  <si>
    <t>Cash And Equivalents</t>
  </si>
  <si>
    <t>Short Term Investments</t>
  </si>
  <si>
    <t>Trading Asset Securities</t>
  </si>
  <si>
    <t>Total Cash And Short Term Investments</t>
  </si>
  <si>
    <t>Other Receivables</t>
  </si>
  <si>
    <t>Notes Receivable</t>
  </si>
  <si>
    <t>Total Receivables</t>
  </si>
  <si>
    <t>Prepaid Expenses</t>
  </si>
  <si>
    <t>Finance Division Loans and Leases Current</t>
  </si>
  <si>
    <t>Finance Division Other Current Assets</t>
  </si>
  <si>
    <t>Loans Held For Sale</t>
  </si>
  <si>
    <t>Deferred Tax Assets Current</t>
  </si>
  <si>
    <t>Restricted Cash</t>
  </si>
  <si>
    <t>Gross Property Plant And Equipment</t>
  </si>
  <si>
    <t>Accumulated Depreciation</t>
  </si>
  <si>
    <t>Net Property Plant And Equipment</t>
  </si>
  <si>
    <t>Long-term Investments</t>
  </si>
  <si>
    <t>Other Intangibles</t>
  </si>
  <si>
    <t>Finance Division Loans and Leases Long-Term</t>
  </si>
  <si>
    <t>Finance Division Other Long-Term Assets</t>
  </si>
  <si>
    <t>Accounts Receivable Long-Term</t>
  </si>
  <si>
    <t>Loans Receivable Long-Term</t>
  </si>
  <si>
    <t>Deferred Tax Assets Long-Term</t>
  </si>
  <si>
    <t>Deferred Charges Long-Term</t>
  </si>
  <si>
    <t>Other Long-Term Assets</t>
  </si>
  <si>
    <t>Accrued Expenses</t>
  </si>
  <si>
    <t>Short-term Borrowings</t>
  </si>
  <si>
    <t>Current Portion of Long-Term Debt</t>
  </si>
  <si>
    <t>Current Portion of Capital Lease Obligations</t>
  </si>
  <si>
    <t>Finance Division Debt Current</t>
  </si>
  <si>
    <t>Finance Division Other Current Liabilities</t>
  </si>
  <si>
    <t>Current Income Taxes Payable</t>
  </si>
  <si>
    <t>Unearned Revenue Current</t>
  </si>
  <si>
    <t>Deferred Tax Liability Current</t>
  </si>
  <si>
    <t>Capital Leases</t>
  </si>
  <si>
    <t>Finance Division Debt Non Current</t>
  </si>
  <si>
    <t>Finance Division Other Non Current Liabilities</t>
  </si>
  <si>
    <t>Unearned Revenue Non Current</t>
  </si>
  <si>
    <t>Pension &amp; Other Post Retirement Benefits</t>
  </si>
  <si>
    <t>Deferred Tax Liability Non Current</t>
  </si>
  <si>
    <t>Other Non Current Liabilities</t>
  </si>
  <si>
    <t>Preferred Stock Redeemable</t>
  </si>
  <si>
    <t>Preferred Stock Non Redeemable</t>
  </si>
  <si>
    <t>Preferred Stock Convertible</t>
  </si>
  <si>
    <t>Preferred Stock - Others</t>
  </si>
  <si>
    <t>Total Preferred Equity</t>
  </si>
  <si>
    <t>Additional Paid In Capital</t>
  </si>
  <si>
    <t>Treasury Stock</t>
  </si>
  <si>
    <t>Comprehensive Income and Other</t>
  </si>
  <si>
    <t>Total Common Equity</t>
  </si>
  <si>
    <t>Total Equity</t>
  </si>
  <si>
    <t>Total Liabilities And Equity</t>
  </si>
  <si>
    <t>Total Shares Out. on Filing Date</t>
  </si>
  <si>
    <t>Book Value/Share</t>
  </si>
  <si>
    <t>Tangible Book Value</t>
  </si>
  <si>
    <t>Tangible Book Value/Share</t>
  </si>
  <si>
    <t>Total Minority Interest</t>
  </si>
  <si>
    <t>Equity Method Investments</t>
  </si>
  <si>
    <t>Land</t>
  </si>
  <si>
    <t>Buildings</t>
  </si>
  <si>
    <t>Construction In Progress</t>
  </si>
  <si>
    <t>Full Time Employees</t>
  </si>
  <si>
    <t>Cash Flow Statement | TIKR.com</t>
  </si>
  <si>
    <t>Impairment of Oil, Gas &amp; Mineral Properties</t>
  </si>
  <si>
    <t>Total Depreciation &amp; Amortization</t>
  </si>
  <si>
    <t>Amortization of Deferred Charges</t>
  </si>
  <si>
    <t>Minority Interest in Earnings</t>
  </si>
  <si>
    <t>(Gain) Loss From Sale Of Asset</t>
  </si>
  <si>
    <t>(Gain) Loss on Sale of Investments</t>
  </si>
  <si>
    <t>Asset Writedown &amp; Restructuring Costs</t>
  </si>
  <si>
    <t>Net (Increase) Decrease in Loans Originated / Sold - Operating</t>
  </si>
  <si>
    <t>Provision for Credit Losses</t>
  </si>
  <si>
    <t>(Income) Loss On Equity Investments</t>
  </si>
  <si>
    <t>Tax Benefit from Stock Options</t>
  </si>
  <si>
    <t>Provision and Write-off of Bad Debts</t>
  </si>
  <si>
    <t>Net Cash From Discontinued Operations</t>
  </si>
  <si>
    <t>Other Operating Activities</t>
  </si>
  <si>
    <t>Change in Trading Asset Securities</t>
  </si>
  <si>
    <t>Change In Accounts Receivable</t>
  </si>
  <si>
    <t>Change In Inventories</t>
  </si>
  <si>
    <t>Change In Accounts Payable</t>
  </si>
  <si>
    <t>Change in Unearned Revenues</t>
  </si>
  <si>
    <t>Change In Income Taxes</t>
  </si>
  <si>
    <t>Change In Deferred Taxes</t>
  </si>
  <si>
    <t>Change in Other Net Operating Assets</t>
  </si>
  <si>
    <t>Cash from Operations</t>
  </si>
  <si>
    <t>Memo: Change in Net Working Capital</t>
  </si>
  <si>
    <t>Capital Expenditure</t>
  </si>
  <si>
    <t>Sale of Property, Plant, and Equipment</t>
  </si>
  <si>
    <t>Cash Acquisitions</t>
  </si>
  <si>
    <t>Divestitures</t>
  </si>
  <si>
    <t>Sale (Purchase) of Real Estate properties</t>
  </si>
  <si>
    <t>Sale (Purchase) of Intangible assets</t>
  </si>
  <si>
    <t>Investment in Marketable and Equity Securities</t>
  </si>
  <si>
    <t>Net (Increase) Decrease in Loans Originated / Sold - Investing</t>
  </si>
  <si>
    <t>Other Investing Activities</t>
  </si>
  <si>
    <t>Cash from Investing</t>
  </si>
  <si>
    <t>Total Debt Issued</t>
  </si>
  <si>
    <t>Total Debt Repaid</t>
  </si>
  <si>
    <t>Issuance of Common Stock</t>
  </si>
  <si>
    <t>Repurchase of Common Stock</t>
  </si>
  <si>
    <t>Issuance of Preferred Stock</t>
  </si>
  <si>
    <t>Repurchase of Preferred Stock</t>
  </si>
  <si>
    <t>Common Dividends Paid</t>
  </si>
  <si>
    <t>Preferred Dividends Paid</t>
  </si>
  <si>
    <t>Common &amp; Preferred Stock Dividends Paid</t>
  </si>
  <si>
    <t>Special Dividend Paid</t>
  </si>
  <si>
    <t>Other Financing Activities</t>
  </si>
  <si>
    <t>Cash from Financing</t>
  </si>
  <si>
    <t>Foreign Exchange Rate Adjustments</t>
  </si>
  <si>
    <t>Miscellaneous Cash Flow Adjustments</t>
  </si>
  <si>
    <t>Net Change in Cash</t>
  </si>
  <si>
    <t>   % Free Cash Flow Margins</t>
  </si>
  <si>
    <t>Cash and Cash Equivalents, Beginning of Period</t>
  </si>
  <si>
    <t>Cash and Cash Equivalents, End of Period</t>
  </si>
  <si>
    <t>Cash Interest Paid</t>
  </si>
  <si>
    <t>Cash Taxes Paid</t>
  </si>
  <si>
    <t>Maintenance CAPEX</t>
  </si>
  <si>
    <t>Cash Flow per Share</t>
  </si>
  <si>
    <t>Decision Making</t>
  </si>
  <si>
    <t>Stocks to compare:</t>
  </si>
  <si>
    <t>Options</t>
  </si>
  <si>
    <t>Actions</t>
  </si>
  <si>
    <t>Preferred Dividend and Other Adjustments</t>
  </si>
  <si>
    <t>Finance Div. Revenues</t>
  </si>
  <si>
    <t>Insurance Division Revenues</t>
  </si>
  <si>
    <t>Gain (Loss) on Sale of Assets (Rev)</t>
  </si>
  <si>
    <t>Gain (Loss) on Sale of Investment (Rev)</t>
  </si>
  <si>
    <t>Interest And Invest. Income (Rev)</t>
  </si>
  <si>
    <t>Other Revenues</t>
  </si>
  <si>
    <t>Finance Div. Operating Exp.</t>
  </si>
  <si>
    <t>Insurance Division Operating Expenses</t>
  </si>
  <si>
    <t>Interest Expense - Finance Division</t>
  </si>
  <si>
    <t>Exploration / Drilling Costs</t>
  </si>
  <si>
    <t>Provision for Bad Debts</t>
  </si>
  <si>
    <t>Pre-Opening Costs</t>
  </si>
  <si>
    <t>Impairment of Oil Gas &amp; Mineral Properties</t>
  </si>
  <si>
    <t>Other Operating Expenses</t>
  </si>
  <si>
    <t>Income (Loss) On Equity Invest.</t>
  </si>
  <si>
    <t>Merger &amp; Restructuring Charges</t>
  </si>
  <si>
    <t>Impairment of Goodwill</t>
  </si>
  <si>
    <t>Insurance Settlements</t>
  </si>
  <si>
    <t>Extraordinary Item &amp; Accounting Change</t>
  </si>
  <si>
    <t>Dividends Per Share</t>
  </si>
  <si>
    <t>Special Dividends Per Share</t>
  </si>
  <si>
    <t>Payout Ratio %</t>
  </si>
  <si>
    <t>FFO Payout Ratio %</t>
  </si>
  <si>
    <t>FFO</t>
  </si>
  <si>
    <t>Distributable Cash per Share (Diluted)</t>
  </si>
  <si>
    <t>Annualized Distributions per Unit</t>
  </si>
  <si>
    <t>Same Store Sales Growth %</t>
  </si>
  <si>
    <t>41.2 %</t>
  </si>
  <si>
    <t>12.8 %</t>
  </si>
  <si>
    <t>18.3 %</t>
  </si>
  <si>
    <t>23.4 %</t>
  </si>
  <si>
    <t>50.0 %</t>
  </si>
  <si>
    <t>8.7 %</t>
  </si>
  <si>
    <t>16.4 %</t>
  </si>
  <si>
    <t>18.4 %</t>
  </si>
  <si>
    <t>56.1 %</t>
  </si>
  <si>
    <t>56.9 %</t>
  </si>
  <si>
    <t>53.6 %</t>
  </si>
  <si>
    <t>55.6 %</t>
  </si>
  <si>
    <t>56.5 %</t>
  </si>
  <si>
    <t>58.9 %</t>
  </si>
  <si>
    <t>90.9 %</t>
  </si>
  <si>
    <t>14.7 %</t>
  </si>
  <si>
    <t>10.2 %</t>
  </si>
  <si>
    <t>12.7 %</t>
  </si>
  <si>
    <t>27.8 %</t>
  </si>
  <si>
    <t>30.6 %</t>
  </si>
  <si>
    <t>22.6 %</t>
  </si>
  <si>
    <t>22.2 %</t>
  </si>
  <si>
    <t>23.8 %</t>
  </si>
  <si>
    <t>26.1 %</t>
  </si>
  <si>
    <t>23.7 %</t>
  </si>
  <si>
    <t>29.5 %</t>
  </si>
  <si>
    <t>22.1 %</t>
  </si>
  <si>
    <t>21.2 %</t>
  </si>
  <si>
    <t>22.5 %</t>
  </si>
  <si>
    <t>11.4 %</t>
  </si>
  <si>
    <t>91.4 %</t>
  </si>
  <si>
    <t>19.2 %</t>
  </si>
  <si>
    <t>12.5 %</t>
  </si>
  <si>
    <t>142.8 %</t>
  </si>
  <si>
    <t>(1.4 %)</t>
  </si>
  <si>
    <t>(1.7 %)</t>
  </si>
  <si>
    <t>(0.7 %)</t>
  </si>
  <si>
    <t>(0.0 %)</t>
  </si>
  <si>
    <t>(1.9 %)</t>
  </si>
  <si>
    <t>(0.4 %)</t>
  </si>
  <si>
    <t>0.3 %</t>
  </si>
  <si>
    <t>66.0 %</t>
  </si>
  <si>
    <t>15.4 %</t>
  </si>
  <si>
    <t>14.3 %</t>
  </si>
  <si>
    <t>16.2 %</t>
  </si>
  <si>
    <t>14.8 %</t>
  </si>
  <si>
    <t>13.3 %</t>
  </si>
  <si>
    <t>12.0 %</t>
  </si>
  <si>
    <t>53.4 %</t>
  </si>
  <si>
    <t>INCOME STATEMENT</t>
  </si>
  <si>
    <t>COGS</t>
  </si>
  <si>
    <t>Operating Expenses</t>
  </si>
  <si>
    <t>Interest Expenses</t>
  </si>
  <si>
    <t>Tax Expenses</t>
  </si>
  <si>
    <t>Operating Profit (EBIT)</t>
  </si>
  <si>
    <t>Earnings Before Tax (EBT)</t>
  </si>
  <si>
    <t>C</t>
  </si>
  <si>
    <t>D</t>
  </si>
  <si>
    <t>E</t>
  </si>
  <si>
    <t>F</t>
  </si>
  <si>
    <t>G</t>
  </si>
  <si>
    <t>H</t>
  </si>
  <si>
    <t>I</t>
  </si>
  <si>
    <t>J</t>
  </si>
  <si>
    <t>K</t>
  </si>
  <si>
    <t>IncomeStatement</t>
  </si>
  <si>
    <t>CashFlow</t>
  </si>
  <si>
    <t>56.4 %</t>
  </si>
  <si>
    <t>38.3 %</t>
  </si>
  <si>
    <t>35.7 %</t>
  </si>
  <si>
    <t>(4.5 %)</t>
  </si>
  <si>
    <t>26.0 %</t>
  </si>
  <si>
    <t>23.5 %</t>
  </si>
  <si>
    <t>19.1 %</t>
  </si>
  <si>
    <t>16.7 %</t>
  </si>
  <si>
    <t>21.6 %</t>
  </si>
  <si>
    <t>Book Value</t>
  </si>
  <si>
    <t>BalanceSheet</t>
  </si>
  <si>
    <t>Book Value per share</t>
  </si>
  <si>
    <t>Tangible Book Value per share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</si>
</sst>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 #,##0.00\ &quot;€&quot;_-;\-* #,##0.00\ &quot;€&quot;_-;_-* &quot;-&quot;??\ &quot;€&quot;_-;_-@_-"/>
    <numFmt numFmtId="164" formatCode="#,##0.0"/>
    <numFmt numFmtId="165" formatCode="_([$$-409]* #,##0.00_);_([$$-409]* \(#,##0.00\);_([$$-409]* &quot;-&quot;??_);_(@_)"/>
    <numFmt numFmtId="166" formatCode="0.0"/>
    <numFmt numFmtId="167" formatCode="_-[$$-409]* #,##0.00_ ;_-[$$-409]* \-#,##0.00\ ;_-[$$-409]* &quot;-&quot;??_ ;_-@_ "/>
    <numFmt numFmtId="168" formatCode="_([$€-2]\ * #,##0.00_);_([$€-2]\ * \(#,##0.00\);_([$€-2]\ * &quot;-&quot;??_);_(@_)"/>
    <numFmt numFmtId="169" formatCode="_-* #,##0.00\ [$zł-415]_-;\-* #,##0.00\ [$zł-415]_-;_-* &quot;-&quot;??\ [$zł-415]_-;_-@_-"/>
    <numFmt numFmtId="170" formatCode="_([$$-409]* #,##0.00_);_([$$-409]* \(#,##0.00\);_([$$-409]* &quot;-&quot;_);_(@_)"/>
    <numFmt numFmtId="171" formatCode="##.0\x"/>
    <numFmt numFmtId="185" formatCode="[$-C0A]yyyy;@"/>
  </numFmts>
  <fonts count="72"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Calibri Light"/>
      <family val="2"/>
      <scheme val="major"/>
    </font>
    <font>
      <i/>
      <sz val="11"/>
      <color theme="1"/>
      <name val="Calibri Light"/>
      <family val="2"/>
      <scheme val="major"/>
    </font>
    <font>
      <b/>
      <sz val="11"/>
      <color theme="1"/>
      <name val="Calibri Light"/>
      <family val="2"/>
      <scheme val="major"/>
    </font>
    <font>
      <b/>
      <sz val="18"/>
      <color theme="1"/>
      <name val="Calibri Light"/>
      <family val="2"/>
      <scheme val="major"/>
    </font>
    <font>
      <sz val="18"/>
      <color theme="1"/>
      <name val="Calibri Light"/>
      <family val="2"/>
      <scheme val="major"/>
    </font>
    <font>
      <sz val="12"/>
      <color theme="1"/>
      <name val="Calibri Light"/>
      <family val="2"/>
      <scheme val="major"/>
    </font>
    <font>
      <sz val="14"/>
      <color theme="1"/>
      <name val="Calibri Light"/>
      <family val="2"/>
      <scheme val="major"/>
    </font>
    <font>
      <sz val="16"/>
      <color theme="1"/>
      <name val="Calibri Light"/>
      <family val="2"/>
      <scheme val="major"/>
    </font>
    <font>
      <sz val="20"/>
      <color theme="1"/>
      <name val="Calibri Light"/>
      <family val="2"/>
      <scheme val="major"/>
    </font>
    <font>
      <sz val="10"/>
      <color theme="1"/>
      <name val="Calibri Light"/>
      <family val="2"/>
      <scheme val="major"/>
    </font>
    <font>
      <b/>
      <sz val="11"/>
      <color theme="1"/>
      <name val="Calibri"/>
      <family val="2"/>
      <scheme val="minor"/>
    </font>
    <font>
      <b/>
      <sz val="20"/>
      <color theme="1"/>
      <name val="Calibri Light"/>
      <family val="2"/>
      <scheme val="major"/>
    </font>
    <font>
      <u/>
      <sz val="11"/>
      <color theme="1"/>
      <name val="Calibri"/>
      <family val="2"/>
      <scheme val="minor"/>
    </font>
    <font>
      <sz val="11"/>
      <color rgb="FF000000"/>
      <name val="Calibri"/>
      <family val="2"/>
    </font>
    <font>
      <sz val="12"/>
      <color theme="1"/>
      <name val="Calibri"/>
      <family val="2"/>
    </font>
    <font>
      <b/>
      <sz val="12"/>
      <color rgb="FFEA4335"/>
      <name val="Calibri"/>
      <family val="2"/>
    </font>
    <font>
      <b/>
      <sz val="12"/>
      <color rgb="FF0B5394"/>
      <name val="Calibri"/>
      <family val="2"/>
    </font>
    <font>
      <b/>
      <sz val="12"/>
      <color rgb="FFFFFFFF"/>
      <name val="Calibri"/>
      <family val="2"/>
    </font>
    <font>
      <b/>
      <sz val="12"/>
      <color rgb="FFFFC000"/>
      <name val="Calibri"/>
      <family val="2"/>
    </font>
    <font>
      <b/>
      <sz val="12"/>
      <color rgb="FF57BB8A"/>
      <name val="Calibri"/>
      <family val="2"/>
    </font>
    <font>
      <b/>
      <sz val="12"/>
      <color rgb="FF92D050"/>
      <name val="Calibri"/>
      <family val="2"/>
    </font>
    <font>
      <b/>
      <sz val="12"/>
      <color rgb="FFF09300"/>
      <name val="Calibri"/>
      <family val="2"/>
    </font>
    <font>
      <sz val="10"/>
      <color theme="1"/>
      <name val="Arial"/>
      <family val="2"/>
    </font>
    <font>
      <b/>
      <sz val="12"/>
      <name val="Calibri"/>
      <family val="2"/>
    </font>
    <font>
      <b/>
      <i/>
      <sz val="12"/>
      <name val="Calibri"/>
      <family val="2"/>
    </font>
    <font>
      <sz val="11"/>
      <name val="Calibri"/>
      <family val="2"/>
      <scheme val="minor"/>
    </font>
    <font>
      <sz val="12"/>
      <color theme="0"/>
      <name val="Calibri"/>
      <family val="2"/>
    </font>
    <font>
      <b/>
      <sz val="12"/>
      <color theme="0"/>
      <name val="Calibri"/>
      <family val="2"/>
    </font>
    <font>
      <b/>
      <sz val="12"/>
      <color theme="0" tint="-0.249977111117893"/>
      <name val="Calibri"/>
      <family val="2"/>
    </font>
    <font>
      <sz val="12"/>
      <color theme="0" tint="-0.249977111117893"/>
      <name val="Calibri"/>
      <family val="2"/>
      <scheme val="minor"/>
    </font>
    <font>
      <sz val="9"/>
      <color theme="1"/>
      <name val="Calibri Light"/>
      <family val="2"/>
      <scheme val="major"/>
    </font>
    <font>
      <sz val="8"/>
      <color theme="1"/>
      <name val="Calibri Light"/>
      <family val="2"/>
      <scheme val="major"/>
    </font>
    <font>
      <b/>
      <sz val="12"/>
      <color theme="9" tint="0.39997558519241921"/>
      <name val="Calibri"/>
      <family val="2"/>
    </font>
    <font>
      <b/>
      <sz val="12"/>
      <color rgb="FFFF5050"/>
      <name val="Calibri"/>
      <family val="2"/>
    </font>
    <font>
      <b/>
      <sz val="11"/>
      <color rgb="FFFFFFFF"/>
      <name val="Roboto"/>
    </font>
    <font>
      <sz val="11"/>
      <color rgb="FFFFFFFF"/>
      <name val="Roboto"/>
    </font>
    <font>
      <sz val="11"/>
      <color rgb="FFCFD2D6"/>
      <name val="Roboto"/>
    </font>
    <font>
      <b/>
      <sz val="11"/>
      <color rgb="FFCFD2D6"/>
      <name val="Roboto"/>
    </font>
    <font>
      <b/>
      <i/>
      <sz val="11"/>
      <color rgb="FFFFFFFF"/>
      <name val="Roboto"/>
    </font>
    <font>
      <b/>
      <i/>
      <sz val="11"/>
      <color rgb="FFCFD2D6"/>
      <name val="Roboto"/>
    </font>
    <font>
      <b/>
      <i/>
      <sz val="11"/>
      <color rgb="FF000000"/>
      <name val="Roboto"/>
    </font>
    <font>
      <sz val="11"/>
      <color rgb="FFF44336"/>
      <name val="Roboto"/>
    </font>
    <font>
      <b/>
      <sz val="11"/>
      <color rgb="FFF44336"/>
      <name val="Roboto"/>
    </font>
    <font>
      <sz val="11"/>
      <color rgb="FF000000"/>
      <name val="Roboto"/>
    </font>
    <font>
      <i/>
      <sz val="11"/>
      <color rgb="FFFFFFFF"/>
      <name val="Roboto"/>
    </font>
    <font>
      <i/>
      <sz val="11"/>
      <color rgb="FFF44336"/>
      <name val="Roboto"/>
    </font>
    <font>
      <i/>
      <sz val="11"/>
      <color rgb="FFCFD2D6"/>
      <name val="Roboto"/>
    </font>
    <font>
      <i/>
      <sz val="11"/>
      <color rgb="FF000000"/>
      <name val="Roboto"/>
    </font>
    <font>
      <b/>
      <sz val="12"/>
      <color theme="1"/>
      <name val="Calibri"/>
      <family val="2"/>
      <scheme val="minor"/>
    </font>
    <font>
      <i/>
      <sz val="11"/>
      <color theme="1"/>
      <name val="Calibri"/>
      <family val="2"/>
      <scheme val="minor"/>
    </font>
    <font>
      <b/>
      <sz val="11"/>
      <color rgb="FFFFFFFF"/>
      <name val="Arial"/>
      <family val="2"/>
    </font>
    <font>
      <sz val="11"/>
      <color rgb="FFFFFFFF"/>
      <name val="Arial"/>
      <family val="2"/>
    </font>
    <font>
      <sz val="11"/>
      <color rgb="FFCFD2D6"/>
      <name val="Arial"/>
      <family val="2"/>
    </font>
    <font>
      <b/>
      <sz val="11"/>
      <color rgb="FFCFD2D6"/>
      <name val="Arial"/>
      <family val="2"/>
    </font>
    <font>
      <b/>
      <i/>
      <sz val="11"/>
      <color rgb="FFFFFFFF"/>
      <name val="Arial"/>
      <family val="2"/>
    </font>
    <font>
      <b/>
      <i/>
      <sz val="11"/>
      <color rgb="FFF44336"/>
      <name val="Arial"/>
      <family val="2"/>
    </font>
    <font>
      <b/>
      <i/>
      <sz val="11"/>
      <color rgb="FFCFD2D6"/>
      <name val="Arial"/>
      <family val="2"/>
    </font>
    <font>
      <b/>
      <i/>
      <sz val="11"/>
      <color rgb="FF000000"/>
      <name val="Arial"/>
      <family val="2"/>
    </font>
    <font>
      <sz val="11"/>
      <color rgb="FFF44336"/>
      <name val="Arial"/>
      <family val="2"/>
    </font>
    <font>
      <b/>
      <sz val="11"/>
      <color rgb="FFF44336"/>
      <name val="Arial"/>
      <family val="2"/>
    </font>
    <font>
      <sz val="11"/>
      <color rgb="FF000000"/>
      <name val="Arial"/>
      <family val="2"/>
    </font>
    <font>
      <i/>
      <sz val="11"/>
      <color rgb="FFFFFFFF"/>
      <name val="Arial"/>
      <family val="2"/>
    </font>
    <font>
      <i/>
      <sz val="11"/>
      <color rgb="FFF44336"/>
      <name val="Arial"/>
      <family val="2"/>
    </font>
    <font>
      <i/>
      <sz val="11"/>
      <color rgb="FFCFD2D6"/>
      <name val="Arial"/>
      <family val="2"/>
    </font>
    <font>
      <i/>
      <sz val="11"/>
      <color rgb="FF000000"/>
      <name val="Arial"/>
      <family val="2"/>
    </font>
    <font>
      <sz val="11"/>
      <color rgb="FFFF5050"/>
      <name val="Calibri Light"/>
      <family val="2"/>
      <scheme val="major"/>
    </font>
    <font>
      <b/>
      <sz val="11"/>
      <color rgb="FF000000"/>
      <name val="Arial"/>
      <family val="2"/>
    </font>
    <font>
      <sz val="11"/>
      <color theme="0" tint="-0.249977111117893"/>
      <name val="Calibri Light"/>
      <family val="2"/>
      <scheme val="major"/>
    </font>
    <font>
      <i/>
      <sz val="11"/>
      <color theme="0" tint="-0.249977111117893"/>
      <name val="Calibri Light"/>
      <family val="2"/>
      <scheme val="major"/>
    </font>
  </fonts>
  <fills count="12">
    <fill>
      <patternFill patternType="none"/>
    </fill>
    <fill>
      <patternFill patternType="gray125"/>
    </fill>
    <fill>
      <patternFill patternType="solid">
        <fgColor theme="0"/>
        <bgColor indexed="64"/>
      </patternFill>
    </fill>
    <fill>
      <patternFill patternType="solid">
        <fgColor rgb="FFF8F8F8"/>
        <bgColor indexed="64"/>
      </patternFill>
    </fill>
    <fill>
      <patternFill patternType="solid">
        <fgColor rgb="FFF3F3F3"/>
        <bgColor indexed="64"/>
      </patternFill>
    </fill>
    <fill>
      <patternFill patternType="solid">
        <fgColor rgb="FFD9D9D9"/>
        <bgColor indexed="64"/>
      </patternFill>
    </fill>
    <fill>
      <patternFill patternType="solid">
        <fgColor rgb="FF57BB8A"/>
        <bgColor indexed="64"/>
      </patternFill>
    </fill>
    <fill>
      <patternFill patternType="solid">
        <fgColor rgb="FF0B5394"/>
        <bgColor indexed="64"/>
      </patternFill>
    </fill>
    <fill>
      <patternFill patternType="solid">
        <fgColor rgb="FF9FC5E8"/>
        <bgColor indexed="64"/>
      </patternFill>
    </fill>
    <fill>
      <patternFill patternType="solid">
        <fgColor theme="8" tint="-0.249977111117893"/>
        <bgColor indexed="64"/>
      </patternFill>
    </fill>
    <fill>
      <patternFill patternType="solid">
        <fgColor rgb="FF1E1E1E"/>
        <bgColor indexed="64"/>
      </patternFill>
    </fill>
    <fill>
      <patternFill patternType="solid">
        <fgColor rgb="FF333333"/>
        <bgColor indexed="64"/>
      </patternFill>
    </fill>
  </fills>
  <borders count="62">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top style="thin">
        <color rgb="FFC0C0C0"/>
      </top>
      <bottom/>
      <diagonal/>
    </border>
    <border>
      <left/>
      <right/>
      <top style="thin">
        <color rgb="FFC0C0C0"/>
      </top>
      <bottom/>
      <diagonal/>
    </border>
    <border>
      <left/>
      <right style="thin">
        <color rgb="FFC0C0C0"/>
      </right>
      <top style="thin">
        <color rgb="FFC0C0C0"/>
      </top>
      <bottom/>
      <diagonal/>
    </border>
    <border>
      <left style="thin">
        <color rgb="FFC0C0C0"/>
      </left>
      <right/>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
      <left/>
      <right style="thin">
        <color rgb="FFC0C0C0"/>
      </right>
      <top/>
      <bottom style="thin">
        <color rgb="FFC0C0C0"/>
      </bottom>
      <diagonal/>
    </border>
    <border>
      <left/>
      <right style="thin">
        <color rgb="FFC0C0C0"/>
      </right>
      <top/>
      <bottom style="thin">
        <color theme="2" tint="-9.9978637043366805E-2"/>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style="thin">
        <color theme="2" tint="-9.9978637043366805E-2"/>
      </left>
      <right/>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thin">
        <color rgb="FFC0C0C0"/>
      </left>
      <right/>
      <top/>
      <bottom style="thin">
        <color theme="2" tint="-9.9978637043366805E-2"/>
      </bottom>
      <diagonal/>
    </border>
    <border>
      <left/>
      <right/>
      <top/>
      <bottom style="thin">
        <color theme="0" tint="-4.9989318521683403E-2"/>
      </bottom>
      <diagonal/>
    </border>
    <border>
      <left/>
      <right/>
      <top style="thin">
        <color indexed="64"/>
      </top>
      <bottom style="thin">
        <color indexed="64"/>
      </bottom>
      <diagonal/>
    </border>
    <border>
      <left/>
      <right/>
      <top/>
      <bottom style="thin">
        <color indexed="64"/>
      </bottom>
      <diagonal/>
    </border>
    <border>
      <left style="thin">
        <color theme="2"/>
      </left>
      <right style="thin">
        <color theme="2"/>
      </right>
      <top style="thin">
        <color theme="2"/>
      </top>
      <bottom style="thin">
        <color theme="2"/>
      </bottom>
      <diagonal/>
    </border>
    <border>
      <left/>
      <right/>
      <top style="thin">
        <color indexed="64"/>
      </top>
      <bottom/>
      <diagonal/>
    </border>
    <border>
      <left style="thin">
        <color theme="2"/>
      </left>
      <right style="thin">
        <color indexed="64"/>
      </right>
      <top style="thin">
        <color theme="2"/>
      </top>
      <bottom style="thin">
        <color theme="2"/>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style="thin">
        <color theme="8" tint="-0.249977111117893"/>
      </bottom>
      <diagonal/>
    </border>
    <border>
      <left style="thin">
        <color indexed="64"/>
      </left>
      <right/>
      <top style="thin">
        <color theme="8" tint="-0.249977111117893"/>
      </top>
      <bottom style="thin">
        <color theme="8" tint="-0.249977111117893"/>
      </bottom>
      <diagonal/>
    </border>
    <border>
      <left style="thin">
        <color indexed="64"/>
      </left>
      <right/>
      <top style="thin">
        <color theme="8" tint="-0.249977111117893"/>
      </top>
      <bottom style="thin">
        <color indexed="64"/>
      </bottom>
      <diagonal/>
    </border>
    <border>
      <left/>
      <right/>
      <top style="thin">
        <color theme="8" tint="-0.249977111117893"/>
      </top>
      <bottom style="thin">
        <color theme="8" tint="-0.249977111117893"/>
      </bottom>
      <diagonal/>
    </border>
    <border>
      <left/>
      <right style="thin">
        <color indexed="64"/>
      </right>
      <top/>
      <bottom/>
      <diagonal/>
    </border>
    <border>
      <left style="thin">
        <color theme="2" tint="-9.9978637043366805E-2"/>
      </left>
      <right style="thin">
        <color theme="2" tint="-9.9978637043366805E-2"/>
      </right>
      <top style="thin">
        <color theme="2" tint="-9.9978637043366805E-2"/>
      </top>
      <bottom style="thin">
        <color indexed="64"/>
      </bottom>
      <diagonal/>
    </border>
    <border>
      <left style="thin">
        <color theme="2"/>
      </left>
      <right style="thin">
        <color theme="2"/>
      </right>
      <top style="thin">
        <color theme="2"/>
      </top>
      <bottom style="thin">
        <color indexed="64"/>
      </bottom>
      <diagonal/>
    </border>
    <border>
      <left style="thin">
        <color theme="2"/>
      </left>
      <right style="thin">
        <color indexed="64"/>
      </right>
      <top style="thin">
        <color theme="2"/>
      </top>
      <bottom style="thin">
        <color indexed="64"/>
      </bottom>
      <diagonal/>
    </border>
    <border>
      <left/>
      <right style="thin">
        <color indexed="64"/>
      </right>
      <top style="thin">
        <color indexed="64"/>
      </top>
      <bottom style="thin">
        <color indexed="64"/>
      </bottom>
      <diagonal/>
    </border>
    <border>
      <left style="thin">
        <color theme="2"/>
      </left>
      <right style="thin">
        <color theme="2" tint="-9.9978637043366805E-2"/>
      </right>
      <top/>
      <bottom/>
      <diagonal/>
    </border>
    <border>
      <left style="thin">
        <color theme="2"/>
      </left>
      <right style="thin">
        <color theme="2"/>
      </right>
      <top/>
      <bottom/>
      <diagonal/>
    </border>
    <border>
      <left style="thin">
        <color theme="2"/>
      </left>
      <right style="thin">
        <color indexed="64"/>
      </right>
      <top/>
      <bottom/>
      <diagonal/>
    </border>
    <border>
      <left style="thin">
        <color indexed="64"/>
      </left>
      <right/>
      <top style="thin">
        <color indexed="64"/>
      </top>
      <bottom style="thin">
        <color theme="2"/>
      </bottom>
      <diagonal/>
    </border>
    <border>
      <left style="thin">
        <color theme="2" tint="-9.9978637043366805E-2"/>
      </left>
      <right style="thin">
        <color theme="2" tint="-9.9978637043366805E-2"/>
      </right>
      <top style="thin">
        <color indexed="64"/>
      </top>
      <bottom style="thin">
        <color theme="2" tint="-9.9978637043366805E-2"/>
      </bottom>
      <diagonal/>
    </border>
    <border>
      <left style="thin">
        <color theme="2" tint="-9.9978637043366805E-2"/>
      </left>
      <right/>
      <top style="thin">
        <color indexed="64"/>
      </top>
      <bottom style="thin">
        <color theme="2" tint="-9.9978637043366805E-2"/>
      </bottom>
      <diagonal/>
    </border>
    <border>
      <left style="thin">
        <color theme="2"/>
      </left>
      <right style="thin">
        <color theme="2"/>
      </right>
      <top style="thin">
        <color indexed="64"/>
      </top>
      <bottom style="thin">
        <color theme="2"/>
      </bottom>
      <diagonal/>
    </border>
    <border>
      <left style="thin">
        <color theme="2"/>
      </left>
      <right style="thin">
        <color indexed="64"/>
      </right>
      <top style="thin">
        <color indexed="64"/>
      </top>
      <bottom style="thin">
        <color theme="2"/>
      </bottom>
      <diagonal/>
    </border>
    <border>
      <left style="thin">
        <color indexed="64"/>
      </left>
      <right/>
      <top style="thin">
        <color theme="2"/>
      </top>
      <bottom style="thin">
        <color theme="2"/>
      </bottom>
      <diagonal/>
    </border>
    <border>
      <left style="thin">
        <color indexed="64"/>
      </left>
      <right style="thin">
        <color theme="2" tint="-9.9978637043366805E-2"/>
      </right>
      <top style="thin">
        <color theme="2"/>
      </top>
      <bottom style="thin">
        <color indexed="64"/>
      </bottom>
      <diagonal/>
    </border>
    <border>
      <left style="thin">
        <color theme="2" tint="-9.9978637043366805E-2"/>
      </left>
      <right/>
      <top style="thin">
        <color theme="2" tint="-9.9978637043366805E-2"/>
      </top>
      <bottom style="thin">
        <color indexed="64"/>
      </bottom>
      <diagonal/>
    </border>
    <border>
      <left/>
      <right/>
      <top style="thick">
        <color rgb="FFFFFFFF"/>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rgb="FFC0C0C0"/>
      </top>
      <bottom style="thin">
        <color theme="2" tint="-0.499984740745262"/>
      </bottom>
      <diagonal/>
    </border>
    <border>
      <left/>
      <right style="thin">
        <color rgb="FFC0C0C0"/>
      </right>
      <top style="thin">
        <color rgb="FFC0C0C0"/>
      </top>
      <bottom style="thin">
        <color theme="2" tint="-0.499984740745262"/>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cellStyleXfs>
  <cellXfs count="268">
    <xf numFmtId="0" fontId="0" fillId="0" borderId="0" xfId="0"/>
    <xf numFmtId="0" fontId="3" fillId="2" borderId="2" xfId="0" applyFont="1" applyFill="1" applyBorder="1" applyAlignment="1">
      <alignment vertical="center"/>
    </xf>
    <xf numFmtId="0" fontId="3" fillId="2" borderId="1" xfId="0" applyFont="1" applyFill="1" applyBorder="1" applyAlignment="1">
      <alignment vertical="center"/>
    </xf>
    <xf numFmtId="2" fontId="3" fillId="2" borderId="2" xfId="0" applyNumberFormat="1" applyFont="1" applyFill="1" applyBorder="1" applyAlignment="1">
      <alignment vertical="center"/>
    </xf>
    <xf numFmtId="3" fontId="3" fillId="2" borderId="1" xfId="0" applyNumberFormat="1" applyFont="1" applyFill="1" applyBorder="1" applyAlignment="1">
      <alignment horizontal="right" vertical="center"/>
    </xf>
    <xf numFmtId="0" fontId="3" fillId="2" borderId="7" xfId="0" applyFont="1" applyFill="1" applyBorder="1"/>
    <xf numFmtId="0" fontId="3" fillId="2" borderId="0" xfId="0" applyFont="1" applyFill="1"/>
    <xf numFmtId="0" fontId="4" fillId="2" borderId="7" xfId="0" applyFont="1" applyFill="1" applyBorder="1" applyAlignment="1">
      <alignment horizontal="center" vertical="center"/>
    </xf>
    <xf numFmtId="2" fontId="5" fillId="2" borderId="2" xfId="0" applyNumberFormat="1" applyFont="1" applyFill="1" applyBorder="1" applyAlignment="1">
      <alignment vertical="center"/>
    </xf>
    <xf numFmtId="2" fontId="3" fillId="2" borderId="10" xfId="0" applyNumberFormat="1" applyFont="1" applyFill="1" applyBorder="1" applyAlignment="1">
      <alignment vertical="center"/>
    </xf>
    <xf numFmtId="4" fontId="3" fillId="2" borderId="9" xfId="0" applyNumberFormat="1" applyFont="1" applyFill="1" applyBorder="1" applyAlignment="1">
      <alignment horizontal="right" vertical="center"/>
    </xf>
    <xf numFmtId="0" fontId="3" fillId="0" borderId="0" xfId="0" applyFont="1"/>
    <xf numFmtId="3" fontId="3" fillId="2" borderId="3" xfId="0" applyNumberFormat="1" applyFont="1" applyFill="1" applyBorder="1" applyAlignment="1">
      <alignment horizontal="center" vertical="center"/>
    </xf>
    <xf numFmtId="0" fontId="3" fillId="2" borderId="0" xfId="0" applyFont="1" applyFill="1" applyAlignment="1">
      <alignment vertical="center"/>
    </xf>
    <xf numFmtId="0" fontId="3" fillId="0" borderId="0" xfId="0" applyFont="1" applyAlignment="1">
      <alignment vertical="center"/>
    </xf>
    <xf numFmtId="0" fontId="3" fillId="2" borderId="6" xfId="0" applyFont="1" applyFill="1" applyBorder="1" applyAlignment="1">
      <alignment vertical="center"/>
    </xf>
    <xf numFmtId="0" fontId="3" fillId="2" borderId="6" xfId="0" applyFont="1" applyFill="1" applyBorder="1"/>
    <xf numFmtId="0" fontId="3" fillId="2" borderId="8" xfId="0" applyFont="1" applyFill="1" applyBorder="1"/>
    <xf numFmtId="0" fontId="3" fillId="2" borderId="10" xfId="0" applyFont="1" applyFill="1" applyBorder="1"/>
    <xf numFmtId="0" fontId="3" fillId="2" borderId="9" xfId="0" applyFont="1" applyFill="1" applyBorder="1"/>
    <xf numFmtId="0" fontId="3" fillId="2" borderId="0" xfId="0" applyFont="1" applyFill="1" applyAlignment="1">
      <alignment horizontal="center"/>
    </xf>
    <xf numFmtId="0" fontId="3" fillId="2" borderId="13" xfId="0" applyFont="1" applyFill="1" applyBorder="1" applyAlignment="1">
      <alignment vertical="center"/>
    </xf>
    <xf numFmtId="0" fontId="3" fillId="2" borderId="15" xfId="0" applyFont="1" applyFill="1" applyBorder="1" applyAlignment="1">
      <alignment vertical="center"/>
    </xf>
    <xf numFmtId="0" fontId="3" fillId="2" borderId="16" xfId="0" applyFont="1" applyFill="1" applyBorder="1" applyAlignment="1">
      <alignment vertical="center"/>
    </xf>
    <xf numFmtId="0" fontId="3" fillId="2" borderId="17" xfId="0" applyFont="1" applyFill="1" applyBorder="1" applyAlignment="1">
      <alignment vertical="center"/>
    </xf>
    <xf numFmtId="0" fontId="3" fillId="2" borderId="16" xfId="0" applyFont="1" applyFill="1" applyBorder="1"/>
    <xf numFmtId="0" fontId="3" fillId="2" borderId="17" xfId="0" applyFont="1" applyFill="1" applyBorder="1"/>
    <xf numFmtId="0" fontId="3" fillId="2" borderId="18" xfId="0" applyFont="1" applyFill="1" applyBorder="1"/>
    <xf numFmtId="0" fontId="3" fillId="2" borderId="19" xfId="0" applyFont="1" applyFill="1" applyBorder="1"/>
    <xf numFmtId="0" fontId="3" fillId="2" borderId="20" xfId="0" applyFont="1" applyFill="1" applyBorder="1"/>
    <xf numFmtId="0" fontId="3" fillId="2" borderId="14" xfId="0" applyFont="1" applyFill="1" applyBorder="1" applyAlignment="1">
      <alignment horizontal="center" vertical="center"/>
    </xf>
    <xf numFmtId="9" fontId="3" fillId="2" borderId="1" xfId="2" applyFont="1" applyFill="1" applyBorder="1" applyAlignment="1">
      <alignment horizontal="right" vertical="center"/>
    </xf>
    <xf numFmtId="0" fontId="4" fillId="2" borderId="9" xfId="0" applyFont="1" applyFill="1" applyBorder="1"/>
    <xf numFmtId="164" fontId="3" fillId="2" borderId="1" xfId="0" applyNumberFormat="1" applyFont="1" applyFill="1" applyBorder="1" applyAlignment="1">
      <alignment horizontal="right" vertical="center"/>
    </xf>
    <xf numFmtId="0" fontId="3" fillId="2" borderId="21" xfId="0" applyFont="1" applyFill="1" applyBorder="1" applyAlignment="1">
      <alignment vertical="center"/>
    </xf>
    <xf numFmtId="0" fontId="3" fillId="2" borderId="22" xfId="0" applyFont="1" applyFill="1" applyBorder="1" applyAlignment="1">
      <alignment vertical="center"/>
    </xf>
    <xf numFmtId="0" fontId="3" fillId="2" borderId="12" xfId="0" applyFont="1" applyFill="1" applyBorder="1" applyAlignment="1">
      <alignment vertical="center"/>
    </xf>
    <xf numFmtId="0" fontId="3" fillId="2" borderId="21" xfId="0" applyFont="1" applyFill="1" applyBorder="1"/>
    <xf numFmtId="0" fontId="3" fillId="2" borderId="22" xfId="0" applyFont="1" applyFill="1" applyBorder="1"/>
    <xf numFmtId="0" fontId="3" fillId="2" borderId="12" xfId="0" applyFont="1" applyFill="1" applyBorder="1"/>
    <xf numFmtId="0" fontId="4" fillId="2" borderId="0" xfId="0" applyFont="1" applyFill="1" applyAlignment="1">
      <alignment horizontal="center"/>
    </xf>
    <xf numFmtId="0" fontId="3" fillId="2" borderId="0" xfId="0" applyFont="1" applyFill="1" applyAlignment="1">
      <alignment horizontal="center" vertical="center"/>
    </xf>
    <xf numFmtId="0" fontId="3" fillId="2" borderId="14" xfId="0" applyFont="1" applyFill="1" applyBorder="1"/>
    <xf numFmtId="0" fontId="4" fillId="2" borderId="14" xfId="0" applyFont="1" applyFill="1" applyBorder="1" applyAlignment="1">
      <alignment horizontal="center"/>
    </xf>
    <xf numFmtId="0" fontId="3" fillId="2" borderId="15" xfId="0" applyFont="1" applyFill="1" applyBorder="1"/>
    <xf numFmtId="0" fontId="6" fillId="2" borderId="19" xfId="0" applyFont="1" applyFill="1" applyBorder="1" applyAlignment="1">
      <alignment horizontal="center" vertical="center"/>
    </xf>
    <xf numFmtId="0" fontId="4" fillId="2" borderId="19" xfId="0" applyFont="1" applyFill="1" applyBorder="1" applyAlignment="1">
      <alignment horizontal="center"/>
    </xf>
    <xf numFmtId="0" fontId="3" fillId="2" borderId="23" xfId="0" applyFont="1" applyFill="1" applyBorder="1"/>
    <xf numFmtId="0" fontId="3" fillId="2" borderId="14" xfId="0" applyFont="1" applyFill="1" applyBorder="1" applyAlignment="1">
      <alignment horizontal="left"/>
    </xf>
    <xf numFmtId="165" fontId="3" fillId="2" borderId="0" xfId="1" applyNumberFormat="1" applyFont="1" applyFill="1" applyBorder="1"/>
    <xf numFmtId="0" fontId="4" fillId="2" borderId="17" xfId="0" applyFont="1" applyFill="1" applyBorder="1" applyAlignment="1">
      <alignment horizontal="center"/>
    </xf>
    <xf numFmtId="10" fontId="4" fillId="2" borderId="0" xfId="0" applyNumberFormat="1" applyFont="1" applyFill="1" applyAlignment="1">
      <alignment horizontal="right" vertical="center"/>
    </xf>
    <xf numFmtId="165" fontId="4" fillId="2" borderId="0" xfId="0" applyNumberFormat="1" applyFont="1" applyFill="1" applyAlignment="1">
      <alignment horizontal="right" vertical="center"/>
    </xf>
    <xf numFmtId="165" fontId="3" fillId="2" borderId="0" xfId="0" applyNumberFormat="1" applyFont="1" applyFill="1" applyAlignment="1">
      <alignment horizontal="left" vertical="center"/>
    </xf>
    <xf numFmtId="0" fontId="3" fillId="2" borderId="24" xfId="0" applyFont="1" applyFill="1" applyBorder="1" applyAlignment="1">
      <alignment horizontal="left" vertical="center"/>
    </xf>
    <xf numFmtId="0" fontId="12" fillId="2" borderId="23" xfId="0" applyFont="1" applyFill="1" applyBorder="1" applyAlignment="1">
      <alignment horizontal="right" vertical="center"/>
    </xf>
    <xf numFmtId="44" fontId="3" fillId="2" borderId="0" xfId="0" applyNumberFormat="1" applyFont="1" applyFill="1" applyAlignment="1">
      <alignment horizontal="left" vertical="center"/>
    </xf>
    <xf numFmtId="0" fontId="3" fillId="2" borderId="26" xfId="0" applyFont="1" applyFill="1" applyBorder="1"/>
    <xf numFmtId="0" fontId="3" fillId="2" borderId="11" xfId="0" applyFont="1" applyFill="1" applyBorder="1"/>
    <xf numFmtId="10" fontId="3" fillId="2" borderId="0" xfId="2" applyNumberFormat="1" applyFont="1" applyFill="1" applyBorder="1"/>
    <xf numFmtId="2" fontId="7" fillId="2" borderId="0" xfId="0" applyNumberFormat="1" applyFont="1" applyFill="1" applyAlignment="1">
      <alignment horizontal="left" vertical="top"/>
    </xf>
    <xf numFmtId="0" fontId="3" fillId="2" borderId="0" xfId="0" applyFont="1" applyFill="1" applyAlignment="1">
      <alignment horizontal="left"/>
    </xf>
    <xf numFmtId="166" fontId="7" fillId="2" borderId="0" xfId="0" applyNumberFormat="1" applyFont="1" applyFill="1" applyAlignment="1">
      <alignment horizontal="left" vertical="top"/>
    </xf>
    <xf numFmtId="9" fontId="7" fillId="2" borderId="0" xfId="2" applyFont="1" applyFill="1" applyBorder="1" applyAlignment="1">
      <alignment horizontal="left" vertical="top"/>
    </xf>
    <xf numFmtId="0" fontId="4" fillId="2" borderId="0" xfId="0" applyFont="1" applyFill="1"/>
    <xf numFmtId="0" fontId="13" fillId="0" borderId="0" xfId="0" applyFont="1"/>
    <xf numFmtId="0" fontId="5" fillId="2" borderId="0" xfId="0" applyFont="1" applyFill="1"/>
    <xf numFmtId="3" fontId="3" fillId="2" borderId="0" xfId="0" applyNumberFormat="1" applyFont="1" applyFill="1"/>
    <xf numFmtId="3" fontId="5" fillId="2" borderId="0" xfId="0" applyNumberFormat="1" applyFont="1" applyFill="1"/>
    <xf numFmtId="0" fontId="8" fillId="2" borderId="0" xfId="0" applyFont="1" applyFill="1"/>
    <xf numFmtId="9" fontId="3" fillId="2" borderId="0" xfId="0" applyNumberFormat="1" applyFont="1" applyFill="1" applyAlignment="1">
      <alignment horizontal="center"/>
    </xf>
    <xf numFmtId="9" fontId="3" fillId="2" borderId="0" xfId="2" applyFont="1" applyFill="1" applyBorder="1" applyAlignment="1">
      <alignment horizontal="center"/>
    </xf>
    <xf numFmtId="3" fontId="3" fillId="2" borderId="0" xfId="0" applyNumberFormat="1" applyFont="1" applyFill="1" applyAlignment="1">
      <alignment horizontal="center"/>
    </xf>
    <xf numFmtId="3" fontId="3" fillId="0" borderId="0" xfId="0" applyNumberFormat="1" applyFont="1"/>
    <xf numFmtId="0" fontId="4" fillId="2" borderId="4" xfId="0" applyFont="1" applyFill="1" applyBorder="1" applyAlignment="1">
      <alignment horizontal="center"/>
    </xf>
    <xf numFmtId="0" fontId="3" fillId="2" borderId="27" xfId="0" applyFont="1" applyFill="1" applyBorder="1"/>
    <xf numFmtId="0" fontId="3" fillId="2" borderId="13" xfId="0" applyFont="1" applyFill="1" applyBorder="1"/>
    <xf numFmtId="0" fontId="3" fillId="2" borderId="25" xfId="0" applyFont="1" applyFill="1" applyBorder="1"/>
    <xf numFmtId="0" fontId="15" fillId="0" borderId="0" xfId="0" applyFont="1"/>
    <xf numFmtId="2" fontId="3" fillId="2" borderId="7" xfId="0" applyNumberFormat="1" applyFont="1" applyFill="1" applyBorder="1" applyAlignment="1">
      <alignment vertical="center"/>
    </xf>
    <xf numFmtId="4" fontId="3" fillId="2" borderId="0" xfId="0" applyNumberFormat="1" applyFont="1" applyFill="1" applyAlignment="1">
      <alignment horizontal="right" vertical="center"/>
    </xf>
    <xf numFmtId="9" fontId="3" fillId="2" borderId="0" xfId="2" applyFont="1" applyFill="1" applyBorder="1" applyAlignment="1">
      <alignment horizontal="left" vertical="top"/>
    </xf>
    <xf numFmtId="167" fontId="3" fillId="2" borderId="22" xfId="0" applyNumberFormat="1" applyFont="1" applyFill="1" applyBorder="1" applyAlignment="1">
      <alignment vertical="center"/>
    </xf>
    <xf numFmtId="165" fontId="12" fillId="2" borderId="0" xfId="0" applyNumberFormat="1" applyFont="1" applyFill="1" applyAlignment="1">
      <alignment horizontal="left" vertical="center"/>
    </xf>
    <xf numFmtId="3" fontId="6" fillId="2" borderId="0" xfId="0" applyNumberFormat="1" applyFont="1" applyFill="1" applyAlignment="1">
      <alignment horizontal="center" vertical="center"/>
    </xf>
    <xf numFmtId="0" fontId="28" fillId="0" borderId="0" xfId="0" applyFont="1"/>
    <xf numFmtId="0" fontId="17" fillId="5" borderId="12" xfId="0" applyFont="1" applyFill="1" applyBorder="1" applyAlignment="1">
      <alignment wrapText="1"/>
    </xf>
    <xf numFmtId="0" fontId="17" fillId="5" borderId="23" xfId="0" applyFont="1" applyFill="1" applyBorder="1" applyAlignment="1">
      <alignment wrapText="1"/>
    </xf>
    <xf numFmtId="165" fontId="17" fillId="4" borderId="30" xfId="0" applyNumberFormat="1" applyFont="1" applyFill="1" applyBorder="1" applyAlignment="1">
      <alignment horizontal="right" wrapText="1"/>
    </xf>
    <xf numFmtId="168" fontId="17" fillId="4" borderId="30" xfId="0" applyNumberFormat="1" applyFont="1" applyFill="1" applyBorder="1" applyAlignment="1">
      <alignment horizontal="right" wrapText="1"/>
    </xf>
    <xf numFmtId="4" fontId="17" fillId="4" borderId="30" xfId="0" applyNumberFormat="1" applyFont="1" applyFill="1" applyBorder="1" applyAlignment="1">
      <alignment horizontal="right" wrapText="1"/>
    </xf>
    <xf numFmtId="169" fontId="17" fillId="4" borderId="30" xfId="0" applyNumberFormat="1" applyFont="1" applyFill="1" applyBorder="1" applyAlignment="1">
      <alignment horizontal="right" wrapText="1"/>
    </xf>
    <xf numFmtId="0" fontId="18" fillId="9" borderId="28" xfId="0" applyFont="1" applyFill="1" applyBorder="1" applyAlignment="1">
      <alignment horizontal="right" vertical="center" wrapText="1"/>
    </xf>
    <xf numFmtId="0" fontId="19" fillId="9" borderId="28" xfId="0" applyFont="1" applyFill="1" applyBorder="1" applyAlignment="1">
      <alignment horizontal="right" vertical="center" wrapText="1"/>
    </xf>
    <xf numFmtId="0" fontId="20" fillId="9" borderId="28" xfId="0" applyFont="1" applyFill="1" applyBorder="1" applyAlignment="1">
      <alignment horizontal="right" vertical="center" wrapText="1"/>
    </xf>
    <xf numFmtId="0" fontId="23" fillId="9" borderId="28" xfId="0" applyFont="1" applyFill="1" applyBorder="1" applyAlignment="1">
      <alignment horizontal="right" vertical="center" wrapText="1"/>
    </xf>
    <xf numFmtId="10" fontId="18" fillId="9" borderId="28" xfId="0" applyNumberFormat="1" applyFont="1" applyFill="1" applyBorder="1" applyAlignment="1">
      <alignment horizontal="right" vertical="center" wrapText="1"/>
    </xf>
    <xf numFmtId="0" fontId="21" fillId="9" borderId="28" xfId="0" applyFont="1" applyFill="1" applyBorder="1" applyAlignment="1">
      <alignment horizontal="right" vertical="center" wrapText="1"/>
    </xf>
    <xf numFmtId="10" fontId="22" fillId="9" borderId="28" xfId="0" applyNumberFormat="1" applyFont="1" applyFill="1" applyBorder="1" applyAlignment="1">
      <alignment horizontal="right" vertical="center" wrapText="1"/>
    </xf>
    <xf numFmtId="10" fontId="20" fillId="9" borderId="28" xfId="0" applyNumberFormat="1" applyFont="1" applyFill="1" applyBorder="1" applyAlignment="1">
      <alignment horizontal="right" vertical="center" wrapText="1"/>
    </xf>
    <xf numFmtId="0" fontId="22" fillId="9" borderId="28" xfId="0" applyFont="1" applyFill="1" applyBorder="1" applyAlignment="1">
      <alignment horizontal="right" vertical="center" wrapText="1"/>
    </xf>
    <xf numFmtId="10" fontId="24" fillId="9" borderId="28" xfId="0" applyNumberFormat="1" applyFont="1" applyFill="1" applyBorder="1" applyAlignment="1">
      <alignment horizontal="right" vertical="center" wrapText="1"/>
    </xf>
    <xf numFmtId="10" fontId="21" fillId="9" borderId="28" xfId="0" applyNumberFormat="1" applyFont="1" applyFill="1" applyBorder="1" applyAlignment="1">
      <alignment horizontal="right" vertical="center" wrapText="1"/>
    </xf>
    <xf numFmtId="10" fontId="20" fillId="9" borderId="29" xfId="0" applyNumberFormat="1" applyFont="1" applyFill="1" applyBorder="1" applyAlignment="1">
      <alignment horizontal="right" vertical="center" wrapText="1"/>
    </xf>
    <xf numFmtId="0" fontId="7" fillId="2" borderId="0" xfId="0" applyFont="1" applyFill="1" applyAlignment="1">
      <alignment horizontal="left" vertical="top"/>
    </xf>
    <xf numFmtId="170" fontId="8" fillId="2" borderId="25" xfId="0" applyNumberFormat="1" applyFont="1" applyFill="1" applyBorder="1" applyAlignment="1">
      <alignment vertical="center"/>
    </xf>
    <xf numFmtId="9" fontId="21" fillId="9" borderId="28" xfId="2" applyFont="1" applyFill="1" applyBorder="1" applyAlignment="1">
      <alignment horizontal="right" vertical="center" wrapText="1"/>
    </xf>
    <xf numFmtId="9" fontId="20" fillId="9" borderId="28" xfId="2" applyFont="1" applyFill="1" applyBorder="1" applyAlignment="1">
      <alignment horizontal="right" vertical="center" wrapText="1"/>
    </xf>
    <xf numFmtId="0" fontId="17" fillId="4" borderId="32" xfId="0" applyFont="1" applyFill="1" applyBorder="1" applyAlignment="1">
      <alignment horizontal="right" wrapText="1"/>
    </xf>
    <xf numFmtId="10" fontId="20" fillId="9" borderId="31" xfId="0" applyNumberFormat="1" applyFont="1" applyFill="1" applyBorder="1" applyAlignment="1">
      <alignment horizontal="right" vertical="center" wrapText="1"/>
    </xf>
    <xf numFmtId="9" fontId="18" fillId="9" borderId="28" xfId="2" applyFont="1" applyFill="1" applyBorder="1" applyAlignment="1">
      <alignment horizontal="right" vertical="center" wrapText="1"/>
    </xf>
    <xf numFmtId="9" fontId="23" fillId="9" borderId="28" xfId="2" applyFont="1" applyFill="1" applyBorder="1" applyAlignment="1">
      <alignment horizontal="right" vertical="center" wrapText="1"/>
    </xf>
    <xf numFmtId="10" fontId="30" fillId="9" borderId="28" xfId="0" applyNumberFormat="1" applyFont="1" applyFill="1" applyBorder="1" applyAlignment="1">
      <alignment horizontal="right" vertical="center" wrapText="1"/>
    </xf>
    <xf numFmtId="0" fontId="26" fillId="8" borderId="34" xfId="0" applyFont="1" applyFill="1" applyBorder="1" applyAlignment="1">
      <alignment horizontal="center" wrapText="1"/>
    </xf>
    <xf numFmtId="0" fontId="27" fillId="8" borderId="0" xfId="0" applyFont="1" applyFill="1" applyAlignment="1">
      <alignment horizontal="center" wrapText="1"/>
    </xf>
    <xf numFmtId="0" fontId="26" fillId="8" borderId="0" xfId="0" applyFont="1" applyFill="1" applyAlignment="1">
      <alignment horizontal="center" wrapText="1"/>
    </xf>
    <xf numFmtId="0" fontId="26" fillId="8" borderId="29" xfId="0" applyFont="1" applyFill="1" applyBorder="1" applyAlignment="1">
      <alignment horizontal="center" wrapText="1"/>
    </xf>
    <xf numFmtId="14" fontId="29" fillId="7" borderId="35" xfId="0" applyNumberFormat="1" applyFont="1" applyFill="1" applyBorder="1" applyAlignment="1">
      <alignment horizontal="center" wrapText="1"/>
    </xf>
    <xf numFmtId="14" fontId="29" fillId="7" borderId="36" xfId="0" applyNumberFormat="1" applyFont="1" applyFill="1" applyBorder="1" applyAlignment="1">
      <alignment horizontal="center" wrapText="1"/>
    </xf>
    <xf numFmtId="14" fontId="29" fillId="7" borderId="37" xfId="0" applyNumberFormat="1" applyFont="1" applyFill="1" applyBorder="1" applyAlignment="1">
      <alignment horizontal="center" wrapText="1"/>
    </xf>
    <xf numFmtId="14" fontId="29" fillId="7" borderId="38" xfId="0" applyNumberFormat="1" applyFont="1" applyFill="1" applyBorder="1" applyAlignment="1">
      <alignment horizontal="center" wrapText="1"/>
    </xf>
    <xf numFmtId="14" fontId="29" fillId="7" borderId="0" xfId="0" applyNumberFormat="1" applyFont="1" applyFill="1" applyAlignment="1">
      <alignment horizontal="center" wrapText="1"/>
    </xf>
    <xf numFmtId="0" fontId="17" fillId="4" borderId="44" xfId="0" applyFont="1" applyFill="1" applyBorder="1" applyAlignment="1">
      <alignment horizontal="center" wrapText="1"/>
    </xf>
    <xf numFmtId="0" fontId="17" fillId="5" borderId="22" xfId="0" applyFont="1" applyFill="1" applyBorder="1" applyAlignment="1">
      <alignment wrapText="1"/>
    </xf>
    <xf numFmtId="0" fontId="17" fillId="4" borderId="45" xfId="0" applyFont="1" applyFill="1" applyBorder="1" applyAlignment="1">
      <alignment horizontal="right" wrapText="1"/>
    </xf>
    <xf numFmtId="0" fontId="17" fillId="4" borderId="46" xfId="0" applyFont="1" applyFill="1" applyBorder="1" applyAlignment="1">
      <alignment horizontal="right" wrapText="1"/>
    </xf>
    <xf numFmtId="171" fontId="17" fillId="6" borderId="34" xfId="0" applyNumberFormat="1" applyFont="1" applyFill="1" applyBorder="1" applyAlignment="1">
      <alignment horizontal="center" wrapText="1"/>
    </xf>
    <xf numFmtId="0" fontId="17" fillId="5" borderId="40" xfId="0" applyFont="1" applyFill="1" applyBorder="1" applyAlignment="1">
      <alignment wrapText="1"/>
    </xf>
    <xf numFmtId="165" fontId="17" fillId="4" borderId="41" xfId="0" applyNumberFormat="1" applyFont="1" applyFill="1" applyBorder="1" applyAlignment="1">
      <alignment horizontal="right" wrapText="1"/>
    </xf>
    <xf numFmtId="0" fontId="17" fillId="4" borderId="42" xfId="0" applyFont="1" applyFill="1" applyBorder="1" applyAlignment="1">
      <alignment horizontal="right" wrapText="1"/>
    </xf>
    <xf numFmtId="0" fontId="25" fillId="9" borderId="28" xfId="0" applyFont="1" applyFill="1" applyBorder="1" applyAlignment="1">
      <alignment horizontal="right" vertical="center" wrapText="1"/>
    </xf>
    <xf numFmtId="0" fontId="25" fillId="9" borderId="29" xfId="0" applyFont="1" applyFill="1" applyBorder="1" applyAlignment="1">
      <alignment horizontal="right" vertical="center" wrapText="1"/>
    </xf>
    <xf numFmtId="0" fontId="25" fillId="9" borderId="43" xfId="0" applyFont="1" applyFill="1" applyBorder="1" applyAlignment="1">
      <alignment horizontal="right" vertical="center" wrapText="1"/>
    </xf>
    <xf numFmtId="9" fontId="31" fillId="9" borderId="34" xfId="0" applyNumberFormat="1" applyFont="1" applyFill="1" applyBorder="1" applyAlignment="1">
      <alignment horizontal="right" vertical="center" wrapText="1"/>
    </xf>
    <xf numFmtId="0" fontId="31" fillId="9" borderId="0" xfId="0" applyFont="1" applyFill="1" applyAlignment="1">
      <alignment horizontal="right" vertical="center" wrapText="1"/>
    </xf>
    <xf numFmtId="10" fontId="31" fillId="9" borderId="0" xfId="0" applyNumberFormat="1" applyFont="1" applyFill="1" applyAlignment="1">
      <alignment horizontal="right" vertical="center" wrapText="1"/>
    </xf>
    <xf numFmtId="0" fontId="32" fillId="9" borderId="0" xfId="0" applyFont="1" applyFill="1" applyAlignment="1">
      <alignment horizontal="right" vertical="center" wrapText="1"/>
    </xf>
    <xf numFmtId="10" fontId="32" fillId="9" borderId="0" xfId="0" applyNumberFormat="1" applyFont="1" applyFill="1" applyAlignment="1">
      <alignment horizontal="right" vertical="center" wrapText="1"/>
    </xf>
    <xf numFmtId="0" fontId="32" fillId="9" borderId="39" xfId="0" applyFont="1" applyFill="1" applyBorder="1" applyAlignment="1">
      <alignment horizontal="right" vertical="center" wrapText="1"/>
    </xf>
    <xf numFmtId="9" fontId="20" fillId="9" borderId="28" xfId="0" applyNumberFormat="1" applyFont="1" applyFill="1" applyBorder="1" applyAlignment="1">
      <alignment horizontal="right" vertical="center" wrapText="1"/>
    </xf>
    <xf numFmtId="9" fontId="20" fillId="9" borderId="33" xfId="2" applyFont="1" applyFill="1" applyBorder="1" applyAlignment="1">
      <alignment horizontal="right" vertical="center" wrapText="1"/>
    </xf>
    <xf numFmtId="9" fontId="31" fillId="9" borderId="0" xfId="0" applyNumberFormat="1" applyFont="1" applyFill="1" applyAlignment="1">
      <alignment horizontal="right" vertical="center" wrapText="1"/>
    </xf>
    <xf numFmtId="10" fontId="21" fillId="9" borderId="31" xfId="0" applyNumberFormat="1" applyFont="1" applyFill="1" applyBorder="1" applyAlignment="1">
      <alignment horizontal="right" vertical="center" wrapText="1"/>
    </xf>
    <xf numFmtId="10" fontId="18" fillId="9" borderId="29" xfId="0" applyNumberFormat="1" applyFont="1" applyFill="1" applyBorder="1" applyAlignment="1">
      <alignment horizontal="right" vertical="center" wrapText="1"/>
    </xf>
    <xf numFmtId="0" fontId="20" fillId="9" borderId="29" xfId="0" applyFont="1" applyFill="1" applyBorder="1" applyAlignment="1">
      <alignment horizontal="right" vertical="center" wrapText="1"/>
    </xf>
    <xf numFmtId="10" fontId="18" fillId="9" borderId="31" xfId="0" applyNumberFormat="1" applyFont="1" applyFill="1" applyBorder="1" applyAlignment="1">
      <alignment horizontal="right" vertical="center" wrapText="1"/>
    </xf>
    <xf numFmtId="9" fontId="17" fillId="5" borderId="23" xfId="2" applyFont="1" applyFill="1" applyBorder="1" applyAlignment="1">
      <alignment wrapText="1"/>
    </xf>
    <xf numFmtId="9" fontId="18" fillId="9" borderId="29" xfId="2" applyFont="1" applyFill="1" applyBorder="1" applyAlignment="1">
      <alignment horizontal="right" vertical="center" wrapText="1"/>
    </xf>
    <xf numFmtId="0" fontId="20" fillId="9" borderId="43" xfId="0" applyFont="1" applyFill="1" applyBorder="1" applyAlignment="1">
      <alignment horizontal="right" vertical="center" wrapText="1"/>
    </xf>
    <xf numFmtId="171" fontId="17" fillId="2" borderId="43" xfId="0" applyNumberFormat="1" applyFont="1" applyFill="1" applyBorder="1" applyAlignment="1">
      <alignment horizontal="center" wrapText="1"/>
    </xf>
    <xf numFmtId="171" fontId="17" fillId="6" borderId="43" xfId="0" applyNumberFormat="1" applyFont="1" applyFill="1" applyBorder="1" applyAlignment="1">
      <alignment horizontal="center" wrapText="1"/>
    </xf>
    <xf numFmtId="171" fontId="17" fillId="2" borderId="28" xfId="0" applyNumberFormat="1" applyFont="1" applyFill="1" applyBorder="1" applyAlignment="1">
      <alignment horizontal="center" wrapText="1"/>
    </xf>
    <xf numFmtId="0" fontId="17" fillId="4" borderId="47" xfId="0" applyFont="1" applyFill="1" applyBorder="1" applyAlignment="1">
      <alignment horizontal="center" wrapText="1"/>
    </xf>
    <xf numFmtId="0" fontId="17" fillId="5" borderId="48" xfId="0" applyFont="1" applyFill="1" applyBorder="1" applyAlignment="1">
      <alignment wrapText="1"/>
    </xf>
    <xf numFmtId="0" fontId="17" fillId="5" borderId="49" xfId="0" applyFont="1" applyFill="1" applyBorder="1" applyAlignment="1">
      <alignment wrapText="1"/>
    </xf>
    <xf numFmtId="9" fontId="17" fillId="5" borderId="49" xfId="2" applyFont="1" applyFill="1" applyBorder="1" applyAlignment="1">
      <alignment wrapText="1"/>
    </xf>
    <xf numFmtId="165" fontId="17" fillId="4" borderId="50" xfId="0" applyNumberFormat="1" applyFont="1" applyFill="1" applyBorder="1" applyAlignment="1">
      <alignment horizontal="right" wrapText="1"/>
    </xf>
    <xf numFmtId="3" fontId="17" fillId="4" borderId="51" xfId="0" applyNumberFormat="1" applyFont="1" applyFill="1" applyBorder="1" applyAlignment="1">
      <alignment horizontal="right" wrapText="1"/>
    </xf>
    <xf numFmtId="0" fontId="17" fillId="4" borderId="52" xfId="0" applyFont="1" applyFill="1" applyBorder="1" applyAlignment="1">
      <alignment horizontal="center" wrapText="1"/>
    </xf>
    <xf numFmtId="3" fontId="17" fillId="4" borderId="32" xfId="0" applyNumberFormat="1" applyFont="1" applyFill="1" applyBorder="1" applyAlignment="1">
      <alignment horizontal="right" wrapText="1"/>
    </xf>
    <xf numFmtId="0" fontId="17" fillId="4" borderId="53" xfId="0" applyFont="1" applyFill="1" applyBorder="1" applyAlignment="1">
      <alignment horizontal="center" wrapText="1"/>
    </xf>
    <xf numFmtId="9" fontId="17" fillId="5" borderId="54" xfId="2" applyFont="1" applyFill="1" applyBorder="1" applyAlignment="1">
      <alignment wrapText="1"/>
    </xf>
    <xf numFmtId="0" fontId="3" fillId="2" borderId="0" xfId="0" applyFont="1" applyFill="1" applyAlignment="1">
      <alignment horizontal="right"/>
    </xf>
    <xf numFmtId="0" fontId="4" fillId="2" borderId="0" xfId="0" applyFont="1" applyFill="1" applyAlignment="1">
      <alignment horizontal="right"/>
    </xf>
    <xf numFmtId="0" fontId="34" fillId="2" borderId="0" xfId="0" applyFont="1" applyFill="1" applyAlignment="1">
      <alignment horizontal="right"/>
    </xf>
    <xf numFmtId="0" fontId="33" fillId="2" borderId="0" xfId="0" applyFont="1" applyFill="1" applyAlignment="1">
      <alignment vertical="top"/>
    </xf>
    <xf numFmtId="9" fontId="35" fillId="9" borderId="29" xfId="2" applyFont="1" applyFill="1" applyBorder="1" applyAlignment="1">
      <alignment horizontal="right" vertical="center" wrapText="1"/>
    </xf>
    <xf numFmtId="9" fontId="20" fillId="9" borderId="29" xfId="0" applyNumberFormat="1" applyFont="1" applyFill="1" applyBorder="1" applyAlignment="1">
      <alignment horizontal="right" vertical="center" wrapText="1"/>
    </xf>
    <xf numFmtId="9" fontId="36" fillId="9" borderId="28" xfId="2" applyFont="1" applyFill="1" applyBorder="1" applyAlignment="1">
      <alignment horizontal="right" vertical="center" wrapText="1"/>
    </xf>
    <xf numFmtId="9" fontId="17" fillId="5" borderId="22" xfId="2" applyFont="1" applyFill="1" applyBorder="1" applyAlignment="1">
      <alignment wrapText="1"/>
    </xf>
    <xf numFmtId="0" fontId="0" fillId="10" borderId="0" xfId="0" applyFill="1"/>
    <xf numFmtId="0" fontId="37" fillId="11" borderId="0" xfId="0" applyFont="1" applyFill="1" applyAlignment="1">
      <alignment horizontal="center" vertical="center"/>
    </xf>
    <xf numFmtId="14" fontId="37" fillId="11" borderId="0" xfId="0" applyNumberFormat="1" applyFont="1" applyFill="1" applyAlignment="1">
      <alignment horizontal="center" vertical="center"/>
    </xf>
    <xf numFmtId="0" fontId="38" fillId="10" borderId="0" xfId="0" applyFont="1" applyFill="1" applyAlignment="1">
      <alignment horizontal="left" vertical="center"/>
    </xf>
    <xf numFmtId="0" fontId="39" fillId="10" borderId="0" xfId="0" applyFont="1" applyFill="1" applyAlignment="1">
      <alignment horizontal="center" vertical="center"/>
    </xf>
    <xf numFmtId="0" fontId="2" fillId="10" borderId="0" xfId="3" applyFill="1" applyAlignment="1">
      <alignment horizontal="center" vertical="center"/>
    </xf>
    <xf numFmtId="0" fontId="37" fillId="10" borderId="0" xfId="0" applyFont="1" applyFill="1" applyAlignment="1">
      <alignment horizontal="left" vertical="center"/>
    </xf>
    <xf numFmtId="0" fontId="40" fillId="10" borderId="0" xfId="0" applyFont="1" applyFill="1" applyAlignment="1">
      <alignment horizontal="center" vertical="center"/>
    </xf>
    <xf numFmtId="0" fontId="41" fillId="10" borderId="0" xfId="0" applyFont="1" applyFill="1" applyAlignment="1">
      <alignment horizontal="left" vertical="center"/>
    </xf>
    <xf numFmtId="0" fontId="42" fillId="10" borderId="0" xfId="0" applyFont="1" applyFill="1" applyAlignment="1">
      <alignment horizontal="center" vertical="center"/>
    </xf>
    <xf numFmtId="0" fontId="43" fillId="10" borderId="0" xfId="0" applyFont="1" applyFill="1" applyAlignment="1">
      <alignment horizontal="center" vertical="center"/>
    </xf>
    <xf numFmtId="0" fontId="44" fillId="10" borderId="0" xfId="0" applyFont="1" applyFill="1" applyAlignment="1">
      <alignment horizontal="center" vertical="center"/>
    </xf>
    <xf numFmtId="0" fontId="37" fillId="10" borderId="55" xfId="0" applyFont="1" applyFill="1" applyBorder="1" applyAlignment="1">
      <alignment horizontal="left" vertical="center"/>
    </xf>
    <xf numFmtId="0" fontId="40" fillId="10" borderId="55" xfId="0" applyFont="1" applyFill="1" applyBorder="1" applyAlignment="1">
      <alignment horizontal="center" vertical="center"/>
    </xf>
    <xf numFmtId="0" fontId="2" fillId="10" borderId="55" xfId="3" applyFill="1" applyBorder="1" applyAlignment="1">
      <alignment horizontal="center" vertical="center"/>
    </xf>
    <xf numFmtId="0" fontId="45" fillId="10" borderId="55" xfId="0" applyFont="1" applyFill="1" applyBorder="1" applyAlignment="1">
      <alignment horizontal="center" vertical="center"/>
    </xf>
    <xf numFmtId="0" fontId="46" fillId="10" borderId="0" xfId="0" applyFont="1" applyFill="1" applyAlignment="1">
      <alignment horizontal="center" vertical="center"/>
    </xf>
    <xf numFmtId="0" fontId="47" fillId="10" borderId="0" xfId="0" applyFont="1" applyFill="1" applyAlignment="1">
      <alignment horizontal="left" vertical="center"/>
    </xf>
    <xf numFmtId="0" fontId="48" fillId="10" borderId="0" xfId="0" applyFont="1" applyFill="1" applyAlignment="1">
      <alignment horizontal="center" vertical="center"/>
    </xf>
    <xf numFmtId="0" fontId="49" fillId="10" borderId="0" xfId="0" applyFont="1" applyFill="1" applyAlignment="1">
      <alignment horizontal="center" vertical="center"/>
    </xf>
    <xf numFmtId="0" fontId="50" fillId="10" borderId="0" xfId="0" applyFont="1" applyFill="1" applyAlignment="1">
      <alignment horizontal="center" vertical="center"/>
    </xf>
    <xf numFmtId="0" fontId="51" fillId="0" borderId="56" xfId="0" applyFont="1" applyBorder="1"/>
    <xf numFmtId="0" fontId="0" fillId="0" borderId="31" xfId="0" applyBorder="1"/>
    <xf numFmtId="0" fontId="0" fillId="0" borderId="57" xfId="0" applyBorder="1"/>
    <xf numFmtId="0" fontId="0" fillId="0" borderId="39" xfId="0" applyBorder="1"/>
    <xf numFmtId="0" fontId="0" fillId="0" borderId="29" xfId="0" applyBorder="1"/>
    <xf numFmtId="0" fontId="0" fillId="0" borderId="58" xfId="0" applyBorder="1"/>
    <xf numFmtId="0" fontId="0" fillId="0" borderId="34" xfId="0" applyBorder="1"/>
    <xf numFmtId="3" fontId="0" fillId="0" borderId="0" xfId="0" applyNumberFormat="1"/>
    <xf numFmtId="0" fontId="0" fillId="0" borderId="0" xfId="0" applyAlignment="1">
      <alignment horizontal="center" vertical="center"/>
    </xf>
    <xf numFmtId="0" fontId="0" fillId="0" borderId="59" xfId="0" applyBorder="1"/>
    <xf numFmtId="0" fontId="0" fillId="0" borderId="39" xfId="0" applyBorder="1" applyAlignment="1">
      <alignment horizontal="left"/>
    </xf>
    <xf numFmtId="0" fontId="52" fillId="0" borderId="56" xfId="0" applyFont="1" applyBorder="1"/>
    <xf numFmtId="0" fontId="3" fillId="2" borderId="0" xfId="0" applyFont="1" applyFill="1" applyAlignment="1">
      <alignment horizontal="right"/>
    </xf>
    <xf numFmtId="0" fontId="9" fillId="2" borderId="25" xfId="0" applyFont="1" applyFill="1" applyBorder="1" applyAlignment="1">
      <alignment horizontal="center" vertical="center"/>
    </xf>
    <xf numFmtId="0" fontId="9" fillId="2" borderId="24" xfId="0" applyFont="1" applyFill="1" applyBorder="1" applyAlignment="1">
      <alignment horizontal="center" vertical="center"/>
    </xf>
    <xf numFmtId="0" fontId="3" fillId="2" borderId="0" xfId="0" applyFont="1" applyFill="1" applyAlignment="1">
      <alignment horizontal="left" vertical="top" wrapText="1"/>
    </xf>
    <xf numFmtId="0" fontId="4" fillId="2" borderId="0" xfId="0" applyFont="1" applyFill="1" applyAlignment="1">
      <alignment horizontal="center"/>
    </xf>
    <xf numFmtId="165" fontId="3" fillId="2" borderId="0" xfId="0" applyNumberFormat="1" applyFont="1" applyFill="1" applyAlignment="1">
      <alignment horizontal="center" vertical="center"/>
    </xf>
    <xf numFmtId="165" fontId="8" fillId="2" borderId="0" xfId="0" applyNumberFormat="1" applyFont="1" applyFill="1" applyAlignment="1">
      <alignment horizontal="center"/>
    </xf>
    <xf numFmtId="166" fontId="7" fillId="2" borderId="0" xfId="0" applyNumberFormat="1" applyFont="1" applyFill="1" applyAlignment="1">
      <alignment horizontal="left" vertical="top"/>
    </xf>
    <xf numFmtId="165" fontId="10" fillId="3" borderId="0" xfId="0" applyNumberFormat="1" applyFont="1" applyFill="1" applyAlignment="1">
      <alignment horizontal="center" vertical="center"/>
    </xf>
    <xf numFmtId="0" fontId="3" fillId="2" borderId="14" xfId="0" applyFont="1" applyFill="1" applyBorder="1" applyAlignment="1">
      <alignment horizontal="left"/>
    </xf>
    <xf numFmtId="44" fontId="3" fillId="2" borderId="0" xfId="0" applyNumberFormat="1" applyFont="1" applyFill="1" applyAlignment="1">
      <alignment horizontal="right" vertical="center"/>
    </xf>
    <xf numFmtId="10" fontId="11" fillId="0" borderId="0" xfId="0" applyNumberFormat="1" applyFont="1" applyAlignment="1">
      <alignment horizontal="center"/>
    </xf>
    <xf numFmtId="0" fontId="11" fillId="0" borderId="0" xfId="0" applyFont="1" applyAlignment="1">
      <alignment horizontal="center"/>
    </xf>
    <xf numFmtId="0" fontId="3" fillId="2" borderId="0" xfId="0" applyFont="1" applyFill="1" applyAlignment="1">
      <alignment horizontal="center"/>
    </xf>
    <xf numFmtId="9" fontId="7" fillId="2" borderId="0" xfId="2" applyFont="1" applyFill="1" applyBorder="1" applyAlignment="1">
      <alignment horizontal="left" vertical="top"/>
    </xf>
    <xf numFmtId="2" fontId="14" fillId="2" borderId="0" xfId="0" applyNumberFormat="1" applyFont="1" applyFill="1" applyAlignment="1">
      <alignment horizontal="center" vertical="center"/>
    </xf>
    <xf numFmtId="0" fontId="3" fillId="2" borderId="25" xfId="0" applyFont="1" applyFill="1" applyBorder="1" applyAlignment="1">
      <alignment horizontal="center" vertical="center"/>
    </xf>
    <xf numFmtId="0" fontId="3" fillId="2" borderId="24" xfId="0" applyFont="1" applyFill="1" applyBorder="1" applyAlignment="1">
      <alignment horizontal="center" vertical="center"/>
    </xf>
    <xf numFmtId="10" fontId="11" fillId="2" borderId="0" xfId="0" applyNumberFormat="1" applyFont="1" applyFill="1" applyAlignment="1">
      <alignment horizontal="center"/>
    </xf>
    <xf numFmtId="0" fontId="51" fillId="0" borderId="33" xfId="0" applyFont="1" applyBorder="1" applyAlignment="1">
      <alignment horizontal="center"/>
    </xf>
    <xf numFmtId="0" fontId="51" fillId="0" borderId="28" xfId="0" applyFont="1" applyBorder="1" applyAlignment="1">
      <alignment horizontal="center"/>
    </xf>
    <xf numFmtId="0" fontId="51" fillId="0" borderId="43" xfId="0" applyFont="1" applyBorder="1" applyAlignment="1">
      <alignment horizontal="center"/>
    </xf>
    <xf numFmtId="0" fontId="0" fillId="0" borderId="0" xfId="0"/>
    <xf numFmtId="0" fontId="53" fillId="11" borderId="0" xfId="0" applyFont="1" applyFill="1" applyAlignment="1">
      <alignment horizontal="center" vertical="center"/>
    </xf>
    <xf numFmtId="14" fontId="53" fillId="11" borderId="0" xfId="0" applyNumberFormat="1" applyFont="1" applyFill="1" applyAlignment="1">
      <alignment horizontal="center" vertical="center"/>
    </xf>
    <xf numFmtId="0" fontId="54" fillId="10" borderId="0" xfId="0" applyFont="1" applyFill="1" applyAlignment="1">
      <alignment horizontal="left" vertical="center"/>
    </xf>
    <xf numFmtId="0" fontId="55" fillId="10" borderId="0" xfId="0" applyFont="1" applyFill="1" applyAlignment="1">
      <alignment horizontal="center" vertical="center"/>
    </xf>
    <xf numFmtId="0" fontId="53" fillId="10" borderId="0" xfId="0" applyFont="1" applyFill="1" applyAlignment="1">
      <alignment horizontal="left" vertical="center"/>
    </xf>
    <xf numFmtId="0" fontId="56" fillId="10" borderId="0" xfId="0" applyFont="1" applyFill="1" applyAlignment="1">
      <alignment horizontal="center" vertical="center"/>
    </xf>
    <xf numFmtId="0" fontId="57" fillId="10" borderId="0" xfId="0" applyFont="1" applyFill="1" applyAlignment="1">
      <alignment horizontal="left" vertical="center"/>
    </xf>
    <xf numFmtId="0" fontId="58" fillId="10" borderId="0" xfId="0" applyFont="1" applyFill="1" applyAlignment="1">
      <alignment horizontal="center" vertical="center"/>
    </xf>
    <xf numFmtId="0" fontId="59" fillId="10" borderId="0" xfId="0" applyFont="1" applyFill="1" applyAlignment="1">
      <alignment horizontal="center" vertical="center"/>
    </xf>
    <xf numFmtId="0" fontId="60" fillId="10" borderId="0" xfId="0" applyFont="1" applyFill="1" applyAlignment="1">
      <alignment horizontal="center" vertical="center"/>
    </xf>
    <xf numFmtId="0" fontId="61" fillId="10" borderId="0" xfId="0" applyFont="1" applyFill="1" applyAlignment="1">
      <alignment horizontal="center" vertical="center"/>
    </xf>
    <xf numFmtId="0" fontId="53" fillId="10" borderId="55" xfId="0" applyFont="1" applyFill="1" applyBorder="1" applyAlignment="1">
      <alignment horizontal="left" vertical="center"/>
    </xf>
    <xf numFmtId="0" fontId="56" fillId="10" borderId="55" xfId="0" applyFont="1" applyFill="1" applyBorder="1" applyAlignment="1">
      <alignment horizontal="center" vertical="center"/>
    </xf>
    <xf numFmtId="0" fontId="62" fillId="10" borderId="55" xfId="0" applyFont="1" applyFill="1" applyBorder="1" applyAlignment="1">
      <alignment horizontal="center" vertical="center"/>
    </xf>
    <xf numFmtId="0" fontId="63" fillId="10" borderId="0" xfId="0" applyFont="1" applyFill="1" applyAlignment="1">
      <alignment horizontal="center" vertical="center"/>
    </xf>
    <xf numFmtId="0" fontId="64" fillId="10" borderId="0" xfId="0" applyFont="1" applyFill="1" applyAlignment="1">
      <alignment horizontal="left" vertical="center"/>
    </xf>
    <xf numFmtId="0" fontId="65" fillId="10" borderId="0" xfId="0" applyFont="1" applyFill="1" applyAlignment="1">
      <alignment horizontal="center" vertical="center"/>
    </xf>
    <xf numFmtId="0" fontId="66" fillId="10" borderId="0" xfId="0" applyFont="1" applyFill="1" applyAlignment="1">
      <alignment horizontal="center" vertical="center"/>
    </xf>
    <xf numFmtId="0" fontId="67" fillId="10" borderId="0" xfId="0" applyFont="1" applyFill="1" applyAlignment="1">
      <alignment horizontal="center" vertical="center"/>
    </xf>
    <xf numFmtId="4" fontId="56" fillId="10" borderId="0" xfId="0" applyNumberFormat="1" applyFont="1" applyFill="1" applyAlignment="1">
      <alignment horizontal="center" vertical="center"/>
    </xf>
    <xf numFmtId="4" fontId="61" fillId="10" borderId="0" xfId="0" applyNumberFormat="1" applyFont="1" applyFill="1" applyAlignment="1">
      <alignment horizontal="center" vertical="center"/>
    </xf>
    <xf numFmtId="4" fontId="56" fillId="10" borderId="55" xfId="0" applyNumberFormat="1" applyFont="1" applyFill="1" applyBorder="1" applyAlignment="1">
      <alignment horizontal="center" vertical="center"/>
    </xf>
    <xf numFmtId="4" fontId="55" fillId="10" borderId="0" xfId="0" applyNumberFormat="1" applyFont="1" applyFill="1" applyAlignment="1">
      <alignment horizontal="center" vertical="center"/>
    </xf>
    <xf numFmtId="4" fontId="62" fillId="10" borderId="55" xfId="0" applyNumberFormat="1" applyFont="1" applyFill="1" applyBorder="1" applyAlignment="1">
      <alignment horizontal="center" vertical="center"/>
    </xf>
    <xf numFmtId="0" fontId="68" fillId="2" borderId="0" xfId="0" applyFont="1" applyFill="1"/>
    <xf numFmtId="0" fontId="3" fillId="2" borderId="0" xfId="0" applyFont="1" applyFill="1" applyAlignment="1"/>
    <xf numFmtId="0" fontId="5" fillId="2" borderId="0" xfId="0" applyFont="1" applyFill="1" applyAlignment="1"/>
    <xf numFmtId="2" fontId="3" fillId="2" borderId="61" xfId="0" applyNumberFormat="1" applyFont="1" applyFill="1" applyBorder="1" applyAlignment="1">
      <alignment vertical="center"/>
    </xf>
    <xf numFmtId="3" fontId="3" fillId="2" borderId="60" xfId="0" applyNumberFormat="1" applyFont="1" applyFill="1" applyBorder="1" applyAlignment="1">
      <alignment horizontal="right" vertical="center"/>
    </xf>
    <xf numFmtId="0" fontId="69" fillId="10" borderId="0" xfId="0" applyFont="1" applyFill="1" applyAlignment="1">
      <alignment horizontal="center" vertical="center"/>
    </xf>
    <xf numFmtId="0" fontId="70" fillId="2" borderId="7" xfId="0" applyFont="1" applyFill="1" applyBorder="1" applyAlignment="1">
      <alignment vertical="center"/>
    </xf>
    <xf numFmtId="0" fontId="70" fillId="2" borderId="7" xfId="0" applyFont="1" applyFill="1" applyBorder="1"/>
    <xf numFmtId="0" fontId="70" fillId="2" borderId="0" xfId="0" applyFont="1" applyFill="1"/>
    <xf numFmtId="0" fontId="71" fillId="2" borderId="9" xfId="0" applyFont="1" applyFill="1" applyBorder="1" applyAlignment="1">
      <alignment horizontal="center"/>
    </xf>
    <xf numFmtId="0" fontId="70" fillId="2" borderId="0" xfId="0" applyFont="1" applyFill="1" applyAlignment="1">
      <alignment vertical="center"/>
    </xf>
    <xf numFmtId="3" fontId="5" fillId="2" borderId="1" xfId="0" applyNumberFormat="1" applyFont="1" applyFill="1" applyBorder="1" applyAlignment="1">
      <alignment horizontal="right" vertical="center"/>
    </xf>
    <xf numFmtId="185" fontId="5" fillId="2" borderId="1" xfId="0" applyNumberFormat="1" applyFont="1" applyFill="1" applyBorder="1" applyAlignment="1">
      <alignment horizontal="right" vertical="center"/>
    </xf>
    <xf numFmtId="4" fontId="3" fillId="2" borderId="60" xfId="0" applyNumberFormat="1" applyFont="1" applyFill="1" applyBorder="1" applyAlignment="1">
      <alignment horizontal="right" vertical="center"/>
    </xf>
    <xf numFmtId="0" fontId="70" fillId="2" borderId="5" xfId="0" applyFont="1" applyFill="1" applyBorder="1" applyAlignment="1">
      <alignment vertical="center"/>
    </xf>
    <xf numFmtId="9" fontId="5" fillId="2" borderId="1" xfId="2" applyFont="1" applyFill="1" applyBorder="1" applyAlignment="1">
      <alignment horizontal="right" vertical="center"/>
    </xf>
    <xf numFmtId="0" fontId="70" fillId="2" borderId="7" xfId="0" applyNumberFormat="1" applyFont="1" applyFill="1" applyBorder="1"/>
    <xf numFmtId="0" fontId="70" fillId="2" borderId="0" xfId="0" applyFont="1" applyFill="1" applyAlignment="1">
      <alignment horizontal="left"/>
    </xf>
  </cellXfs>
  <cellStyles count="4">
    <cellStyle name="Hipervínculo" xfId="3" builtinId="8"/>
    <cellStyle name="Moneda" xfId="1" builtinId="4"/>
    <cellStyle name="Normal" xfId="0" builtinId="0"/>
    <cellStyle name="Porcentaje" xfId="2" builtinId="5"/>
  </cellStyles>
  <dxfs count="41">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dxf>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border diagonalUp="0" diagonalDown="0">
        <left/>
        <right/>
        <top style="thin">
          <color theme="8" tint="-0.249977111117893"/>
        </top>
        <bottom style="thin">
          <color theme="8" tint="-0.249977111117893"/>
        </bottom>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border diagonalUp="0" diagonalDown="0" outline="0">
        <left/>
        <right style="thin">
          <color indexed="64"/>
        </right>
        <top/>
        <bottom/>
      </border>
    </dxf>
    <dxf>
      <fill>
        <patternFill patternType="solid">
          <fgColor indexed="64"/>
          <bgColor theme="8" tint="-0.249977111117893"/>
        </patternFill>
      </fill>
      <alignment horizontal="right" vertical="center" textRotation="0" wrapText="1" indent="0" justifyLastLine="0" shrinkToFit="0" readingOrder="0"/>
      <border diagonalUp="0" diagonalDown="0">
        <left/>
        <right style="thin">
          <color indexed="64"/>
        </right>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border diagonalUp="0" diagonalDown="0" outline="0">
        <left style="thin">
          <color indexed="64"/>
        </left>
        <right/>
        <top/>
        <bottom/>
      </border>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indexed="64"/>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indexed="64"/>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theme="2"/>
        </right>
        <top/>
        <bottom/>
      </border>
    </dxf>
    <dxf>
      <font>
        <b val="0"/>
        <i val="0"/>
        <strike val="0"/>
        <condense val="0"/>
        <extend val="0"/>
        <outline val="0"/>
        <shadow val="0"/>
        <u val="none"/>
        <vertAlign val="baseline"/>
        <sz val="12"/>
        <color theme="1"/>
        <name val="Calibri"/>
        <family val="2"/>
        <scheme val="none"/>
      </font>
      <numFmt numFmtId="165" formatCode="_([$$-409]* #,##0.00_);_([$$-409]* \(#,##0.00\);_([$$-409]* &quot;-&quot;??_);_(@_)"/>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theme="2"/>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left style="thin">
          <color indexed="64"/>
        </left>
        <right style="thin">
          <color theme="2" tint="-9.9978637043366805E-2"/>
        </right>
        <top style="thin">
          <color theme="2"/>
        </top>
        <bottom style="thin">
          <color theme="2"/>
        </bottom>
      </border>
    </dxf>
    <dxf>
      <border diagonalUp="0" diagonalDown="0">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rgb="FF9FC5E8"/>
        </patternFill>
      </fill>
      <alignment horizontal="center" vertical="bottom"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FF5050"/>
      <color rgb="FFB48D51"/>
      <color rgb="FF966F33"/>
      <color rgb="FFD1A375"/>
      <color rgb="FF996633"/>
      <color rgb="FFF8F8F8"/>
      <color rgb="FFFFFF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worksheet" Target="worksheets/sheet10.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Financials!$D$81</c:f>
              <c:strCache>
                <c:ptCount val="1"/>
                <c:pt idx="0">
                  <c:v>Cash and Short-Term Investments</c:v>
                </c:pt>
              </c:strCache>
            </c:strRef>
          </c:tx>
          <c:spPr>
            <a:solidFill>
              <a:schemeClr val="accent6">
                <a:lumMod val="60000"/>
                <a:lumOff val="40000"/>
              </a:schemeClr>
            </a:solidFill>
            <a:ln>
              <a:noFill/>
            </a:ln>
            <a:effectLst/>
          </c:spPr>
          <c:invertIfNegative val="0"/>
          <c:cat>
            <c:strRef>
              <c:f>Financials!$E$80:$N$80</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Financials!$E$81:$N$81</c:f>
              <c:numCache>
                <c:formatCode>#,##0.0</c:formatCode>
                <c:ptCount val="10"/>
                <c:pt idx="0">
                  <c:v>5.6021739999999998</c:v>
                </c:pt>
                <c:pt idx="1">
                  <c:v>8.2950429999999997</c:v>
                </c:pt>
                <c:pt idx="2">
                  <c:v>19.93</c:v>
                </c:pt>
                <c:pt idx="3">
                  <c:v>26.187999999999999</c:v>
                </c:pt>
                <c:pt idx="4">
                  <c:v>49.271999999999998</c:v>
                </c:pt>
                <c:pt idx="5">
                  <c:v>84.950999999999993</c:v>
                </c:pt>
                <c:pt idx="6">
                  <c:v>182.52</c:v>
                </c:pt>
                <c:pt idx="7">
                  <c:v>221.67500000000001</c:v>
                </c:pt>
                <c:pt idx="8">
                  <c:v>421.43200000000002</c:v>
                </c:pt>
                <c:pt idx="9">
                  <c:v>300.66500000000002</c:v>
                </c:pt>
              </c:numCache>
            </c:numRef>
          </c:val>
          <c:extLst>
            <c:ext xmlns:c16="http://schemas.microsoft.com/office/drawing/2014/chart" uri="{C3380CC4-5D6E-409C-BE32-E72D297353CC}">
              <c16:uniqueId val="{00000000-A72C-4B47-B086-214D27DB9E2F}"/>
            </c:ext>
          </c:extLst>
        </c:ser>
        <c:ser>
          <c:idx val="1"/>
          <c:order val="1"/>
          <c:tx>
            <c:strRef>
              <c:f>Financials!$D$82</c:f>
              <c:strCache>
                <c:ptCount val="1"/>
                <c:pt idx="0">
                  <c:v>Total Debt</c:v>
                </c:pt>
              </c:strCache>
            </c:strRef>
          </c:tx>
          <c:spPr>
            <a:solidFill>
              <a:srgbClr val="FF5050"/>
            </a:solidFill>
            <a:ln>
              <a:noFill/>
            </a:ln>
            <a:effectLst/>
          </c:spPr>
          <c:invertIfNegative val="0"/>
          <c:cat>
            <c:strRef>
              <c:f>Financials!$E$80:$N$80</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Financials!$E$82:$N$82</c:f>
              <c:numCache>
                <c:formatCode>#,##0.0</c:formatCode>
                <c:ptCount val="10"/>
                <c:pt idx="0">
                  <c:v>2.629451</c:v>
                </c:pt>
                <c:pt idx="1">
                  <c:v>4.5451079999999999</c:v>
                </c:pt>
                <c:pt idx="2">
                  <c:v>7.2270000000000003</c:v>
                </c:pt>
                <c:pt idx="3">
                  <c:v>8.5709999999999997</c:v>
                </c:pt>
                <c:pt idx="4">
                  <c:v>7.6429999999999998</c:v>
                </c:pt>
                <c:pt idx="5">
                  <c:v>6.569</c:v>
                </c:pt>
                <c:pt idx="6">
                  <c:v>25.038</c:v>
                </c:pt>
                <c:pt idx="7">
                  <c:v>49.969000000000001</c:v>
                </c:pt>
                <c:pt idx="8">
                  <c:v>67.81</c:v>
                </c:pt>
                <c:pt idx="9">
                  <c:v>69.209000000000003</c:v>
                </c:pt>
              </c:numCache>
            </c:numRef>
          </c:val>
          <c:extLst>
            <c:ext xmlns:c16="http://schemas.microsoft.com/office/drawing/2014/chart" uri="{C3380CC4-5D6E-409C-BE32-E72D297353CC}">
              <c16:uniqueId val="{00000001-A72C-4B47-B086-214D27DB9E2F}"/>
            </c:ext>
          </c:extLst>
        </c:ser>
        <c:dLbls>
          <c:showLegendKey val="0"/>
          <c:showVal val="0"/>
          <c:showCatName val="0"/>
          <c:showSerName val="0"/>
          <c:showPercent val="0"/>
          <c:showBubbleSize val="0"/>
        </c:dLbls>
        <c:gapWidth val="80"/>
        <c:overlap val="25"/>
        <c:axId val="586676944"/>
        <c:axId val="586679440"/>
      </c:barChart>
      <c:catAx>
        <c:axId val="5866769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9440"/>
        <c:crosses val="autoZero"/>
        <c:auto val="1"/>
        <c:lblAlgn val="ctr"/>
        <c:lblOffset val="100"/>
        <c:noMultiLvlLbl val="0"/>
      </c:catAx>
      <c:valAx>
        <c:axId val="586679440"/>
        <c:scaling>
          <c:orientation val="minMax"/>
        </c:scaling>
        <c:delete val="0"/>
        <c:axPos val="l"/>
        <c:majorGridlines>
          <c:spPr>
            <a:ln w="9525" cap="flat" cmpd="sng" algn="ctr">
              <a:solidFill>
                <a:schemeClr val="tx1">
                  <a:lumMod val="5000"/>
                  <a:lumOff val="9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Financials!$D$36</c:f>
              <c:strCache>
                <c:ptCount val="1"/>
                <c:pt idx="0">
                  <c:v>Shares Diluted</c:v>
                </c:pt>
              </c:strCache>
            </c:strRef>
          </c:tx>
          <c:spPr>
            <a:solidFill>
              <a:schemeClr val="accent1">
                <a:alpha val="70000"/>
              </a:schemeClr>
            </a:solidFill>
            <a:ln>
              <a:noFill/>
            </a:ln>
            <a:effectLst/>
          </c:spPr>
          <c:invertIfNegative val="0"/>
          <c:cat>
            <c:strRef>
              <c:f>Financials!$E$20:$N$20</c:f>
              <c:strCache>
                <c:ptCount val="10"/>
                <c:pt idx="0">
                  <c:v>1900</c:v>
                </c:pt>
                <c:pt idx="1">
                  <c:v>1900</c:v>
                </c:pt>
                <c:pt idx="2">
                  <c:v>1900</c:v>
                </c:pt>
                <c:pt idx="3">
                  <c:v>2016</c:v>
                </c:pt>
                <c:pt idx="4">
                  <c:v>2017</c:v>
                </c:pt>
                <c:pt idx="5">
                  <c:v>2018</c:v>
                </c:pt>
                <c:pt idx="6">
                  <c:v>2019</c:v>
                </c:pt>
                <c:pt idx="7">
                  <c:v>2020</c:v>
                </c:pt>
                <c:pt idx="8">
                  <c:v>2021</c:v>
                </c:pt>
                <c:pt idx="9">
                  <c:v>LTM</c:v>
                </c:pt>
              </c:strCache>
            </c:strRef>
          </c:cat>
          <c:val>
            <c:numRef>
              <c:f>Financials!$E$36:$N$36</c:f>
              <c:numCache>
                <c:formatCode>#,##0</c:formatCode>
                <c:ptCount val="10"/>
                <c:pt idx="0">
                  <c:v>0</c:v>
                </c:pt>
                <c:pt idx="1">
                  <c:v>0</c:v>
                </c:pt>
                <c:pt idx="2">
                  <c:v>0</c:v>
                </c:pt>
                <c:pt idx="3">
                  <c:v>0</c:v>
                </c:pt>
                <c:pt idx="4">
                  <c:v>14071.68</c:v>
                </c:pt>
                <c:pt idx="5">
                  <c:v>14065.7</c:v>
                </c:pt>
                <c:pt idx="6">
                  <c:v>13971.12</c:v>
                </c:pt>
                <c:pt idx="7">
                  <c:v>13740.56</c:v>
                </c:pt>
                <c:pt idx="8">
                  <c:v>13553.48</c:v>
                </c:pt>
                <c:pt idx="9">
                  <c:v>13284.23</c:v>
                </c:pt>
              </c:numCache>
            </c:numRef>
          </c:val>
          <c:extLst>
            <c:ext xmlns:c16="http://schemas.microsoft.com/office/drawing/2014/chart" uri="{C3380CC4-5D6E-409C-BE32-E72D297353CC}">
              <c16:uniqueId val="{00000000-3841-4392-9346-20873EF385B3}"/>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16</xdr:col>
      <xdr:colOff>114300</xdr:colOff>
      <xdr:row>61</xdr:row>
      <xdr:rowOff>114300</xdr:rowOff>
    </xdr:from>
    <xdr:to>
      <xdr:col>21</xdr:col>
      <xdr:colOff>123825</xdr:colOff>
      <xdr:row>71</xdr:row>
      <xdr:rowOff>219075</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104775</xdr:colOff>
      <xdr:row>72</xdr:row>
      <xdr:rowOff>66674</xdr:rowOff>
    </xdr:from>
    <xdr:to>
      <xdr:col>21</xdr:col>
      <xdr:colOff>119062</xdr:colOff>
      <xdr:row>84</xdr:row>
      <xdr:rowOff>76199</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152400</xdr:colOff>
          <xdr:row>1</xdr:row>
          <xdr:rowOff>95250</xdr:rowOff>
        </xdr:from>
        <xdr:to>
          <xdr:col>10</xdr:col>
          <xdr:colOff>466725</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Clean Pages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142875</xdr:colOff>
          <xdr:row>3</xdr:row>
          <xdr:rowOff>152400</xdr:rowOff>
        </xdr:from>
        <xdr:to>
          <xdr:col>10</xdr:col>
          <xdr:colOff>466725</xdr:colOff>
          <xdr:row>5</xdr:row>
          <xdr:rowOff>95250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3">
  <rv s="0">
    <v>https://www.bing.com/financeapi/forcetrigger?t=a2g6z2&amp;q=OTCM%3aEVVTY&amp;form=skydnc</v>
    <v>Learn more on Bing</v>
  </rv>
  <rv s="1">
    <v>en-US</v>
    <v>a2g6z2</v>
    <v>268435456</v>
    <v>1</v>
    <v>Powered by Refinitiv</v>
    <v>0</v>
    <v>Evolution AB (publ) (OTCM:EVVTY)</v>
    <v>2</v>
    <v>3</v>
    <v>Finance</v>
    <v>4</v>
    <v>141.33000000000001</v>
    <v>69.569999999999993</v>
    <v>1.1795</v>
    <v>1.21</v>
    <v>1.0799000000000001E-2</v>
    <v>USD</v>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v>11207</v>
    <v>OTC Markets</v>
    <v>OTCM</v>
    <v>OTCM</v>
    <v>Vasagatan 16, STOCKHOLM, STOCKHOLM, 11120 SE</v>
    <v>113.51990000000001</v>
    <v>Hotels &amp; Entertainment Services</v>
    <v>Stock</v>
    <v>44946.874989328127</v>
    <v>0</v>
    <v>111.35</v>
    <v>247765000000</v>
    <v>Evolution AB (publ)</v>
    <v>Evolution AB (publ)</v>
    <v>112.02</v>
    <v>112.05</v>
    <v>113.26</v>
    <v>215111100</v>
    <v>EVVTY</v>
    <v>Evolution AB (publ) (OTCM:EVVTY)</v>
    <v>46039</v>
    <v>541670</v>
    <v>2014</v>
  </rv>
  <rv s="2">
    <v>1</v>
  </rv>
  <rv s="0">
    <v>https://www.bing.com/financeapi/forcetrigger?t=a1u3rw&amp;q=XNAS%3aGOOGL&amp;form=skydnc</v>
    <v>Learn more on Bing</v>
  </rv>
  <rv s="3">
    <v>en-US</v>
    <v>a1u3rw</v>
    <v>268435456</v>
    <v>1</v>
    <v>Powered by Refinitiv</v>
    <v>5</v>
    <v>ALPHABET INC. (XNAS:GOOGL)</v>
    <v>2</v>
    <v>6</v>
    <v>Finance</v>
    <v>7</v>
    <v>151.54660000000001</v>
    <v>83.34</v>
    <v>1.0772999999999999</v>
    <v>4.97</v>
    <v>1.428E-3</v>
    <v>5.3411999999999994E-2</v>
    <v>0.14000000000000001</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98.3</v>
    <v>Software &amp; IT Services</v>
    <v>Stock</v>
    <v>44947.041606724219</v>
    <v>3</v>
    <v>95.02</v>
    <v>1276341000000</v>
    <v>ALPHABET INC.</v>
    <v>ALPHABET INC.</v>
    <v>95.1</v>
    <v>18.480699999999999</v>
    <v>93.05</v>
    <v>98.02</v>
    <v>98.16</v>
    <v>12943000000</v>
    <v>GOOGL</v>
    <v>ALPHABET INC. (XNAS:GOOGL)</v>
    <v>63191078</v>
    <v>30237707</v>
    <v>2015</v>
  </rv>
  <rv s="2">
    <v>4</v>
  </rv>
  <rv s="0">
    <v>https://www.bing.com/financeapi/forcetrigger?t=a1y1qh&amp;q=XNAS%3aMSTR&amp;form=skydnc</v>
    <v>Learn more on Bing</v>
  </rv>
  <rv s="3">
    <v>en-US</v>
    <v>a1y1qh</v>
    <v>268435456</v>
    <v>1</v>
    <v>Powered by Refinitiv</v>
    <v>5</v>
    <v>MICROSTRATEGY INCORPORATED (XNAS:MSTR)</v>
    <v>2</v>
    <v>6</v>
    <v>Finance</v>
    <v>7</v>
    <v>522.80280000000005</v>
    <v>132.56</v>
    <v>2.282</v>
    <v>18.579999999999998</v>
    <v>9.2490000000000003E-3</v>
    <v>8.3902000000000004E-2</v>
    <v>2.2200000000000002</v>
    <v>USD</v>
    <v>MicroStrategy Incorporated is an analytics and business intelligence company. The Company is engaged in the design, development, marketing, and sales of its software platform through licensing arrangements and cloud subscriptions and related services. The Company’s core product offering is its software platform. The MicroStrategy Platform provides customers with the features, such as Pervasive, Modern Analytics; Open, Federated Architecture, and Enterprise Platform. The Company provides a range of MicroStrategy Services, which includes MicroStrategy Support, MicroStrategy Consulting, and MicroStrategy Education. It also provides analytics software and services strategy. Its Pervasive, Modern Analytics includes data visualization and reporting, transformational mobility, hyperintelligence, and custom applications. Its Open, Federated Architecture includes Federated Analytics and Multiple Deployment Options. Its Enterprise Platform includes Enterprise Semantic Graph and Security.</v>
    <v>2172</v>
    <v>Nasdaq Stock Market</v>
    <v>XNAS</v>
    <v>XNAS</v>
    <v>1850 Towers Crescent Plz, TYSONS CORNER, VA, 22182 US</v>
    <v>241.87</v>
    <v>Software &amp; IT Services</v>
    <v>Stock</v>
    <v>44947.041261342187</v>
    <v>6</v>
    <v>219.03</v>
    <v>2245167000</v>
    <v>MICROSTRATEGY INCORPORATED</v>
    <v>MICROSTRATEGY INCORPORATED</v>
    <v>224.19</v>
    <v>4500.8329999999996</v>
    <v>221.45</v>
    <v>240.03</v>
    <v>242.25</v>
    <v>9353690</v>
    <v>MSTR</v>
    <v>MICROSTRATEGY INCORPORATED (XNAS:MSTR)</v>
    <v>729935</v>
    <v>628037</v>
    <v>1989</v>
  </rv>
  <rv s="2">
    <v>7</v>
  </rv>
  <rv s="0">
    <v>https://www.bing.com/financeapi/forcetrigger?t=bxds4c&amp;q=XNAS%3aTUEM&amp;form=skydnc</v>
    <v>Learn more on Bing</v>
  </rv>
  <rv s="4">
    <v>en-US</v>
    <v>bxds4c</v>
    <v>268435456</v>
    <v>1</v>
    <v>Powered by Refinitiv</v>
    <v>8</v>
    <v>TUESDAY MORNING CORPORATION (OTCM:TUEM)</v>
    <v>2</v>
    <v>9</v>
    <v>Finance</v>
    <v>4</v>
    <v>0.84</v>
    <v>0.35499999999999998</v>
    <v>1.9410000000000001</v>
    <v>-2.2000000000000001E-3</v>
    <v>-3.9700000000000004E-3</v>
    <v>USD</v>
    <v>Tuesday Morning Corporation is an off-price retailer. The Company’s primary merchandise categories are upscale home textiles, home furnishings, housewares, gourmet food, pet supplies, bath and body products, toys and seasonal decor. The Company has approximately 489 stores in over 40 states. The Company's stores operate in both primary and secondary locations in the suburban markets. The Company’s subsidiaries include TMI Holdings, Inc., Tuesday Morning, Inc., Friday Morning, LLC, Days of the Week, Inc., Nights of the Week, Inc. and Tuesday Morning Partners, Ltd.</v>
    <v>1601</v>
    <v>OTC Markets</v>
    <v>OTCM</v>
    <v>OTCM</v>
    <v>6250 Lbj Freeway, DALLAS, TX, 75240 US</v>
    <v>0.61499999999999999</v>
    <v>Diversified Retail</v>
    <v>Stock</v>
    <v>44946.87334630781</v>
    <v>9</v>
    <v>0.46</v>
    <v>3294350</v>
    <v>TUESDAY MORNING CORPORATION</v>
    <v>TUESDAY MORNING CORPORATION</v>
    <v>0.55000000000000004</v>
    <v>15.384600000000001</v>
    <v>0.55410000000000004</v>
    <v>0.55189999999999995</v>
    <v>5945150</v>
    <v>TUEM</v>
    <v>TUESDAY MORNING CORPORATION (OTCM:TUEM)</v>
    <v>68677</v>
    <v>112440</v>
    <v>1991</v>
  </rv>
  <rv s="2">
    <v>10</v>
  </rv>
  <rv s="0">
    <v>https://www.bing.com/financeapi/forcetrigger?t=a2qfa2&amp;q=OTCM%3aNTDOY&amp;form=skydnc</v>
    <v>Learn more on Bing</v>
  </rv>
  <rv s="3">
    <v>en-US</v>
    <v>a2qfa2</v>
    <v>268435456</v>
    <v>1</v>
    <v>Powered by Refinitiv</v>
    <v>5</v>
    <v>Nintendo Co., Ltd. (OTCM:NTDOY)</v>
    <v>2</v>
    <v>10</v>
    <v>Finance</v>
    <v>11</v>
    <v>13.65</v>
    <v>9.76</v>
    <v>0.70640000000000003</v>
    <v>0</v>
    <v>0</v>
    <v>0</v>
    <v>0</v>
    <v>USD</v>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v>6717</v>
    <v>OTC Markets</v>
    <v>OTCM</v>
    <v>OTCM</v>
    <v>11-1, Kamitoba, Hokotate-cho, Minami-ku, KYOTO-SHI, KYOTO-FU, 601-8114 JP</v>
    <v>10.75</v>
    <v>Leisure Products</v>
    <v>Stock</v>
    <v>44946.876077106252</v>
    <v>12</v>
    <v>10.56</v>
    <v>7155782000000</v>
    <v>Nintendo Co., Ltd.</v>
    <v>Nintendo Co., Ltd.</v>
    <v>10.66</v>
    <v>1.4535</v>
    <v>10.74</v>
    <v>10.74</v>
    <v>10.74</v>
    <v>1298690000</v>
    <v>NTDOY</v>
    <v>Nintendo Co., Ltd. (OTCM:NTDOY)</v>
    <v>900684</v>
    <v>5012950</v>
    <v>1947</v>
  </rv>
  <rv s="2">
    <v>13</v>
  </rv>
  <rv s="0">
    <v>https://www.bing.com/financeapi/forcetrigger?t=bqip3m&amp;q=XMIL%3aGBUS&amp;form=skydnc</v>
    <v>Learn more on Bing</v>
  </rv>
  <rv s="5">
    <v>en-US</v>
    <v>bqip3m</v>
    <v>268435456</v>
    <v>1</v>
    <v>Powered by Refinitiv</v>
    <v>12</v>
    <v>Gibus SpA (XMIL:GBUS)</v>
    <v>2</v>
    <v>13</v>
    <v>Finance</v>
    <v>14</v>
    <v>19.8</v>
    <v>10.6</v>
    <v>1.282</v>
    <v>-0.1</v>
    <v>-6.4099999999999999E-3</v>
    <v>EUR</v>
    <v>Gibus SpA is an Italy-based outdoor design company. It designs, produces and distributes sun curtains, pergolas and related products and services. The Company operates three business lines: Design, High Tech Luxury and Sustainability. The Design business line, the Company’s core activity, includes pergolas, sun curtains and glass walls. The business line High Tech Luxury comprehend bioclimatic pergolas that through technological sensors regulate the sun light. The Sustainability business line offers special sun curtains designed for save energy. The Company’s customers include hotels, restaurants and cafes, among others in Europe.</v>
    <v>254</v>
    <v>Borsa Italiana</v>
    <v>XMIL</v>
    <v>XMIL</v>
    <v>Via Luigi Einaudi, 35, SACCOLONGO, PADOVA, 35030 IT</v>
    <v>16</v>
    <v>Homebuilding &amp; Construction Supplies</v>
    <v>Stock</v>
    <v>44946.704861111109</v>
    <v>15</v>
    <v>15.5</v>
    <v>78127980</v>
    <v>Gibus SpA</v>
    <v>Gibus SpA</v>
    <v>15.7</v>
    <v>5.149</v>
    <v>15.6</v>
    <v>15.5</v>
    <v>5008200</v>
    <v>GBUS</v>
    <v>Gibus SpA (XMIL:GBUS)</v>
    <v>1383</v>
    <v>2990</v>
  </rv>
  <rv s="2">
    <v>16</v>
  </rv>
  <rv s="0">
    <v>https://www.bing.com/financeapi/forcetrigger?t=ah4ck2&amp;q=XHKG%3a327&amp;form=skydnc</v>
    <v>Learn more on Bing</v>
  </rv>
  <rv s="3">
    <v>en-US</v>
    <v>ah4ck2</v>
    <v>268435456</v>
    <v>1</v>
    <v>Powered by Refinitiv</v>
    <v>5</v>
    <v>PAX Global Technology Limited (XHKG:327)</v>
    <v>2</v>
    <v>15</v>
    <v>Finance</v>
    <v>11</v>
    <v>8.3699999999999992</v>
    <v>4.5999999999999996</v>
    <v>0.50260000000000005</v>
    <v>0</v>
    <v>1.8006000000000001E-2</v>
    <v>0</v>
    <v>0.13</v>
    <v>HKD</v>
    <v>PAX Global Technology Limited is a Hong Kong-based investment holding company principally engaged in the provision of e-payment terminal solutions. The main businesses of the Company include the development and sales of countertop and mobile e-payment terminals. It is also involved in the development and sales of consumer activated devices, contactless card-reading devices and e-payment terminal software. The Company mainly operates businesses in China, the United States and Italy.</v>
    <v>1642</v>
    <v>Hong Kong Stock Exchange</v>
    <v>XHKG</v>
    <v>XHKG</v>
    <v>Room 2504, 25/F, Sun Hung Kai Centre, 30 Harbour Road, Wanchai HK</v>
    <v>7.53</v>
    <v>Office Equipment</v>
    <v>Stock</v>
    <v>44946.339780092596</v>
    <v>18</v>
    <v>7.19</v>
    <v>7796264000</v>
    <v>PAX Global Technology Limited</v>
    <v>PAX Global Technology Limited</v>
    <v>7.25</v>
    <v>6.2</v>
    <v>7.22</v>
    <v>7.22</v>
    <v>7.35</v>
    <v>1079815000</v>
    <v>327</v>
    <v>PAX Global Technology Limited (XHKG:327)</v>
    <v>1247230</v>
    <v>1081680</v>
    <v>2010</v>
  </rv>
  <rv s="2">
    <v>19</v>
  </rv>
  <rv s="0">
    <v>https://www.bing.com/financeapi/forcetrigger?t=a1ukim&amp;q=XNAS%3aHEAR&amp;form=skydnc</v>
    <v>Learn more on Bing</v>
  </rv>
  <rv s="3">
    <v>en-US</v>
    <v>a1ukim</v>
    <v>268435456</v>
    <v>1</v>
    <v>Powered by Refinitiv</v>
    <v>5</v>
    <v>TURTLE BEACH CORPORATION (XNAS:HEAR)</v>
    <v>2</v>
    <v>6</v>
    <v>Finance</v>
    <v>7</v>
    <v>25.33</v>
    <v>6.22</v>
    <v>1.9300999999999999</v>
    <v>0.3</v>
    <v>-4.2303E-2</v>
    <v>3.6541000000000004E-2</v>
    <v>-0.36</v>
    <v>USD</v>
    <v>Turtle Beach Corporation (Turtle Beach) is an audio and gaming technology company. Turtle Beach is engaged in developing, commercializing, and marketing products under Turtle Beach, ROCCAT and Neat Microphones brands. Turtle Beach is a provider of headset solutions for use across multiple platforms, including video game and entertainment consoles, handheld consoles, personal computers (PC), tablets and mobile devices. Turtle Beach under its ROCCAT brand provides keyboards, mice, headsets, mousepads, and other computer accessories. Turtle Beach designs and markets a gaming headsets and audio accessories for Xbox, PlayStation, personal computer (PC), Mac, and mobile/tablet devices. Turtle Beach’s Neat Microphones brand (www.neatmic.com) creates USB and analog microphones for gamers, streamers, professionals and students.</v>
    <v>272</v>
    <v>Nasdaq Stock Market</v>
    <v>XNAS</v>
    <v>XNAS</v>
    <v>44 South Broadway, 4Th Floor, WHITE PLAINS, NY, 10601 US</v>
    <v>8.6649999999999991</v>
    <v>Computers, Phones &amp; Household Electronics</v>
    <v>Stock</v>
    <v>44946.923524988284</v>
    <v>21</v>
    <v>8.1999999999999993</v>
    <v>140899700</v>
    <v>TURTLE BEACH CORPORATION</v>
    <v>TURTLE BEACH CORPORATION</v>
    <v>8.33</v>
    <v>111.4096</v>
    <v>8.2100000000000009</v>
    <v>8.51</v>
    <v>8.15</v>
    <v>16556960</v>
    <v>HEAR</v>
    <v>TURTLE BEACH CORPORATION (XNAS:HEAR)</v>
    <v>288359</v>
    <v>273958</v>
    <v>2010</v>
  </rv>
  <rv s="2">
    <v>22</v>
  </rv>
  <rv s="0">
    <v>https://www.bing.com/financeapi/forcetrigger?t=ao6n8m&amp;q=XLON%3aBOTB&amp;form=skydnc</v>
    <v>Learn more on Bing</v>
  </rv>
  <rv s="6">
    <v>en-US</v>
    <v>ao6n8m</v>
    <v>268435456</v>
    <v>1</v>
    <v>Powered by Refinitiv</v>
    <v>16</v>
    <v>BEST OF THE BEST PLC (XLON:BOTB)</v>
    <v>2</v>
    <v>17</v>
    <v>Finance</v>
    <v>18</v>
    <v>628.20000000000005</v>
    <v>350</v>
    <v>0.54249999999999998</v>
    <v>0</v>
    <v>0</v>
    <v>GBp</v>
    <v>Best of the Best Plc is a United Kingdom-based company, which is engaged in operating weekly competitions to win luxury cars and other prizes online. The Company's competitions are Weekly Dream Car and Midweek Lifestyle Competitions. Both competitions offer the opportunity to win brand new cars, with the former operating via Spot the Ball and the latter via a suitably skill-based question. The winner is selected at random from all correct entries at the end of the competition. Midweek Lifestyle Competition features a more focused selection of lower-value cars, top-end motorbikes, luxury watches, holidays, top technology, and cash prizes. The Company's Dream Car competition offers a choice of approximately 200 models, combined with the ability to add up to £50,000 in cash with prize. The Company's bike prizes include brands, such as Harley-Davidson, Kawasaki, Ducati, Aprilia, Triumph, KTM, Yamaha, Royal Enfield, and Suzuki.</v>
    <v>22</v>
    <v>London Stock Exchange</v>
    <v>XLON</v>
    <v>XLON</v>
    <v>Plato Place, 72-74 St. Dionis Road, LONDON, UNITED KINGDOM-NA, SW6 4TU GB</v>
    <v>Hotels &amp; Entertainment Services</v>
    <v>Stock</v>
    <v>44946.695154189059</v>
    <v>24</v>
    <v>34304800</v>
    <v>BEST OF THE BEST PLC</v>
    <v>BEST OF THE BEST PLC</v>
    <v>410</v>
    <v>9.0508000000000006</v>
    <v>410</v>
    <v>410</v>
    <v>8367020</v>
    <v>BOTB</v>
    <v>BEST OF THE BEST PLC (XLON:BOTB)</v>
    <v>8031</v>
    <v>28240</v>
    <v>1999</v>
  </rv>
  <rv s="2">
    <v>25</v>
  </rv>
  <rv s="0">
    <v>https://www.bing.com/financeapi/forcetrigger?t=a1nnec&amp;q=XNAS%3aAQB&amp;form=skydnc</v>
    <v>Learn more on Bing</v>
  </rv>
  <rv s="7">
    <v>en-US</v>
    <v>a1nnec</v>
    <v>268435456</v>
    <v>1</v>
    <v>Powered by Refinitiv</v>
    <v>19</v>
    <v>AQUABOUNTY TECHNOLOGIES, INC. (XNAS:AQB)</v>
    <v>2</v>
    <v>20</v>
    <v>Finance</v>
    <v>7</v>
    <v>2.37</v>
    <v>0.58199999999999996</v>
    <v>1.1368</v>
    <v>8.8700000000000001E-2</v>
    <v>-8.9809999999999994E-3</v>
    <v>0.100795</v>
    <v>-8.6999999999999994E-3</v>
    <v>USD</v>
    <v>AquaBounty Technologies, Inc. is engaged in the field of land-based aquaculture. The Company's GE Atlantic salmon is based upon salmon genetics and grows to harvest size faster than conventional Atlantic salmon. It farms its GE Atlantic salmon in land-based, recirculating aquaculture systems (RAS). The closed, contained, land-based production systems using RAS technology that the Company uses for the grow-out of its fish are less susceptible to the disease-related pressures of conventional salmon farming. Its RAS facilities provide water treatment technology, including the use of ozone, salt treatment and ultraviolet radiation to kill potential bacterial, fungal, or viral pathogens, which might enter the system. Its GE Atlantic salmon is based upon a single, specific molecular modification in the fish that results in rapid growth in early development. It has two salmon farms in production, one is located in Indiana and the other located in Prince Edward Island, Canada.</v>
    <v>95</v>
    <v>Nasdaq Stock Market</v>
    <v>XNAS</v>
    <v>XNAS</v>
    <v>2 Clock Tower Pl Ste 395, MAYNARD, MA, 01754-2539 US</v>
    <v>0.96899999999999997</v>
    <v>Biotechnology &amp; Medical Research</v>
    <v>Stock</v>
    <v>44947.03597155078</v>
    <v>27</v>
    <v>0.91</v>
    <v>68884950</v>
    <v>AQUABOUNTY TECHNOLOGIES, INC.</v>
    <v>AQUABOUNTY TECHNOLOGIES, INC.</v>
    <v>0.95</v>
    <v>0.88</v>
    <v>0.96870000000000001</v>
    <v>0.96</v>
    <v>71110710</v>
    <v>AQB</v>
    <v>AQUABOUNTY TECHNOLOGIES, INC. (XNAS:AQB)</v>
    <v>404573</v>
    <v>333637</v>
    <v>1991</v>
  </rv>
  <rv s="2">
    <v>28</v>
  </rv>
  <rv s="0">
    <v>https://www.bing.com/financeapi/forcetrigger?t=a1v3ec&amp;q=XNYS%3aHZO&amp;form=skydnc</v>
    <v>Learn more on Bing</v>
  </rv>
  <rv s="3">
    <v>en-US</v>
    <v>a1v3ec</v>
    <v>268435456</v>
    <v>1</v>
    <v>Powered by Refinitiv</v>
    <v>5</v>
    <v>MARINEMAX, INC. (XNYS:HZO)</v>
    <v>2</v>
    <v>6</v>
    <v>Finance</v>
    <v>7</v>
    <v>50.32</v>
    <v>27.4</v>
    <v>1.5502</v>
    <v>0.46</v>
    <v>0</v>
    <v>1.3710999999999999E-2</v>
    <v>0</v>
    <v>USD</v>
    <v>MarineMax, Inc. is a recreational boat and yacht retailer in the United States. The Company is engaged in the retail sale, brokerage, and service of new and used boats, motors, trailers, marine parts, and accessories and offers slip and storage accommodations in certain locations. It also arranges related boat financing, insurance, and extended service contracts. It also offers the charter of power yachts in the British Virgin Islands. It operates through approximately 79 retail locations in 21 states, consisting of Alabama, California, Connecticut, Florida, Georgia, Illinois, Maryland, Massachusetts, Michigan, Minnesota, Missouri, New Jersey, New York, North Carolina, Ohio, Oklahoma, Rhode Island, South Carolina, Texas, Washington and Wisconsin. Its Retail Operations segment includes the sale of new and used recreational boats, including pleasure and fishing boats. Its Product Manufacturing segment includes the activity of the Company's subsidiaries Cruisers Yachts and Intrepid.</v>
    <v>3410</v>
    <v>New York Stock Exchange</v>
    <v>XNYS</v>
    <v>XNYS</v>
    <v>2600 McCormick Dr Ste 200, CLEARWATER, FL, 33759-1001 US</v>
    <v>34.090000000000003</v>
    <v>Leisure Products</v>
    <v>Stock</v>
    <v>44947.000000022657</v>
    <v>30</v>
    <v>33.29</v>
    <v>742997600</v>
    <v>MARINEMAX, INC.</v>
    <v>MARINEMAX, INC.</v>
    <v>33.840000000000003</v>
    <v>3.7902999999999998</v>
    <v>33.549999999999997</v>
    <v>34.01</v>
    <v>34.01</v>
    <v>21846440</v>
    <v>HZO</v>
    <v>MARINEMAX, INC. (XNYS:HZO)</v>
    <v>248554</v>
    <v>355029</v>
    <v>1998</v>
  </rv>
  <rv s="2">
    <v>31</v>
  </rv>
  <rv s="0">
    <v>https://www.bing.com/financeapi/forcetrigger?t=a1t3im&amp;q=XNAS%3aFLWS&amp;form=skydnc</v>
    <v>Learn more on Bing</v>
  </rv>
  <rv s="3">
    <v>en-US</v>
    <v>a1t3im</v>
    <v>268435456</v>
    <v>1</v>
    <v>Powered by Refinitiv</v>
    <v>5</v>
    <v>1-800-FLOWERS.COM, INC. (XNAS:FLWS)</v>
    <v>2</v>
    <v>6</v>
    <v>Finance</v>
    <v>7</v>
    <v>24.01</v>
    <v>5.82</v>
    <v>1.6146</v>
    <v>0.26</v>
    <v>4.3803000000000002E-2</v>
    <v>2.8570999999999999E-2</v>
    <v>0.41</v>
    <v>USD</v>
    <v>1-800-Flowers.Com, Inc. is a provider of gifts designed to help customers express, connect and celebrate. The Company’s business platform features a range of brands, including: 1-800-Flowers.com, 1-800-Baskets.com, Cheryl’s Cookies, Harry &amp; David, PersonalizationMall.com, Shari’s Berries, FruitBouquets.com, Moose Munch, The Popcorn Factory, Wolferman’s Bakery, Vital Choice, Stock Yards and Simply Chocolate. The Company operates in three business segments: Consumer Floral &amp; Gifts, Gourmet Foods &amp; Gift Baskets, and BloomNet. Its Celebrations Passport loyalty program provides members with free standard shipping and no service charge across its portfolio of brands. It also operates BloomNet, an international floral and gift industry service provider offering a range of products and services designed to help its members grow their businesses; Napco, a resource for floral gifts and seasonal decor; DesignPac Gifts, LLC, a manufacturer of gift baskets and towers and Alice’s Table.</v>
    <v>4700</v>
    <v>Nasdaq Stock Market</v>
    <v>XNAS</v>
    <v>XNAS</v>
    <v>Two Jericho Plaza, Suite 200, JERICHO, NY, 11753 US</v>
    <v>9.48</v>
    <v>Specialty Retailers</v>
    <v>Stock</v>
    <v>44946.916172546094</v>
    <v>33</v>
    <v>9.0500000000000007</v>
    <v>604941948</v>
    <v>1-800-FLOWERS.COM, INC.</v>
    <v>1-800-FLOWERS.COM, INC.</v>
    <v>9.2100000000000009</v>
    <v>77.837699999999998</v>
    <v>9.1</v>
    <v>9.36</v>
    <v>9.77</v>
    <v>64630550</v>
    <v>FLWS</v>
    <v>1-800-FLOWERS.COM, INC. (XNAS:FLWS)</v>
    <v>425884</v>
    <v>497441</v>
    <v>1992</v>
  </rv>
  <rv s="2">
    <v>34</v>
  </rv>
  <rv s="0">
    <v>https://www.bing.com/financeapi/forcetrigger?t=bwo4oc&amp;q=XNAS%3aNGMS&amp;form=skydnc</v>
    <v>Learn more on Bing</v>
  </rv>
  <rv s="8">
    <v>en-US</v>
    <v>bwo4oc</v>
    <v>268435456</v>
    <v>1</v>
    <v>Powered by Refinitiv</v>
    <v>21</v>
    <v>NeoGames SA (XNAS:NGMS)</v>
    <v>2</v>
    <v>22</v>
    <v>Finance</v>
    <v>7</v>
    <v>25.87</v>
    <v>10.69</v>
    <v>1</v>
    <v>0</v>
    <v>8.8574E-2</v>
    <v>0</v>
    <v>USD</v>
    <v>NeoGames SA is an Israel-based software company. The Company operates as technology-driven provider of end-to-end solutions in the lottery industry. NeoGames SA offers comprehensive iLottery solutions through two distinct business lines-turnkey solutions and games. The Lottery is separated into two primary products such as, instant tickets (Instants) and draw based games (DBGs). The Company offers its solutions through technology platforms such as NeoSphere that provides and controls the functionality related to the management of players throughout their entire lifecycle; NeoDraw engaged in online casino games or sports betting, NeoPlay which offers that manages online Instants.</v>
    <v>156</v>
    <v>Nasdaq Stock Market</v>
    <v>XNAS</v>
    <v>XNAS</v>
    <v>10 HaBarzel st., Building C, 16Th Floor, TEL AVIV-YAFO, ISRAEL-NA IL</v>
    <v>12.52</v>
    <v>Software &amp; IT Services</v>
    <v>Stock</v>
    <v>44946.885585728909</v>
    <v>36</v>
    <v>10.85</v>
    <v>317815300</v>
    <v>NeoGames SA</v>
    <v>NeoGames SA</v>
    <v>11.48</v>
    <v>71.247</v>
    <v>11.29</v>
    <v>12.29</v>
    <v>12.29</v>
    <v>25859660</v>
    <v>NGMS</v>
    <v>NeoGames SA (XNAS:NGMS)</v>
    <v>492262</v>
    <v>110670</v>
    <v>2014</v>
  </rv>
  <rv s="2">
    <v>37</v>
  </rv>
  <rv s="0">
    <v>https://www.bing.com/financeapi/forcetrigger?t=a1slm7&amp;q=XNAS%3aMETA&amp;form=skydnc</v>
    <v>Learn more on Bing</v>
  </rv>
  <rv s="3">
    <v>en-US</v>
    <v>a1slm7</v>
    <v>268435456</v>
    <v>1</v>
    <v>Powered by Refinitiv</v>
    <v>5</v>
    <v>Meta Platforms, Inc. (XNAS:META)</v>
    <v>2</v>
    <v>6</v>
    <v>Finance</v>
    <v>7</v>
    <v>328</v>
    <v>88.09</v>
    <v>1.1781999999999999</v>
    <v>3.22</v>
    <v>-6.4579999999999998E-4</v>
    <v>2.3650000000000001E-2</v>
    <v>-0.09</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87314</v>
    <v>Nasdaq Stock Market</v>
    <v>XNAS</v>
    <v>XNAS</v>
    <v>1601 Willow Rd, MENLO PARK, CA, 94025 US</v>
    <v>139.94</v>
    <v>Software &amp; IT Services</v>
    <v>Stock</v>
    <v>44947.041635508591</v>
    <v>39</v>
    <v>134.61000000000001</v>
    <v>365455600000</v>
    <v>Meta Platforms, Inc.</v>
    <v>Meta Platforms, Inc.</v>
    <v>135.88999999999999</v>
    <v>12.988</v>
    <v>136.15</v>
    <v>139.37</v>
    <v>139.28</v>
    <v>2622197000</v>
    <v>META</v>
    <v>Meta Platforms, Inc. (XNAS:META)</v>
    <v>28688630</v>
    <v>28455060</v>
    <v>2004</v>
  </rv>
  <rv s="2">
    <v>40</v>
  </rv>
  <rv s="0">
    <v>https://www.bing.com/financeapi/forcetrigger?t=a2ve5r&amp;q=OTCM%3aSFTBF&amp;form=skydnc</v>
    <v>Learn more on Bing</v>
  </rv>
  <rv s="4">
    <v>en-US</v>
    <v>a2ve5r</v>
    <v>268435456</v>
    <v>1</v>
    <v>Powered by Refinitiv</v>
    <v>8</v>
    <v>SoftBank Group Corp. (OTCM:SFTBF)</v>
    <v>2</v>
    <v>23</v>
    <v>Finance</v>
    <v>4</v>
    <v>50.27</v>
    <v>33.54</v>
    <v>1.2025999999999999</v>
    <v>-0.17</v>
    <v>-3.656E-3</v>
    <v>USD</v>
    <v>SoftBank Group Corp. is a Japan-based company principally engaged in the communication and Internet related business. The Company operates in six business segments. Softbank segment is involved in the sale of mobile terminals, the provision of mobile communication services and fixed communication services in Japan. The Segment also sells mobile terminal accessories, PC software and peripherals. Sprint segment is involved in the provision of mobile communication services and others in the US. Yahoo segment conducts advertising business on the Internet, e-commerce business and membership service business. ARM segment is involved in the design of IP and related technologies for microprocessors, and the sale of software tools. Softbank Vision Fund and Delta Fund segment conducts investment activities in the technology area. Bright Star segment conducts distribution of mobile terminals overseas. The Company is also involved in Fortress and Fukuoka Softbank Hawks related business.</v>
    <v>59721</v>
    <v>OTC Markets</v>
    <v>OTCM</v>
    <v>OTCM</v>
    <v>TOKYO PORTCITY TAKESHIBA Office Tower, 1-7-1, Kaigan, MINATO-KU, TOKYO-TO, 105-7537 JP</v>
    <v>46.33</v>
    <v>Telecommunications Services</v>
    <v>Stock</v>
    <v>44946.823429015625</v>
    <v>42</v>
    <v>46.33</v>
    <v>10134410000000</v>
    <v>SoftBank Group Corp.</v>
    <v>SoftBank Group Corp.</v>
    <v>46.33</v>
    <v>3.2421000000000002</v>
    <v>46.5</v>
    <v>46.33</v>
    <v>1722954000</v>
    <v>SFTBF</v>
    <v>SoftBank Group Corp. (OTCM:SFTBF)</v>
    <v>1588</v>
    <v>9396550</v>
    <v>1981</v>
  </rv>
  <rv s="2">
    <v>43</v>
  </rv>
  <rv s="0">
    <v>https://www.bing.com/financeapi/forcetrigger?t=a1qca2&amp;q=XNAS%3aCRMT&amp;form=skydnc</v>
    <v>Learn more on Bing</v>
  </rv>
  <rv s="3">
    <v>en-US</v>
    <v>a1qca2</v>
    <v>268435456</v>
    <v>1</v>
    <v>Powered by Refinitiv</v>
    <v>5</v>
    <v>AMERICA'S CAR-MART, INC. (XNAS:CRMT)</v>
    <v>2</v>
    <v>6</v>
    <v>Finance</v>
    <v>7</v>
    <v>127.05</v>
    <v>52.24</v>
    <v>1.371</v>
    <v>2.4300000000000002</v>
    <v>0</v>
    <v>3.2404000000000002E-2</v>
    <v>0</v>
    <v>USD</v>
    <v>America's Car-Mart, Inc. is an automotive retailer in the United States. The Company operates in the integrated auto sales and finance segment of the used car market, also referred to as the integrated auto sales and finance industry. In this industry, the nature of the sale, the type of customer and the methods used to distribute the Company’s products and services, including the actual servicing of the contracts, as well as the regulatory environment in which the Company operates, all have similar characteristics. The Company operates through its two subsidiaries, including America’s Car Mart, Inc., an Arkansas corporation (Car-Mart of Arkansas) and Colonial Auto Finance, Inc., an Arkansas corporation (Colonial). It primarily sells older model used vehicles and provides financing for substantially all of its customers. The Company operates approximately 154 dealerships located primarily in small cities throughout the South-Central United States.</v>
    <v>2100</v>
    <v>Nasdaq Stock Market</v>
    <v>XNAS</v>
    <v>XNAS</v>
    <v>802 SE Plaza Ave Ste 200, BENTONVILLE, AR, 72712-3220 US</v>
    <v>77.569999999999993</v>
    <v>Specialty Retailers</v>
    <v>Stock</v>
    <v>44946.879879756249</v>
    <v>45</v>
    <v>74.05</v>
    <v>493075600</v>
    <v>AMERICA'S CAR-MART, INC.</v>
    <v>AMERICA'S CAR-MART, INC.</v>
    <v>75.75</v>
    <v>8.0297000000000001</v>
    <v>74.989999999999995</v>
    <v>77.42</v>
    <v>77.42</v>
    <v>6368840</v>
    <v>CRMT</v>
    <v>AMERICA'S CAR-MART, INC. (XNAS:CRMT)</v>
    <v>57519</v>
    <v>90319</v>
    <v>1989</v>
  </rv>
  <rv s="2">
    <v>46</v>
  </rv>
  <rv s="0">
    <v>https://www.bing.com/financeapi/forcetrigger?t=a1yv52&amp;q=XNAS%3aNVDA&amp;form=skydnc</v>
    <v>Learn more on Bing</v>
  </rv>
  <rv s="3">
    <v>en-US</v>
    <v>a1yv52</v>
    <v>268435456</v>
    <v>1</v>
    <v>Powered by Refinitiv</v>
    <v>5</v>
    <v>NVIDIA CORPORATION (XNAS:NVDA)</v>
    <v>2</v>
    <v>6</v>
    <v>Finance</v>
    <v>7</v>
    <v>289.45999999999998</v>
    <v>108.13</v>
    <v>1.7381</v>
    <v>10.74</v>
    <v>7.5119999999999996E-3</v>
    <v>6.4062000000000008E-2</v>
    <v>1.34</v>
    <v>USD</v>
    <v>NVIDIA Corporation is a personal computer (PC) gaming market. The Company’s segments include Graphics and Compute &amp; Networking. The Graphics segment includes GeForce graphics processing units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software for building three-dimensional (3D) designs and virtual worlds. The Compute &amp; Networking segment includes Data Center platforms and systems for artificial intelligence (AI), high-performance computing (HPC), and accelerated computing; Mellanox networking and interconnect solutions; automotive AI Cockpit, autonomous driving development agreements, and autonomous vehicle solutions; cryptocurrency mining processors (CMP); Jetson for robotics, and NVIDIA AI Enterprise.</v>
    <v>22473</v>
    <v>Nasdaq Stock Market</v>
    <v>XNAS</v>
    <v>XNAS</v>
    <v>2788 San Tomas Expressway, SANTA CLARA, CA, 95051 US</v>
    <v>178.56</v>
    <v>Semiconductors &amp; Semiconductor Equipment</v>
    <v>Stock</v>
    <v>44947.041661978903</v>
    <v>48</v>
    <v>168.25</v>
    <v>438839399999</v>
    <v>NVIDIA CORPORATION</v>
    <v>NVIDIA CORPORATION</v>
    <v>170.11</v>
    <v>71.3095</v>
    <v>167.65</v>
    <v>178.39</v>
    <v>179.73</v>
    <v>2460000000</v>
    <v>NVDA</v>
    <v>NVIDIA CORPORATION (XNAS:NVDA)</v>
    <v>56496712</v>
    <v>43436438</v>
    <v>1998</v>
  </rv>
  <rv s="2">
    <v>49</v>
  </rv>
  <rv s="0">
    <v>https://www.bing.com/financeapi/forcetrigger?t=bvkn2w&amp;q=XNAS%3aCRSR&amp;form=skydnc</v>
    <v>Learn more on Bing</v>
  </rv>
  <rv s="3">
    <v>en-US</v>
    <v>bvkn2w</v>
    <v>268435456</v>
    <v>1</v>
    <v>Powered by Refinitiv</v>
    <v>5</v>
    <v>CORSAIR GAMING, INC. (XNAS:CRSR)</v>
    <v>2</v>
    <v>6</v>
    <v>Finance</v>
    <v>7</v>
    <v>23.98</v>
    <v>10.96</v>
    <v>1.546</v>
    <v>0.26</v>
    <v>4.0944000000000001E-2</v>
    <v>1.8374999999999999E-2</v>
    <v>0.59</v>
    <v>USD</v>
    <v>Corsair Gaming, Inc (Corsair) is engaged in providing high-performance gear for gamers, streamers and content creators. Its segments include Gamer and creator peripherals and Gaming components and systems. Gamer and creator peripherals Include high-performance gaming keyboards, mice, headsets, controllers, and our streaming gear, including capture cards, Stream Decks, Universal Serial Bus (USB) microphones, Facecam streaming camera, studio accessories and EpocCam software, as well as coaching and training services, among others. Gaming components and systems includes high-performance power supply units (PSUs), cooling solutions, computer cases, DRAM modules, as well as high-end prebuilt and custom-built gaming personal computers (PCs), among others. Its product offering includes two software platforms: iCUE for gamers and Elgatos streaming suite for streamers and content creators.</v>
    <v>2490</v>
    <v>Nasdaq Stock Market</v>
    <v>XNAS</v>
    <v>XNAS</v>
    <v>115 N. Mccarthy Boulevard, MILPITAS, CA, 95035 US</v>
    <v>14.605</v>
    <v>Computers, Phones &amp; Household Electronics</v>
    <v>Stock</v>
    <v>44947.026556724217</v>
    <v>51</v>
    <v>14.07</v>
    <v>1457970000</v>
    <v>CORSAIR GAMING, INC.</v>
    <v>CORSAIR GAMING, INC.</v>
    <v>14.31</v>
    <v>31.651299999999999</v>
    <v>14.15</v>
    <v>14.41</v>
    <v>15</v>
    <v>101177700</v>
    <v>CRSR</v>
    <v>CORSAIR GAMING, INC. (XNAS:CRSR)</v>
    <v>433140</v>
    <v>470497</v>
    <v>2017</v>
  </rv>
  <rv s="2">
    <v>52</v>
  </rv>
  <rv s="0">
    <v>https://www.bing.com/financeapi/forcetrigger?t=a22gw7&amp;q=XNYS%3aSAND&amp;form=skydnc</v>
    <v>Learn more on Bing</v>
  </rv>
  <rv s="3">
    <v>en-US</v>
    <v>a22gw7</v>
    <v>268435456</v>
    <v>1</v>
    <v>Powered by Refinitiv</v>
    <v>5</v>
    <v>SANDSTORM GOLD LTD. (XNYS:SAND)</v>
    <v>2</v>
    <v>24</v>
    <v>Finance</v>
    <v>7</v>
    <v>9.18</v>
    <v>4.51</v>
    <v>0.94</v>
    <v>0.16</v>
    <v>4.9589999999999999E-3</v>
    <v>2.7164999999999998E-2</v>
    <v>0.03</v>
    <v>USD</v>
    <v>Sandstorm Gold Ltd. is a Canada-based gold-focused streaming and royalty company. The Company offers financing solutions to gold mining companies. The Company holds a portfolio of over approximately 250 royalties, of which 39 of the underlying mines are producing. It is focused on investing in the production profile through the acquisition of additional gold royalties. The Company's segment consists of Antamina, Aurizona, Blyvoor, Bonikro, Caserones, Chapada Copper, Diavik, Fruta del Norte, Greenstone, Horne 5, Hod Maden, Hounde, Hugo North Extension and Heruga, Mercedes, Platreef, Relief Canyon, Vale Royalties, Vatukoula, Yamana silver stream, and Other. The Company operates in Africa, Asia, Australia, Europe, North America, Oceania, and South America.</v>
    <v>23</v>
    <v>New York Stock Exchange</v>
    <v>XNYS</v>
    <v>XNYS</v>
    <v>Suite 1400 - 400 Burrard Street, 1400-400 Burrard Street, VANCOUVER, BC, V6C 3A6 CA</v>
    <v>6.0854999999999997</v>
    <v>Metals &amp; Mining</v>
    <v>Stock</v>
    <v>44947.030845682813</v>
    <v>54</v>
    <v>5.81</v>
    <v>2359132000</v>
    <v>SANDSTORM GOLD LTD.</v>
    <v>SANDSTORM GOLD LTD.</v>
    <v>5.85</v>
    <v>14.0342</v>
    <v>5.89</v>
    <v>6.05</v>
    <v>6.08</v>
    <v>298179700</v>
    <v>SAND</v>
    <v>SANDSTORM GOLD LTD. (XNYS:SAND)</v>
    <v>2254943</v>
    <v>2379069</v>
    <v>2015</v>
  </rv>
  <rv s="2">
    <v>55</v>
  </rv>
  <rv s="0">
    <v>https://www.bing.com/financeapi/forcetrigger?t=bjoj8m&amp;q=XNAS%3aOPRA&amp;form=skydnc</v>
    <v>Learn more on Bing</v>
  </rv>
  <rv s="9">
    <v>en-US</v>
    <v>bjoj8m</v>
    <v>268435456</v>
    <v>1</v>
    <v>Powered by Refinitiv</v>
    <v>25</v>
    <v>OPERA LIMITED (XNAS:OPRA)</v>
    <v>2</v>
    <v>26</v>
    <v>Finance</v>
    <v>7</v>
    <v>7.57</v>
    <v>3.92</v>
    <v>1.0388999999999999</v>
    <v>0.09</v>
    <v>-4.9928999999999994E-2</v>
    <v>1.3006E-2</v>
    <v>-0.35</v>
    <v>USD</v>
    <v>Opera Ltd is a Norway-based technology company that is engaged in the web browser development. The Company operates as provider of browser and integrated artificial intelligence (AI)-driven digital content discovery and recommendation platforms. The Company’s operations are comprised of search, advertising, technology licensing and other. The search revenue is generated when a user conducts a qualified search using an Opera search partner. The advertising revenue is comprised of industry-standard advertising units, predefined partner bookmarks, or speed dials, and subscriptions of various promoted services. Technology licensing and other revenues include revenues from device manufacturers and mobile communications operators. Licensing agreements include licensing of technology, related professional services, maintenance and support, as well as hosting services.</v>
    <v>630</v>
    <v>Nasdaq Stock Market</v>
    <v>XNAS</v>
    <v>XNAS</v>
    <v>Gjerdrums Vei 19, OSLO, OSLO, 0484 NO</v>
    <v>7.1599000000000004</v>
    <v>Software &amp; IT Services</v>
    <v>Stock</v>
    <v>44946.896622349217</v>
    <v>57</v>
    <v>6.88</v>
    <v>793660283</v>
    <v>OPERA LIMITED</v>
    <v>OPERA LIMITED</v>
    <v>6.91</v>
    <v>7.6675000000000004</v>
    <v>6.92</v>
    <v>7.01</v>
    <v>6.66</v>
    <v>113218300</v>
    <v>OPRA</v>
    <v>OPERA LIMITED (XNAS:OPRA)</v>
    <v>85546</v>
    <v>62515</v>
  </rv>
  <rv s="2">
    <v>58</v>
  </rv>
  <rv s="0">
    <v>https://www.bing.com/financeapi/forcetrigger?t=a1qclh&amp;q=XNAS%3aCROX&amp;form=skydnc</v>
    <v>Learn more on Bing</v>
  </rv>
  <rv s="3">
    <v>en-US</v>
    <v>a1qclh</v>
    <v>268435456</v>
    <v>1</v>
    <v>Powered by Refinitiv</v>
    <v>5</v>
    <v>CROCS, INC. (XNAS:CROX)</v>
    <v>2</v>
    <v>6</v>
    <v>Finance</v>
    <v>7</v>
    <v>131.1799</v>
    <v>46.08</v>
    <v>1.9228000000000001</v>
    <v>0.97</v>
    <v>-2.042E-3</v>
    <v>7.9880000000000003E-3</v>
    <v>-0.25</v>
    <v>USD</v>
    <v>Crocs, Inc. is engaged in the design, development, marketing, distribution, and sale of casual lifestyle footwear and accessories for women, men and children. The Company operates through three segments: the Americas, operating in North and South America; the Asia Pacific, operating throughout Asia, Australia, and New Zealand; and Europe, Middle East, and Africa (EMEA), operating throughout Europe, Russia, the Middle East, and Africa. Its collection contains Croslite material, which is the Company's closed-cell resin brand that uses molded footwear technology. The Company markets its products in approximately 85 countries through two distribution channels: wholesale and direct-to-consumer. Its wholesale channel includes domestic and international multi-brand retailers, mono-branded partner stores, e-tailers, and distributors. The Company's direct-to-consumer channel includes retail stores, e-commerce sites, and third-party marketplaces. Its products include Crocs, LiteRide and Jibbitz.</v>
    <v>5770</v>
    <v>Nasdaq Stock Market</v>
    <v>XNAS</v>
    <v>XNAS</v>
    <v>13601 Via Varra, BROOMFIELD, CO, 80020 US</v>
    <v>124.6296</v>
    <v>Textiles &amp; Apparel</v>
    <v>Stock</v>
    <v>44947.034389258595</v>
    <v>60</v>
    <v>121.24</v>
    <v>7557579432</v>
    <v>CROCS, INC.</v>
    <v>CROCS, INC.</v>
    <v>122.94</v>
    <v>13.3964</v>
    <v>121.43</v>
    <v>122.4</v>
    <v>122.15</v>
    <v>61744930</v>
    <v>CROX</v>
    <v>CROCS, INC. (XNAS:CROX)</v>
    <v>1403767</v>
    <v>1400134</v>
    <v>2005</v>
  </rv>
  <rv s="2">
    <v>61</v>
  </rv>
  <rv s="0">
    <v>https://www.bing.com/financeapi/forcetrigger?t=a1nvk2&amp;q=XNYS%3aATHM&amp;form=skydnc</v>
    <v>Learn more on Bing</v>
  </rv>
  <rv s="3">
    <v>en-US</v>
    <v>a1nvk2</v>
    <v>268435456</v>
    <v>1</v>
    <v>Powered by Refinitiv</v>
    <v>5</v>
    <v>AUTOHOME INC. (XNYS:ATHM)</v>
    <v>2</v>
    <v>6</v>
    <v>Finance</v>
    <v>7</v>
    <v>40.89</v>
    <v>20.49</v>
    <v>0.1353</v>
    <v>1.04</v>
    <v>0</v>
    <v>2.8469999999999999E-2</v>
    <v>0</v>
    <v>USD</v>
    <v>Autohome Inc is a holding company mainly provides online destination for automobile consumers. It is engaged in the provision of online advertising and dealer subscription services. It, through its Websites, autohome.com.cn and che168.com, delivers content to automobile buyers and owners. Media services provide with marketing solutions in connection with brand promotion, new model release and sales promotion. Leads generation services enable dealer subscribers to create their own online stores, list pricing and promotional information, provide dealer contact information, place advertisements and manage customer relationships. Online marketplace and others focus on providing facilitation services and other platform-based services for new and used car transactions. It also provides services to its cooperative financial institutions that involve facilitating the sale of their loans and insurance products. The Company mainly conducts its businesses in the China market.</v>
    <v>5518</v>
    <v>New York Stock Exchange</v>
    <v>XNYS</v>
    <v>XNYS</v>
    <v>18th Floor Tower B, CEC Plaza, 3 Dan Ling Street, Haidian District, BEIJING, BEIJING, 100080 CN</v>
    <v>38.909999999999997</v>
    <v>Media &amp; Publishing</v>
    <v>Stock</v>
    <v>44947.000000022657</v>
    <v>63</v>
    <v>37.01</v>
    <v>4531015000</v>
    <v>AUTOHOME INC.</v>
    <v>AUTOHOME INC.</v>
    <v>37.6</v>
    <v>21.947299999999998</v>
    <v>36.53</v>
    <v>37.57</v>
    <v>37.57</v>
    <v>127346900</v>
    <v>ATHM</v>
    <v>AUTOHOME INC. (XNYS:ATHM)</v>
    <v>906910</v>
    <v>690982</v>
    <v>2008</v>
  </rv>
  <rv s="2">
    <v>64</v>
  </rv>
  <rv s="0">
    <v>https://www.bing.com/financeapi/forcetrigger?t=aqbzjc&amp;q=XWAR%3aDNP&amp;form=skydnc</v>
    <v>Learn more on Bing</v>
  </rv>
  <rv s="4">
    <v>en-US</v>
    <v>aqbzjc</v>
    <v>268435456</v>
    <v>1</v>
    <v>Powered by Refinitiv</v>
    <v>8</v>
    <v>DINO POLSKA S.A. (XWAR:DNP)</v>
    <v>2</v>
    <v>27</v>
    <v>Finance</v>
    <v>28</v>
    <v>390.3</v>
    <v>240</v>
    <v>0.66169999999999995</v>
    <v>9.1999999999999993</v>
    <v>2.5937000000000002E-2</v>
    <v>PLN</v>
    <v>Dino Polska SA is a Poland-based company primarily engaged in the food retail. The Company focuses on operating a supermarkets chain under the Dino brand name. Its offer includes dairy and bakery products, chocolate and non-chocolate confectionary, fruits and vegetables, alcoholic and non-alcoholic beverages, as well as pet food, among others. In addition, the Company provides meat stalls under the Agro-Rydzyna brand name, as well as sells non-food goods, such as cosmetics, household products, kitchen appliances and toys. It also offers mobile phone recharge, cash back service and vouchers. The Company's supermarkets are located in a number of Polish voivodeships, including wielkopolskie, dolnoslaskie, lodzkie, mazowieckie and pomorskie, among others.</v>
    <v>35652</v>
    <v>Warsaw Stock Exchange</v>
    <v>XWAR</v>
    <v>XWAR</v>
    <v>ul. Ostrowska 122, KROTOSZYN, WOJ. WIELKOPOLSKIE, 63-700 PL</v>
    <v>364</v>
    <v>Food &amp; Drug Retailing</v>
    <v>Stock</v>
    <v>44946.670129003905</v>
    <v>66</v>
    <v>351.9</v>
    <v>34774790000</v>
    <v>DINO POLSKA S.A.</v>
    <v>DINO POLSKA S.A.</v>
    <v>356.9</v>
    <v>34.135100000000001</v>
    <v>354.7</v>
    <v>363.9</v>
    <v>98040000</v>
    <v>DNP</v>
    <v>DINO POLSKA S.A. (XWAR:DNP)</v>
    <v>152569</v>
    <v>154240</v>
    <v>2012</v>
  </rv>
  <rv s="2">
    <v>67</v>
  </rv>
  <rv s="0">
    <v>https://www.bing.com/financeapi/forcetrigger?t=a32har&amp;q=XNAS%3aXPEL&amp;form=skydnc</v>
    <v>Learn more on Bing</v>
  </rv>
  <rv s="3">
    <v>en-US</v>
    <v>a32har</v>
    <v>268435456</v>
    <v>1</v>
    <v>Powered by Refinitiv</v>
    <v>5</v>
    <v>XPEL, INC. (XNAS:XPEL)</v>
    <v>2</v>
    <v>6</v>
    <v>Finance</v>
    <v>7</v>
    <v>87.01</v>
    <v>39.799999999999997</v>
    <v>1.5704</v>
    <v>1.39</v>
    <v>-9.077E-3</v>
    <v>1.9795E-2</v>
    <v>-0.65</v>
    <v>USD</v>
    <v>Xpel Inc. manufactures, sells and installs after-market automotive products, including automotive surface and paint protection, headlight protection, and automotive window films. The Company’s products include architectural window film (both commercial and residential) and security film protection for commercial and residential uses, and also provides automotive ceramic coatings products. Its products also include ULTIMATE PLUS paint protection film (PPF), ULTIMATE PLUS BLACK PPF, ULTIMATE PLUS, STEALTH satin PPF, TRACWRAP temporary protection film, ARMOR protective film, RX 8 gloss protective film, RX 8 matte protective film, RX 10 gloss protective film, RX 10 matte protective film and PRIME automotive window. The Company also offers car care services, including anti-static glass cleaner, ceramic boost, detail spray, interior cleaner, iron remover, paint protection film (PPF) cleaner, PPF sealant, rinse-free car wash, water spot remover, cleaning &amp; detailing, towels &amp; microfibers.</v>
    <v>709</v>
    <v>Nasdaq Stock Market</v>
    <v>XNAS</v>
    <v>XNAS</v>
    <v>3251 I-35, SAN ANTONIO, TX, 78219 US</v>
    <v>72.59</v>
    <v>Automobiles &amp; Auto Parts</v>
    <v>Stock</v>
    <v>44946.880937661721</v>
    <v>69</v>
    <v>69.594999999999999</v>
    <v>1977586000</v>
    <v>XPEL, INC.</v>
    <v>XPEL, INC.</v>
    <v>71.08</v>
    <v>49.433300000000003</v>
    <v>70.22</v>
    <v>71.61</v>
    <v>70.959999999999994</v>
    <v>27616060</v>
    <v>XPEL</v>
    <v>XPEL, INC. (XNAS:XPEL)</v>
    <v>152019</v>
    <v>120698</v>
    <v>2003</v>
  </rv>
  <rv s="2">
    <v>70</v>
  </rv>
  <rv s="0">
    <v>https://www.bing.com/financeapi/forcetrigger?t=ah387w&amp;q=XHKG%3a1830&amp;form=skydnc</v>
    <v>Learn more on Bing</v>
  </rv>
  <rv s="3">
    <v>en-US</v>
    <v>ah387w</v>
    <v>268435456</v>
    <v>1</v>
    <v>Powered by Refinitiv</v>
    <v>5</v>
    <v>PERFECT MEDICAL HEALTH MANAGEMENT LIMITED (XHKG:1830)</v>
    <v>2</v>
    <v>15</v>
    <v>Finance</v>
    <v>11</v>
    <v>5.5</v>
    <v>2.7</v>
    <v>1.2545999999999999</v>
    <v>0.14000000000000001</v>
    <v>0</v>
    <v>3.1962999999999998E-2</v>
    <v>0</v>
    <v>HKD</v>
    <v>Perfect Medical Health Management Ltd is an investment holding company mainly engaged in the provision of medical health and medical beauty services. The Company is engaged in the provision of medical aesthetic services such as personalized medical aesthetic solutions for men and women. The Company is also engaged in the provision of medical and health services such as hair growth service, pain management service and preventive care service. In addition, the Company is also engaged in the provision of reproductive medical services such as infertility, artificial insemination, egg freezing services, prenatal diagnosis services, obstetrics and gynecology medical services and women's cancer and health management services. The Company mainly operates its business in Hong Kong, Macau, Mainland China, Australia and Singapore.</v>
    <v>1357</v>
    <v>Hong Kong Stock Exchange</v>
    <v>XHKG</v>
    <v>XHKG</v>
    <v>51st Floor, Langham Place Office Tower, 8 Argyle Street, Mong Kok, Kowloon HK</v>
    <v>4.57</v>
    <v>Personal &amp; Household Products &amp; Services</v>
    <v>Stock</v>
    <v>44946.339780092596</v>
    <v>72</v>
    <v>4.37</v>
    <v>5679546000</v>
    <v>PERFECT MEDICAL HEALTH MANAGEMENT LIMITED</v>
    <v>PERFECT MEDICAL HEALTH MANAGEMENT LIMITED</v>
    <v>4.42</v>
    <v>23.4</v>
    <v>4.38</v>
    <v>4.5199999999999996</v>
    <v>4.5199999999999996</v>
    <v>1256537000</v>
    <v>1830</v>
    <v>PERFECT MEDICAL HEALTH MANAGEMENT LIMITED (XHKG:1830)</v>
    <v>851000</v>
    <v>935740</v>
    <v>2011</v>
  </rv>
  <rv s="2">
    <v>73</v>
  </rv>
  <rv s="0">
    <v>https://www.bing.com/financeapi/forcetrigger?t=a23d9c&amp;q=XNYS%3aSPGI&amp;form=skydnc</v>
    <v>Learn more on Bing</v>
  </rv>
  <rv s="3">
    <v>en-US</v>
    <v>a23d9c</v>
    <v>268435456</v>
    <v>1</v>
    <v>Powered by Refinitiv</v>
    <v>5</v>
    <v>S&amp;P Global Inc. (XNYS:SPGI)</v>
    <v>2</v>
    <v>6</v>
    <v>Finance</v>
    <v>7</v>
    <v>431.44</v>
    <v>279.32</v>
    <v>1.0680000000000001</v>
    <v>6.92</v>
    <v>-1.467E-3</v>
    <v>1.9161999999999998E-2</v>
    <v>-0.54</v>
    <v>USD</v>
    <v>S&amp;P Global Inc. is a provider of credit ratings, benchmarks, analytics and workflow solutions in the global capital, commodity and automotive markets. The Company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Ratings provides credit ratings, research and analytics to investors and other market participants. Its Market Intelligence consists of three business line: desktop, data management solutions and credit risk solutions. Its Indices is an index provider that maintains a range of indices to meet various investor needs. Its Mobility provides insights, forecasts and advisory services to automotive value chain. Its Commodity Insights is an independent provider of information and benchmark prices for the commodity and energy markets.</v>
    <v>22850</v>
    <v>New York Stock Exchange</v>
    <v>XNYS</v>
    <v>XNYS</v>
    <v>55 Water St, NEW YORK, NY, 10041-0004 US</v>
    <v>368.38</v>
    <v>Professional &amp; Commercial Services</v>
    <v>Stock</v>
    <v>44947.000000022657</v>
    <v>75</v>
    <v>361.24</v>
    <v>117656200000</v>
    <v>S&amp;P Global Inc.</v>
    <v>S&amp;P Global Inc.</v>
    <v>361.24</v>
    <v>30.194800000000001</v>
    <v>361.13</v>
    <v>368.05</v>
    <v>367.51</v>
    <v>325800000</v>
    <v>SPGI</v>
    <v>S&amp;P Global Inc. (XNYS:SPGI)</v>
    <v>3077427</v>
    <v>1463914</v>
    <v>1925</v>
  </rv>
  <rv s="2">
    <v>76</v>
  </rv>
  <rv s="0">
    <v>https://www.bing.com/financeapi/forcetrigger?t=a1sz9c&amp;q=XNAS%3aFLEX&amp;form=skydnc</v>
    <v>Learn more on Bing</v>
  </rv>
  <rv s="9">
    <v>en-US</v>
    <v>a1sz9c</v>
    <v>268435456</v>
    <v>1</v>
    <v>Powered by Refinitiv</v>
    <v>25</v>
    <v>FLEX LTD. (XNAS:FLEX)</v>
    <v>2</v>
    <v>26</v>
    <v>Finance</v>
    <v>7</v>
    <v>25.12</v>
    <v>13.63</v>
    <v>1.4831000000000001</v>
    <v>0.62</v>
    <v>-1.65E-3</v>
    <v>2.6248999999999998E-2</v>
    <v>-0.04</v>
    <v>USD</v>
    <v>Flex Ltd. is a Singapore-based company that provides manufacturing solutions and operates global supply chains. The Company's segments include Flex Agility Solutions (FAS), Flex Reliability Solutions (FRS) and Nextracker. The FAS segment consists of end markets, such as Communications, Enterprise and Cloud (CEC), including data infrastructure, edge infrastructure and communications infrastructure; Lifestyle, including appliances, consumer packaging, floorcare, micro mobility and audio; and Consumer Devices, including mobile and high velocity consumer devices. The FRS segment consists of end markets, such as Automotive, including mobility, autonomous, connectivity, electrification, and smart technologies; Health Solutions, including medical devices, medical equipment, and drug delivery; and Industrial, including capital equipment, industrial devices, and renewables and grid edge. The Nextracker segment provides intelligent, integrated solar tracker and software solutions.</v>
    <v>172648</v>
    <v>Nasdaq Stock Market</v>
    <v>XNAS</v>
    <v>XNAS</v>
    <v>2 Changi South Lane, 486123 SG</v>
    <v>24.32</v>
    <v>Electronic Equipment &amp; Parts</v>
    <v>Stock</v>
    <v>44947.026864837499</v>
    <v>78</v>
    <v>23.66</v>
    <v>10975484160</v>
    <v>FLEX LTD.</v>
    <v>FLEX LTD.</v>
    <v>24.13</v>
    <v>13.5618</v>
    <v>23.62</v>
    <v>24.24</v>
    <v>24.2</v>
    <v>452784000</v>
    <v>FLEX</v>
    <v>FLEX LTD. (XNAS:FLEX)</v>
    <v>3757022</v>
    <v>4589174</v>
  </rv>
  <rv s="2">
    <v>79</v>
  </rv>
  <rv s="0">
    <v>https://www.bing.com/financeapi/forcetrigger?t=a1y2bh&amp;q=XNAS%3aMTCH&amp;form=skydnc</v>
    <v>Learn more on Bing</v>
  </rv>
  <rv s="3">
    <v>en-US</v>
    <v>a1y2bh</v>
    <v>268435456</v>
    <v>1</v>
    <v>Powered by Refinitiv</v>
    <v>5</v>
    <v>MATCH GROUP, INC. (XNAS:MTCH)</v>
    <v>2</v>
    <v>6</v>
    <v>Finance</v>
    <v>7</v>
    <v>122.08</v>
    <v>38.64</v>
    <v>0.90090000000000003</v>
    <v>2.58</v>
    <v>-2.9749999999999998E-3</v>
    <v>5.3929999999999999E-2</v>
    <v>-0.15</v>
    <v>USD</v>
    <v>Match Group, Inc. provider of dating products through its portfolio companies which are available globally. The Company’s portfolio of brands includes Tinder, Match, Hinge, Meetic, OkCupid, Pairs, PlentyOfFish, OurTime, Azar and Hakuna Live, and other brands which are designed for users' to find a connection. The Company’s Tinder premium features include Tinder Gold, Tinder Platinum, Super Likes, Tinder Explore and the Swipe Night interactive series. Pairs is a dating platform is designed to address social barriers generally associated with the use of dating services in Eastern Asian countries, particularly Japan. Hakuna Live is an interactive, social app that allows for one-to-many live streaming experiences. OurTime is the community of singles over age 50 of any dating service. It offers this service in the United States, Canada, and various European markets. The Company’s products are available in over 40 languages to users all over the world.</v>
    <v>2500</v>
    <v>Nasdaq Stock Market</v>
    <v>XNAS</v>
    <v>XNAS</v>
    <v>8750 NORTH CENTRAL EXPRESSWAY, SUITE 1400, DALLAS, TX, 75231 US</v>
    <v>50.9</v>
    <v>Software &amp; IT Services</v>
    <v>Stock</v>
    <v>44947.041611168752</v>
    <v>81</v>
    <v>48.17</v>
    <v>14082613562</v>
    <v>MATCH GROUP, INC.</v>
    <v>MATCH GROUP, INC.</v>
    <v>48.51</v>
    <v>126.51730000000001</v>
    <v>47.84</v>
    <v>50.42</v>
    <v>50.27</v>
    <v>279306100</v>
    <v>MTCH</v>
    <v>MATCH GROUP, INC. (XNAS:MTCH)</v>
    <v>4021770</v>
    <v>4625766</v>
    <v>1986</v>
  </rv>
  <rv s="2">
    <v>82</v>
  </rv>
  <rv s="0">
    <v>https://www.bing.com/financeapi/forcetrigger?t=a2iear&amp;q=OTCM%3aGMWKF&amp;form=skydnc</v>
    <v>Learn more on Bing</v>
  </rv>
  <rv s="4">
    <v>en-US</v>
    <v>a2iear</v>
    <v>268435456</v>
    <v>1</v>
    <v>Powered by Refinitiv</v>
    <v>8</v>
    <v>GAMES WORKSHOP GROUP PLC (OTCM:GMWKF)</v>
    <v>2</v>
    <v>29</v>
    <v>Finance</v>
    <v>4</v>
    <v>115</v>
    <v>63.71</v>
    <v>1.4490000000000001</v>
    <v>-2.9249999999999998</v>
    <v>-2.5434999999999999E-2</v>
    <v>USD</v>
    <v>Games Workshop Group PLC designs and manufactures miniature figures and games and distributes these through its own network of retail stores, independent retailers and online via the global Web stores. The Company has manufacturing activities in the United Kingdom and sells mainly in the United Kingdom, Continental Europe, North America, Australia, New Zealand and Asia. It also grants licenses to third parties for the development of video games and other products utilizing its intellectual property. It operates through two segments: Core and Licensing. Its Core segment is engaged in the design, manufacture and sales of its fantasy miniatures and related products. Its Core segment has been divided into channels, such as Trade; Retail; Online; Design, manufacturing, logistics and operations, and Group. Its Licensing segment includes licenses granted to external partners, including the development of digital content for animation and TV. It operates over 518 retail stores in 23 countries.</v>
    <v>941</v>
    <v>OTC Markets</v>
    <v>OTCM</v>
    <v>OTCM</v>
    <v>Willow Road, NOTTINGHAM, NOTTINGHAMSHIRE, NG7 2WS GB</v>
    <v>112.075</v>
    <v>Leisure Products</v>
    <v>Stock</v>
    <v>44946.738424015624</v>
    <v>84</v>
    <v>112.075</v>
    <v>2948681000</v>
    <v>GAMES WORKSHOP GROUP PLC</v>
    <v>GAMES WORKSHOP GROUP PLC</v>
    <v>112.075</v>
    <v>25.252800000000001</v>
    <v>115</v>
    <v>112.075</v>
    <v>32909380</v>
    <v>GMWKF</v>
    <v>GAMES WORKSHOP GROUP PLC (OTCM:GMWKF)</v>
    <v>112</v>
    <v>82330</v>
    <v>1991</v>
  </rv>
  <rv s="2">
    <v>85</v>
  </rv>
  <rv s="0">
    <v>https://www.bing.com/financeapi/forcetrigger?t=brxwh7&amp;q=XASX%3aMAD&amp;form=skydnc</v>
    <v>Learn more on Bing</v>
  </rv>
  <rv s="4">
    <v>en-US</v>
    <v>brxwh7</v>
    <v>268435456</v>
    <v>1</v>
    <v>Powered by Refinitiv</v>
    <v>8</v>
    <v>MADER GROUP LIMITED (XASX:MAD)</v>
    <v>2</v>
    <v>30</v>
    <v>Finance</v>
    <v>31</v>
    <v>3.98</v>
    <v>1.71</v>
    <v>0.998</v>
    <v>0.21</v>
    <v>5.5702999999999996E-2</v>
    <v>AUD</v>
    <v>Mader Group Limited is a provider of specialist heavy equipment maintenance services. The Company’s segments include Australia, North America and Rest of World. The Company’s services include rail services, digger support team, drill support team, fabrication and line boring, processing infrastructure, non-processing infrastructure, power generation &amp; marine, field support, professional support roles, maintenance projects, electrical services, component exchange, rapid response teams, rostered support, HME shutdown teams, specialized tool hire, mader clean team, trade upgrade program, training national workforces and workshop offsite repairs. The Company provides solutions for rail construction, maintenance, and repairs from general track maintenance to electrical systems and signaling. It offers skilled technicians to perform inspections, repair, and overhaul services on all types of rail vehicles including locomotives, diesel motor units, control and blind trailer cars.</v>
    <v>2200</v>
    <v>Australian Securities Exchange</v>
    <v>XASX</v>
    <v>XASX</v>
    <v>Hkew Alpha Bldg, U A1 2 George Wiencke Dr, Perth, WESTERN AUSTRALIA, 6105 AU</v>
    <v>3.98</v>
    <v>Professional &amp; Commercial Services</v>
    <v>Stock</v>
    <v>44946.333333333336</v>
    <v>87</v>
    <v>3.77</v>
    <v>796000000</v>
    <v>MADER GROUP LIMITED</v>
    <v>MADER GROUP LIMITED</v>
    <v>3.77</v>
    <v>28.49</v>
    <v>3.77</v>
    <v>3.98</v>
    <v>200000000</v>
    <v>MAD</v>
    <v>MADER GROUP LIMITED (XASX:MAD)</v>
    <v>119097</v>
    <v>44970</v>
    <v>2012</v>
  </rv>
  <rv s="2">
    <v>88</v>
  </rv>
  <rv s="0">
    <v>https://www.bing.com/financeapi/forcetrigger?t=bxkq27&amp;q=XLON%3aDOCS&amp;form=skydnc</v>
    <v>Learn more on Bing</v>
  </rv>
  <rv s="4">
    <v>en-US</v>
    <v>bxkq27</v>
    <v>268435456</v>
    <v>1</v>
    <v>Powered by Refinitiv</v>
    <v>8</v>
    <v>DR. MARTENS PLC (XLON:DOCS)</v>
    <v>2</v>
    <v>32</v>
    <v>Finance</v>
    <v>18</v>
    <v>343.2</v>
    <v>135.4</v>
    <v>0.92400000000000004</v>
    <v>-5.3</v>
    <v>-3.6576999999999998E-2</v>
    <v>GBp</v>
    <v>Dr. Martens plc is a United Kingdom-based company that designs, develops, procures, markets, sells and distributes footwear, under the Dr. Martens brand. The Company operates through three reporting segments: Europe, the Middle East and Africa (EMEA); Americas; and Americas and Asia-Pacific (APAC). Its product categories include Originals, Fusion, Kids, Casual and Accessories. The Originals category comprises boots, shoes and loafers and also included within the Originals category is the Made in England range. The Fusion category comprises platform boots and shoes, sandals, heels, and refined take downs of the Originals. Within the Kids category is the mini-me range, which includes Originals, Fusion, and Casual collections. It offers various accessories, such as shoe care, laces and socks, leather bags and small leather items. The Company operates in over 60 countries globally, through a range of modes: directly operated stores and ecommerce sites, wholesale partners and distributors.</v>
    <v>2229</v>
    <v>London Stock Exchange</v>
    <v>XLON</v>
    <v>XLON</v>
    <v>28 Jamestown Rd, Camden, LONDON, UNITED KINGDOM-NA, NW1 7BY GB</v>
    <v>145.1</v>
    <v>Textiles &amp; Apparel</v>
    <v>Stock</v>
    <v>44946.713118008593</v>
    <v>90</v>
    <v>135.5</v>
    <v>1397021000</v>
    <v>DR. MARTENS PLC</v>
    <v>DR. MARTENS PLC</v>
    <v>144</v>
    <v>8.1587999999999994</v>
    <v>144.9</v>
    <v>139.6</v>
    <v>1000731000</v>
    <v>DOCS</v>
    <v>DR. MARTENS PLC (XLON:DOCS)</v>
    <v>6730302</v>
    <v>2606110</v>
    <v>2020</v>
  </rv>
  <rv s="2">
    <v>91</v>
  </rv>
</rvData>
</file>

<file path=xl/richData/rdrichvaluestructure.xml><?xml version="1.0" encoding="utf-8"?>
<rvStructures xmlns="http://schemas.microsoft.com/office/spreadsheetml/2017/richdata" count="10">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8">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33">
    <spb s="0">
      <v>0</v>
      <v>Name</v>
      <v>LearnMoreOnLink</v>
    </spb>
    <spb s="1">
      <v>0</v>
      <v>0</v>
      <v>0</v>
    </spb>
    <spb s="2">
      <v>1</v>
      <v>1</v>
      <v>1</v>
      <v>1</v>
    </spb>
    <spb s="3">
      <v>1</v>
      <v>2</v>
      <v>1</v>
      <v>3</v>
      <v>1</v>
      <v>1</v>
      <v>1</v>
      <v>4</v>
      <v>4</v>
      <v>5</v>
      <v>6</v>
      <v>1</v>
      <v>1</v>
      <v>1</v>
      <v>4</v>
      <v>7</v>
      <v>8</v>
      <v>9</v>
      <v>4</v>
    </spb>
    <spb s="4">
      <v>Delayed 15 minutes</v>
      <v>from previous close</v>
      <v>from previous close</v>
      <v>GMT</v>
    </spb>
    <spb s="0">
      <v>1</v>
      <v>Name</v>
      <v>LearnMoreOnLink</v>
    </spb>
    <spb s="5">
      <v>1</v>
      <v>2</v>
      <v>2</v>
      <v>1</v>
      <v>3</v>
      <v>1</v>
      <v>1</v>
      <v>1</v>
      <v>4</v>
      <v>4</v>
      <v>5</v>
      <v>10</v>
      <v>1</v>
      <v>1</v>
      <v>1</v>
      <v>4</v>
      <v>7</v>
      <v>8</v>
      <v>9</v>
      <v>4</v>
      <v>1</v>
      <v>1</v>
      <v>5</v>
    </spb>
    <spb s="6">
      <v>at close</v>
      <v>from previous close</v>
      <v>from previous close</v>
      <v>Source: Nasdaq</v>
      <v>GMT</v>
      <v>Delayed 15 minutes</v>
      <v>from close</v>
      <v>from close</v>
    </spb>
    <spb s="0">
      <v>2</v>
      <v>Name</v>
      <v>LearnMoreOnLink</v>
    </spb>
    <spb s="7">
      <v>1</v>
      <v>2</v>
      <v>2</v>
      <v>1</v>
      <v>3</v>
      <v>1</v>
      <v>1</v>
      <v>1</v>
      <v>4</v>
      <v>4</v>
      <v>5</v>
      <v>10</v>
      <v>1</v>
      <v>1</v>
      <v>1</v>
      <v>4</v>
      <v>7</v>
      <v>8</v>
      <v>9</v>
      <v>4</v>
    </spb>
    <spb s="5">
      <v>1</v>
      <v>2</v>
      <v>2</v>
      <v>1</v>
      <v>3</v>
      <v>1</v>
      <v>1</v>
      <v>1</v>
      <v>4</v>
      <v>4</v>
      <v>5</v>
      <v>11</v>
      <v>1</v>
      <v>1</v>
      <v>1</v>
      <v>4</v>
      <v>7</v>
      <v>8</v>
      <v>9</v>
      <v>4</v>
      <v>1</v>
      <v>1</v>
      <v>5</v>
    </spb>
    <spb s="8">
      <v>at close</v>
      <v>from previous close</v>
      <v>from previous close</v>
      <v>GMT</v>
      <v>Delayed 15 minutes</v>
      <v>from close</v>
      <v>from close</v>
    </spb>
    <spb s="0">
      <v>3</v>
      <v>Name</v>
      <v>LearnMoreOnLink</v>
    </spb>
    <spb s="9">
      <v>12</v>
      <v>2</v>
      <v>2</v>
      <v>12</v>
      <v>3</v>
      <v>12</v>
      <v>12</v>
      <v>12</v>
      <v>4</v>
      <v>4</v>
      <v>5</v>
      <v>13</v>
      <v>12</v>
      <v>12</v>
      <v>12</v>
      <v>4</v>
      <v>7</v>
      <v>9</v>
      <v>4</v>
    </spb>
    <spb s="10">
      <v>Delayed 15 minutes</v>
      <v>from previous close</v>
      <v>from previous close</v>
      <v>Borsa Italia</v>
      <v>GMT</v>
    </spb>
    <spb s="5">
      <v>14</v>
      <v>2</v>
      <v>2</v>
      <v>14</v>
      <v>3</v>
      <v>14</v>
      <v>14</v>
      <v>14</v>
      <v>4</v>
      <v>4</v>
      <v>5</v>
      <v>15</v>
      <v>14</v>
      <v>14</v>
      <v>14</v>
      <v>4</v>
      <v>7</v>
      <v>8</v>
      <v>9</v>
      <v>4</v>
      <v>14</v>
      <v>14</v>
      <v>5</v>
    </spb>
    <spb s="0">
      <v>4</v>
      <v>Name</v>
      <v>LearnMoreOnLink</v>
    </spb>
    <spb s="11">
      <v>2</v>
      <v>2</v>
      <v>3</v>
      <v>16</v>
      <v>16</v>
      <v>16</v>
      <v>4</v>
      <v>4</v>
      <v>5</v>
      <v>17</v>
      <v>16</v>
      <v>16</v>
      <v>16</v>
      <v>4</v>
      <v>7</v>
      <v>8</v>
      <v>9</v>
      <v>4</v>
    </spb>
    <spb s="10">
      <v>Delayed 15 minutes</v>
      <v>from previous close</v>
      <v>from previous close</v>
      <v>LSE</v>
      <v>GMT</v>
    </spb>
    <spb s="0">
      <v>5</v>
      <v>Name</v>
      <v>LearnMoreOnLink</v>
    </spb>
    <spb s="12">
      <v>1</v>
      <v>2</v>
      <v>1</v>
      <v>3</v>
      <v>1</v>
      <v>1</v>
      <v>1</v>
      <v>4</v>
      <v>4</v>
      <v>5</v>
      <v>10</v>
      <v>1</v>
      <v>1</v>
      <v>1</v>
      <v>4</v>
      <v>7</v>
      <v>8</v>
      <v>9</v>
      <v>4</v>
      <v>1</v>
      <v>1</v>
      <v>5</v>
    </spb>
    <spb s="0">
      <v>6</v>
      <v>Name</v>
      <v>LearnMoreOnLink</v>
    </spb>
    <spb s="13">
      <v>1</v>
      <v>2</v>
      <v>1</v>
      <v>3</v>
      <v>1</v>
      <v>1</v>
      <v>1</v>
      <v>4</v>
      <v>4</v>
      <v>5</v>
      <v>10</v>
      <v>1</v>
      <v>1</v>
      <v>1</v>
      <v>4</v>
      <v>7</v>
      <v>8</v>
      <v>9</v>
      <v>4</v>
      <v>1</v>
      <v>1</v>
      <v>5</v>
    </spb>
    <spb s="7">
      <v>1</v>
      <v>2</v>
      <v>2</v>
      <v>1</v>
      <v>3</v>
      <v>1</v>
      <v>1</v>
      <v>1</v>
      <v>4</v>
      <v>4</v>
      <v>5</v>
      <v>11</v>
      <v>1</v>
      <v>1</v>
      <v>1</v>
      <v>4</v>
      <v>7</v>
      <v>8</v>
      <v>9</v>
      <v>4</v>
    </spb>
    <spb s="5">
      <v>1</v>
      <v>2</v>
      <v>2</v>
      <v>1</v>
      <v>3</v>
      <v>1</v>
      <v>1</v>
      <v>1</v>
      <v>4</v>
      <v>4</v>
      <v>5</v>
      <v>18</v>
      <v>1</v>
      <v>1</v>
      <v>1</v>
      <v>4</v>
      <v>7</v>
      <v>8</v>
      <v>9</v>
      <v>4</v>
      <v>1</v>
      <v>1</v>
      <v>5</v>
    </spb>
    <spb s="0">
      <v>7</v>
      <v>Name</v>
      <v>LearnMoreOnLink</v>
    </spb>
    <spb s="14">
      <v>1</v>
      <v>2</v>
      <v>2</v>
      <v>1</v>
      <v>3</v>
      <v>1</v>
      <v>1</v>
      <v>1</v>
      <v>4</v>
      <v>4</v>
      <v>5</v>
      <v>10</v>
      <v>1</v>
      <v>1</v>
      <v>1</v>
      <v>4</v>
      <v>7</v>
      <v>9</v>
      <v>4</v>
      <v>1</v>
      <v>1</v>
      <v>5</v>
    </spb>
    <spb s="7">
      <v>19</v>
      <v>2</v>
      <v>2</v>
      <v>19</v>
      <v>3</v>
      <v>19</v>
      <v>19</v>
      <v>19</v>
      <v>4</v>
      <v>4</v>
      <v>5</v>
      <v>20</v>
      <v>19</v>
      <v>19</v>
      <v>19</v>
      <v>4</v>
      <v>7</v>
      <v>8</v>
      <v>9</v>
      <v>4</v>
    </spb>
    <spb s="4">
      <v>End of Day</v>
      <v>from previous close</v>
      <v>from previous close</v>
      <v>GMT</v>
    </spb>
    <spb s="7">
      <v>1</v>
      <v>2</v>
      <v>2</v>
      <v>1</v>
      <v>3</v>
      <v>1</v>
      <v>1</v>
      <v>1</v>
      <v>4</v>
      <v>4</v>
      <v>5</v>
      <v>17</v>
      <v>1</v>
      <v>1</v>
      <v>1</v>
      <v>4</v>
      <v>7</v>
      <v>8</v>
      <v>9</v>
      <v>4</v>
    </spb>
    <spb s="7">
      <v>21</v>
      <v>2</v>
      <v>2</v>
      <v>21</v>
      <v>3</v>
      <v>21</v>
      <v>21</v>
      <v>21</v>
      <v>4</v>
      <v>4</v>
      <v>5</v>
      <v>22</v>
      <v>21</v>
      <v>21</v>
      <v>21</v>
      <v>4</v>
      <v>7</v>
      <v>8</v>
      <v>9</v>
      <v>4</v>
    </spb>
    <spb s="4">
      <v>Delayed 20 minutes</v>
      <v>from previous close</v>
      <v>from previous close</v>
      <v>GMT</v>
    </spb>
    <spb s="7">
      <v>16</v>
      <v>2</v>
      <v>2</v>
      <v>16</v>
      <v>3</v>
      <v>16</v>
      <v>16</v>
      <v>16</v>
      <v>4</v>
      <v>4</v>
      <v>5</v>
      <v>17</v>
      <v>16</v>
      <v>16</v>
      <v>16</v>
      <v>4</v>
      <v>7</v>
      <v>8</v>
      <v>9</v>
      <v>4</v>
    </spb>
  </spbData>
</supportingPropertyBags>
</file>

<file path=xl/richData/rdsupportingpropertybagstructure.xml><?xml version="1.0" encoding="utf-8"?>
<spbStructures xmlns="http://schemas.microsoft.com/office/spreadsheetml/2017/richdata2" count="15">
  <s>
    <k n="^Order" t="spba"/>
    <k n="TitleProperty" t="s"/>
    <k n="SubTitleProperty" t="s"/>
  </s>
  <s>
    <k n="ShowInCardView" t="b"/>
    <k n="ShowInDotNotation" t="b"/>
    <k n="ShowInAutoComplete" t="b"/>
  </s>
  <s>
    <k n="ExchangeID" t="spb"/>
    <k n="UniqueName" t="spb"/>
    <k n="`%ProviderInfo" t="spb"/>
    <k n="LearnMoreOnLink" t="spb"/>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Price" t="s"/>
    <k n="Change" t="s"/>
    <k n="Change (%)" t="s"/>
    <k n="ExchangeID" t="s"/>
    <k n="Last trade time" t="s"/>
  </s>
  <s>
    <k n="P/E" t="i"/>
    <k n="Beta"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mm"/>
    </x:dxf>
    <x:dxf>
      <x:numFmt numFmtId="14" formatCode="0.00%"/>
    </x:dxf>
    <x:dxf>
      <x:numFmt numFmtId="3" formatCode="#,##0"/>
    </x:dxf>
    <x:dxf>
      <x:numFmt numFmtId="4" formatCode="#,##0.00"/>
    </x:dxf>
    <x:dxf>
      <x:numFmt numFmtId="1" formatCode="0"/>
    </x:dxf>
    <x:dxf>
      <x:numFmt numFmtId="35" formatCode="_-* #,##0.00_-;\-* #,##0.00_-;_-* &quot;-&quot;??_-;_-@_-"/>
    </x:dxf>
  </dxfs>
  <richProperties>
    <rPr n="NumberFormat" t="s"/>
    <rPr n="IsTitleField" t="b"/>
  </richProperties>
  <richStyles>
    <rSty dxfid="1">
      <rpv i="0">_([$$-en-US]* #,##0.00_);_([$$-en-US]* (#,##0.00);_([$$-en-US]* "-"??_);_(@_)</rpv>
    </rSty>
    <rSty dxfid="5">
      <rpv i="0">#,##0.00</rpv>
    </rSty>
    <rSty>
      <rpv i="1">1</rpv>
    </rSty>
    <rSty dxfid="4">
      <rpv i="0">#,##0</rpv>
    </rSty>
    <rSty dxfid="3"/>
    <rSty dxfid="1">
      <rpv i="0">_-* #,##0 [$kr-smj-SE]_-;-* #,##0 [$kr-smj-SE]_-;_-* "-" [$kr-smj-SE]_-;_-@_-</rpv>
    </rSty>
    <rSty dxfid="2"/>
    <rSty dxfid="6">
      <rpv i="0">0</rpv>
    </rSty>
    <rSty dxfid="0">
      <rpv i="0">0.00</rpv>
    </rSty>
    <rSty dxfid="1">
      <rpv i="0">_([$$-en-US]* #,##0_);_([$$-en-US]* (#,##0);_([$$-en-US]* "-"_);_(@_)</rpv>
    </rSty>
    <rSty dxfid="1">
      <rpv i="0">_-[$¥-ja-JP]* #,##0_-;-[$¥-ja-JP]* #,##0_-;_-[$¥-ja-JP]* "-"_-;_-@_-</rpv>
    </rSty>
    <rSty dxfid="1">
      <rpv i="0">_([$€-x-euro2] * #,##0.00_);_([$€-x-euro2] * (#,##0.00);_([$€-x-euro2] * "-"??_);_(@_)</rpv>
    </rSty>
    <rSty dxfid="1">
      <rpv i="0">_([$€-x-euro2] * #,##0_);_([$€-x-euro2] * (#,##0);_([$€-x-euro2] * "-"_);_(@_)</rpv>
    </rSty>
    <rSty dxfid="1">
      <rpv i="0">_-[$$-en-HK]* #,##0.00_-;-[$$-en-HK]* #,##0.00_-;_-[$$-en-HK]* "-"??_-;_-@_-</rpv>
    </rSty>
    <rSty dxfid="1">
      <rpv i="0">_-[$$-en-HK]* #,##0_-;-[$$-en-HK]* #,##0_-;_-[$$-en-HK]* "-"_-;_-@_-</rpv>
    </rSty>
    <rSty dxfid="7">
      <rpv i="0">_(* #,##0.00_);_(* (#,##0.00);_(* "-"??_);_(@_)</rpv>
    </rSty>
    <rSty dxfid="1">
      <rpv i="0">_-[$£-en-GB]* #,##0_-;-[$£-en-GB]* #,##0_-;_-[$£-en-GB]* "-"_-;_-@_-</rpv>
    </rSty>
    <rSty dxfid="1">
      <rpv i="0">_-[$$-en-CA]* #,##0_-;-[$$-en-CA]* #,##0_-;_-[$$-en-CA]* "-"_-;_-@_-</rpv>
    </rSty>
    <rSty dxfid="1">
      <rpv i="0">_-* #,##0.00 [$zł-pl-PL]_-;-* #,##0.00 [$zł-pl-PL]_-;_-* "-"?? [$zł-pl-PL]_-;_-@_-</rpv>
    </rSty>
    <rSty dxfid="1">
      <rpv i="0">_-* #,##0 [$zł-pl-PL]_-;-* #,##0 [$zł-pl-PL]_-;_-* "-" [$zł-pl-PL]_-;_-@_-</rpv>
    </rSty>
    <rSty dxfid="1">
      <rpv i="0">_-[$$-en-AU]* #,##0.00_-;-[$$-en-AU]* #,##0.00_-;_-[$$-en-AU]* "-"??_-;_-@_-</rpv>
    </rSty>
    <rSty dxfid="1">
      <rpv i="0">_-[$$-en-AU]* #,##0_-;-[$$-en-AU]* #,##0_-;_-[$$-en-AU]*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3CFB4D-F199-4348-B07F-318ED2E8086B}" name="Tabla1" displayName="Tabla1" ref="A1:S34" totalsRowCount="1" headerRowDxfId="40" headerRowBorderDxfId="39" tableBorderDxfId="38">
  <autoFilter ref="A1:S33" xr:uid="{D33CFB4D-F199-4348-B07F-318ED2E8086B}">
    <filterColumn colId="18">
      <filters>
        <dateGroupItem year="2022" dateTimeGrouping="year"/>
      </filters>
    </filterColumn>
  </autoFilter>
  <tableColumns count="19">
    <tableColumn id="1" xr3:uid="{AD982FAD-8CBD-434C-B116-FA54BB443EA7}" name="Ticker" totalsRowLabel="Total" dataDxfId="37" totalsRowDxfId="36"/>
    <tableColumn id="2" xr3:uid="{13108310-4E80-4955-87D5-50ABFE9808A2}" name="Nombre" totalsRowFunction="count" dataDxfId="35" totalsRowDxfId="34"/>
    <tableColumn id="3" xr3:uid="{740DF2CF-2890-4346-8B3A-BFB6CD4B59AA}" name="Sector" dataDxfId="33" totalsRowDxfId="32"/>
    <tableColumn id="4" xr3:uid="{41539FCC-ECED-4C9A-9915-FAFD36FD0CC8}" name="IR" totalsRowFunction="custom" dataDxfId="31" totalsRowDxfId="30" dataCellStyle="Porcentaje" totalsRowCellStyle="Porcentaje">
      <totalsRowFormula>AVERAGE(Tabla1[IR])</totalsRowFormula>
    </tableColumn>
    <tableColumn id="5" xr3:uid="{0F48A4E9-12A0-4849-8E3D-DF2571E9AB8B}" name="Precio" dataDxfId="29" totalsRowDxfId="28"/>
    <tableColumn id="6" xr3:uid="{C9F1DB4D-800F-4CA2-BD21-15BCECD371B6}" name="Objetivo" dataDxfId="27" totalsRowDxfId="26"/>
    <tableColumn id="7" xr3:uid="{7EBD78EA-ED5D-4387-847F-8ECA8ECA92C0}" name="Valoración" totalsRowFunction="custom" dataDxfId="25" totalsRowDxfId="24">
      <calculatedColumnFormula>F2/E2</calculatedColumnFormula>
      <totalsRowFormula>MEDIAN(G2:G33)</totalsRowFormula>
    </tableColumn>
    <tableColumn id="19" xr3:uid="{15259FF9-9CB4-4AFE-8457-02B3DBE43287}" name="FCF Yield" totalsRowFunction="average" dataDxfId="23" totalsRowDxfId="22"/>
    <tableColumn id="8" xr3:uid="{0B4D075F-0F3B-4FB1-B921-344185EF4415}" name="Riesgo" dataDxfId="21" totalsRowDxfId="20"/>
    <tableColumn id="9" xr3:uid="{C49F1470-2779-468F-A64F-FC0565E035F5}" name="Moat" dataDxfId="19" totalsRowDxfId="18"/>
    <tableColumn id="17" xr3:uid="{94D5EF6D-7497-4194-A03E-7A862326A9AC}" name="M. Bruto" totalsRowFunction="average" dataDxfId="17" totalsRowDxfId="16"/>
    <tableColumn id="10" xr3:uid="{2A8AD1D3-EF6E-410F-A0CC-6BF0F0018451}" name="M. Neto" totalsRowFunction="average" dataDxfId="15" totalsRowDxfId="14"/>
    <tableColumn id="11" xr3:uid="{F6A86BAA-4D71-46F3-981F-B3F0E2949A83}" name="Δ Rev." totalsRowFunction="average" dataDxfId="13" totalsRowDxfId="12"/>
    <tableColumn id="18" xr3:uid="{85024266-0CA0-4075-B11B-2FFFA258AE95}" name="Δ FCF" totalsRowFunction="average" dataDxfId="11" totalsRowDxfId="10"/>
    <tableColumn id="12" xr3:uid="{9850475F-4858-420C-B9CE-D89A9ECD49FA}" name="Δ EPS" totalsRowFunction="average" dataDxfId="9" totalsRowDxfId="8"/>
    <tableColumn id="13" xr3:uid="{4C856960-446B-4F07-BE1B-9358422D151C}" name="CFROIC" totalsRowFunction="average" dataDxfId="7" totalsRowDxfId="6"/>
    <tableColumn id="14" xr3:uid="{774052FB-EC3A-4DF9-8F69-2FB1654E3240}" name="Deuda" dataDxfId="5" totalsRowDxfId="4"/>
    <tableColumn id="15" xr3:uid="{2B16D724-0F44-403B-A7FA-404D979CF702}" name="Directiva" dataDxfId="3" totalsRowDxfId="2"/>
    <tableColumn id="16" xr3:uid="{39A05311-6049-47AB-96D3-776646CA91DE}" name="Last Modified" totalsRowFunction="min"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26" Type="http://schemas.openxmlformats.org/officeDocument/2006/relationships/hyperlink" Target="https://app.tikr.com/account/subs?ref=q5ht48" TargetMode="External"/><Relationship Id="rId39"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34" Type="http://schemas.openxmlformats.org/officeDocument/2006/relationships/hyperlink" Target="https://app.tikr.com/account/subs?ref=q5ht48" TargetMode="External"/><Relationship Id="rId42" Type="http://schemas.openxmlformats.org/officeDocument/2006/relationships/hyperlink" Target="https://app.tikr.com/account/subs?ref=q5ht48" TargetMode="External"/><Relationship Id="rId47"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9"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32" Type="http://schemas.openxmlformats.org/officeDocument/2006/relationships/hyperlink" Target="https://app.tikr.com/account/subs?ref=q5ht48" TargetMode="External"/><Relationship Id="rId37" Type="http://schemas.openxmlformats.org/officeDocument/2006/relationships/hyperlink" Target="https://app.tikr.com/account/subs?ref=q5ht48" TargetMode="External"/><Relationship Id="rId40" Type="http://schemas.openxmlformats.org/officeDocument/2006/relationships/hyperlink" Target="https://app.tikr.com/account/subs?ref=q5ht48" TargetMode="External"/><Relationship Id="rId45"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28" Type="http://schemas.openxmlformats.org/officeDocument/2006/relationships/hyperlink" Target="https://app.tikr.com/account/subs?ref=q5ht48" TargetMode="External"/><Relationship Id="rId36" Type="http://schemas.openxmlformats.org/officeDocument/2006/relationships/hyperlink" Target="https://app.tikr.com/account/subs?ref=q5ht48" TargetMode="External"/><Relationship Id="rId49"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31" Type="http://schemas.openxmlformats.org/officeDocument/2006/relationships/hyperlink" Target="https://app.tikr.com/account/subs?ref=q5ht48" TargetMode="External"/><Relationship Id="rId44"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 Id="rId27" Type="http://schemas.openxmlformats.org/officeDocument/2006/relationships/hyperlink" Target="https://app.tikr.com/account/subs?ref=q5ht48" TargetMode="External"/><Relationship Id="rId30" Type="http://schemas.openxmlformats.org/officeDocument/2006/relationships/hyperlink" Target="https://app.tikr.com/account/subs?ref=q5ht48" TargetMode="External"/><Relationship Id="rId35" Type="http://schemas.openxmlformats.org/officeDocument/2006/relationships/hyperlink" Target="https://app.tikr.com/account/subs?ref=q5ht48" TargetMode="External"/><Relationship Id="rId43" Type="http://schemas.openxmlformats.org/officeDocument/2006/relationships/hyperlink" Target="https://app.tikr.com/account/subs?ref=q5ht48" TargetMode="External"/><Relationship Id="rId48" Type="http://schemas.openxmlformats.org/officeDocument/2006/relationships/hyperlink" Target="https://app.tikr.com/account/subs?ref=q5ht48" TargetMode="External"/><Relationship Id="rId8"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33" Type="http://schemas.openxmlformats.org/officeDocument/2006/relationships/hyperlink" Target="https://app.tikr.com/account/subs?ref=q5ht48" TargetMode="External"/><Relationship Id="rId38" Type="http://schemas.openxmlformats.org/officeDocument/2006/relationships/hyperlink" Target="https://app.tikr.com/account/subs?ref=q5ht48" TargetMode="External"/><Relationship Id="rId46"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41"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42" Type="http://schemas.openxmlformats.org/officeDocument/2006/relationships/hyperlink" Target="https://app.tikr.com/account/subs?ref=q5ht48" TargetMode="External"/><Relationship Id="rId47" Type="http://schemas.openxmlformats.org/officeDocument/2006/relationships/hyperlink" Target="https://app.tikr.com/account/subs?ref=q5ht48" TargetMode="External"/><Relationship Id="rId63" Type="http://schemas.openxmlformats.org/officeDocument/2006/relationships/hyperlink" Target="https://app.tikr.com/account/subs?ref=q5ht48" TargetMode="External"/><Relationship Id="rId68"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9"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32" Type="http://schemas.openxmlformats.org/officeDocument/2006/relationships/hyperlink" Target="https://app.tikr.com/account/subs?ref=q5ht48" TargetMode="External"/><Relationship Id="rId37" Type="http://schemas.openxmlformats.org/officeDocument/2006/relationships/hyperlink" Target="https://app.tikr.com/account/subs?ref=q5ht48" TargetMode="External"/><Relationship Id="rId40" Type="http://schemas.openxmlformats.org/officeDocument/2006/relationships/hyperlink" Target="https://app.tikr.com/account/subs?ref=q5ht48" TargetMode="External"/><Relationship Id="rId45" Type="http://schemas.openxmlformats.org/officeDocument/2006/relationships/hyperlink" Target="https://app.tikr.com/account/subs?ref=q5ht48" TargetMode="External"/><Relationship Id="rId53" Type="http://schemas.openxmlformats.org/officeDocument/2006/relationships/hyperlink" Target="https://app.tikr.com/account/subs?ref=q5ht48" TargetMode="External"/><Relationship Id="rId58" Type="http://schemas.openxmlformats.org/officeDocument/2006/relationships/hyperlink" Target="https://app.tikr.com/account/subs?ref=q5ht48" TargetMode="External"/><Relationship Id="rId66"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61"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 Id="rId27" Type="http://schemas.openxmlformats.org/officeDocument/2006/relationships/hyperlink" Target="https://app.tikr.com/account/subs?ref=q5ht48" TargetMode="External"/><Relationship Id="rId30" Type="http://schemas.openxmlformats.org/officeDocument/2006/relationships/hyperlink" Target="https://app.tikr.com/account/subs?ref=q5ht48" TargetMode="External"/><Relationship Id="rId35" Type="http://schemas.openxmlformats.org/officeDocument/2006/relationships/hyperlink" Target="https://app.tikr.com/account/subs?ref=q5ht48" TargetMode="External"/><Relationship Id="rId43" Type="http://schemas.openxmlformats.org/officeDocument/2006/relationships/hyperlink" Target="https://app.tikr.com/account/subs?ref=q5ht48" TargetMode="External"/><Relationship Id="rId48" Type="http://schemas.openxmlformats.org/officeDocument/2006/relationships/hyperlink" Target="https://app.tikr.com/account/subs?ref=q5ht48" TargetMode="External"/><Relationship Id="rId56" Type="http://schemas.openxmlformats.org/officeDocument/2006/relationships/hyperlink" Target="https://app.tikr.com/account/subs?ref=q5ht48" TargetMode="External"/><Relationship Id="rId64" Type="http://schemas.openxmlformats.org/officeDocument/2006/relationships/hyperlink" Target="https://app.tikr.com/account/subs?ref=q5ht48" TargetMode="External"/><Relationship Id="rId69" Type="http://schemas.openxmlformats.org/officeDocument/2006/relationships/hyperlink" Target="https://app.tikr.com/account/subs?ref=q5ht48" TargetMode="External"/><Relationship Id="rId8" Type="http://schemas.openxmlformats.org/officeDocument/2006/relationships/hyperlink" Target="https://app.tikr.com/account/subs?ref=q5ht48" TargetMode="External"/><Relationship Id="rId51"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33" Type="http://schemas.openxmlformats.org/officeDocument/2006/relationships/hyperlink" Target="https://app.tikr.com/account/subs?ref=q5ht48" TargetMode="External"/><Relationship Id="rId38" Type="http://schemas.openxmlformats.org/officeDocument/2006/relationships/hyperlink" Target="https://app.tikr.com/account/subs?ref=q5ht48" TargetMode="External"/><Relationship Id="rId46" Type="http://schemas.openxmlformats.org/officeDocument/2006/relationships/hyperlink" Target="https://app.tikr.com/account/subs?ref=q5ht48" TargetMode="External"/><Relationship Id="rId59" Type="http://schemas.openxmlformats.org/officeDocument/2006/relationships/hyperlink" Target="https://app.tikr.com/account/subs?ref=q5ht48" TargetMode="External"/><Relationship Id="rId67"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41" Type="http://schemas.openxmlformats.org/officeDocument/2006/relationships/hyperlink" Target="https://app.tikr.com/account/subs?ref=q5ht48" TargetMode="External"/><Relationship Id="rId54" Type="http://schemas.openxmlformats.org/officeDocument/2006/relationships/hyperlink" Target="https://app.tikr.com/account/subs?ref=q5ht48" TargetMode="External"/><Relationship Id="rId62" Type="http://schemas.openxmlformats.org/officeDocument/2006/relationships/hyperlink" Target="https://app.tikr.com/account/subs?ref=q5ht48" TargetMode="External"/><Relationship Id="rId70"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28" Type="http://schemas.openxmlformats.org/officeDocument/2006/relationships/hyperlink" Target="https://app.tikr.com/account/subs?ref=q5ht48" TargetMode="External"/><Relationship Id="rId36" Type="http://schemas.openxmlformats.org/officeDocument/2006/relationships/hyperlink" Target="https://app.tikr.com/account/subs?ref=q5ht48" TargetMode="External"/><Relationship Id="rId49" Type="http://schemas.openxmlformats.org/officeDocument/2006/relationships/hyperlink" Target="https://app.tikr.com/account/subs?ref=q5ht48" TargetMode="External"/><Relationship Id="rId57"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31" Type="http://schemas.openxmlformats.org/officeDocument/2006/relationships/hyperlink" Target="https://app.tikr.com/account/subs?ref=q5ht48" TargetMode="External"/><Relationship Id="rId44" Type="http://schemas.openxmlformats.org/officeDocument/2006/relationships/hyperlink" Target="https://app.tikr.com/account/subs?ref=q5ht48" TargetMode="External"/><Relationship Id="rId52" Type="http://schemas.openxmlformats.org/officeDocument/2006/relationships/hyperlink" Target="https://app.tikr.com/account/subs?ref=q5ht48" TargetMode="External"/><Relationship Id="rId60" Type="http://schemas.openxmlformats.org/officeDocument/2006/relationships/hyperlink" Target="https://app.tikr.com/account/subs?ref=q5ht48" TargetMode="External"/><Relationship Id="rId65"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39" Type="http://schemas.openxmlformats.org/officeDocument/2006/relationships/hyperlink" Target="https://app.tikr.com/account/subs?ref=q5ht48" TargetMode="External"/><Relationship Id="rId34" Type="http://schemas.openxmlformats.org/officeDocument/2006/relationships/hyperlink" Target="https://app.tikr.com/account/subs?ref=q5ht48" TargetMode="External"/><Relationship Id="rId50" Type="http://schemas.openxmlformats.org/officeDocument/2006/relationships/hyperlink" Target="https://app.tikr.com/account/subs?ref=q5ht48" TargetMode="External"/><Relationship Id="rId55" Type="http://schemas.openxmlformats.org/officeDocument/2006/relationships/hyperlink" Target="https://app.tikr.com/account/subs?ref=q5ht48"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26"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34"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33"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29"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32" Type="http://schemas.openxmlformats.org/officeDocument/2006/relationships/hyperlink" Target="https://app.tikr.com/account/subs?ref=q5ht48" TargetMode="External"/><Relationship Id="rId37"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28" Type="http://schemas.openxmlformats.org/officeDocument/2006/relationships/hyperlink" Target="https://app.tikr.com/account/subs?ref=q5ht48" TargetMode="External"/><Relationship Id="rId36"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31"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 Id="rId27" Type="http://schemas.openxmlformats.org/officeDocument/2006/relationships/hyperlink" Target="https://app.tikr.com/account/subs?ref=q5ht48" TargetMode="External"/><Relationship Id="rId30" Type="http://schemas.openxmlformats.org/officeDocument/2006/relationships/hyperlink" Target="https://app.tikr.com/account/subs?ref=q5ht48" TargetMode="External"/><Relationship Id="rId35" Type="http://schemas.openxmlformats.org/officeDocument/2006/relationships/hyperlink" Target="https://app.tikr.com/account/subs?ref=q5ht48" TargetMode="External"/><Relationship Id="rId8"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s>
</file>

<file path=xl/worksheets/_rels/sheet9.xml.rels><?xml version="1.0" encoding="UTF-8" standalone="yes"?>
<Relationships xmlns="http://schemas.openxmlformats.org/package/2006/relationships"><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26" Type="http://schemas.openxmlformats.org/officeDocument/2006/relationships/hyperlink" Target="https://app.tikr.com/account/subs?ref=q5ht48" TargetMode="External"/><Relationship Id="rId39"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34" Type="http://schemas.openxmlformats.org/officeDocument/2006/relationships/hyperlink" Target="https://app.tikr.com/account/subs?ref=q5ht48" TargetMode="External"/><Relationship Id="rId42" Type="http://schemas.openxmlformats.org/officeDocument/2006/relationships/hyperlink" Target="https://app.tikr.com/account/subs?ref=q5ht48" TargetMode="External"/><Relationship Id="rId47" Type="http://schemas.openxmlformats.org/officeDocument/2006/relationships/hyperlink" Target="https://app.tikr.com/account/subs?ref=q5ht48" TargetMode="External"/><Relationship Id="rId50" Type="http://schemas.openxmlformats.org/officeDocument/2006/relationships/printerSettings" Target="../printerSettings/printerSettings4.bin"/><Relationship Id="rId7"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9"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32" Type="http://schemas.openxmlformats.org/officeDocument/2006/relationships/hyperlink" Target="https://app.tikr.com/account/subs?ref=q5ht48" TargetMode="External"/><Relationship Id="rId37" Type="http://schemas.openxmlformats.org/officeDocument/2006/relationships/hyperlink" Target="https://app.tikr.com/account/subs?ref=q5ht48" TargetMode="External"/><Relationship Id="rId40" Type="http://schemas.openxmlformats.org/officeDocument/2006/relationships/hyperlink" Target="https://app.tikr.com/account/subs?ref=q5ht48" TargetMode="External"/><Relationship Id="rId45"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28" Type="http://schemas.openxmlformats.org/officeDocument/2006/relationships/hyperlink" Target="https://app.tikr.com/account/subs?ref=q5ht48" TargetMode="External"/><Relationship Id="rId36" Type="http://schemas.openxmlformats.org/officeDocument/2006/relationships/hyperlink" Target="https://app.tikr.com/account/subs?ref=q5ht48" TargetMode="External"/><Relationship Id="rId49"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31" Type="http://schemas.openxmlformats.org/officeDocument/2006/relationships/hyperlink" Target="https://app.tikr.com/account/subs?ref=q5ht48" TargetMode="External"/><Relationship Id="rId44"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 Id="rId27" Type="http://schemas.openxmlformats.org/officeDocument/2006/relationships/hyperlink" Target="https://app.tikr.com/account/subs?ref=q5ht48" TargetMode="External"/><Relationship Id="rId30" Type="http://schemas.openxmlformats.org/officeDocument/2006/relationships/hyperlink" Target="https://app.tikr.com/account/subs?ref=q5ht48" TargetMode="External"/><Relationship Id="rId35" Type="http://schemas.openxmlformats.org/officeDocument/2006/relationships/hyperlink" Target="https://app.tikr.com/account/subs?ref=q5ht48" TargetMode="External"/><Relationship Id="rId43" Type="http://schemas.openxmlformats.org/officeDocument/2006/relationships/hyperlink" Target="https://app.tikr.com/account/subs?ref=q5ht48" TargetMode="External"/><Relationship Id="rId48" Type="http://schemas.openxmlformats.org/officeDocument/2006/relationships/hyperlink" Target="https://app.tikr.com/account/subs?ref=q5ht48" TargetMode="External"/><Relationship Id="rId8"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33" Type="http://schemas.openxmlformats.org/officeDocument/2006/relationships/hyperlink" Target="https://app.tikr.com/account/subs?ref=q5ht48" TargetMode="External"/><Relationship Id="rId38" Type="http://schemas.openxmlformats.org/officeDocument/2006/relationships/hyperlink" Target="https://app.tikr.com/account/subs?ref=q5ht48" TargetMode="External"/><Relationship Id="rId46"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41"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D433F-DB5C-48B1-8714-FBF68AC1D68A}">
  <sheetPr codeName="Hoja1"/>
  <dimension ref="A1:AE113"/>
  <sheetViews>
    <sheetView topLeftCell="A16" zoomScaleNormal="100" workbookViewId="0">
      <selection activeCell="N21" sqref="N21"/>
    </sheetView>
    <sheetView tabSelected="1" topLeftCell="A37" workbookViewId="1">
      <selection activeCell="N50" sqref="N50"/>
    </sheetView>
  </sheetViews>
  <sheetFormatPr baseColWidth="10" defaultColWidth="9.140625" defaultRowHeight="15" x14ac:dyDescent="0.25"/>
  <cols>
    <col min="1" max="1" width="1.85546875" style="6" customWidth="1"/>
    <col min="2" max="2" width="2.7109375" style="11" customWidth="1"/>
    <col min="3" max="3" width="3.28515625" style="11" customWidth="1"/>
    <col min="4" max="4" width="35.7109375" style="11" bestFit="1" customWidth="1"/>
    <col min="5" max="8" width="10.7109375" style="11" customWidth="1"/>
    <col min="9" max="9" width="9" style="11" bestFit="1" customWidth="1"/>
    <col min="10" max="12" width="10.7109375" style="11" customWidth="1"/>
    <col min="13" max="13" width="13.28515625" style="11" bestFit="1" customWidth="1"/>
    <col min="14" max="14" width="20.28515625" style="11" bestFit="1" customWidth="1"/>
    <col min="15" max="15" width="3.5703125" style="11" customWidth="1"/>
    <col min="16" max="16" width="10.7109375" style="11" customWidth="1"/>
    <col min="17" max="17" width="3.28515625" style="11" customWidth="1"/>
    <col min="18" max="21" width="10.7109375" style="11" customWidth="1"/>
    <col min="22" max="22" width="3.42578125" style="11" customWidth="1"/>
    <col min="23" max="29" width="9.140625" style="11"/>
    <col min="30" max="31" width="10.140625" style="11" bestFit="1" customWidth="1"/>
    <col min="32" max="16384" width="9.140625" style="11"/>
  </cols>
  <sheetData>
    <row r="1" spans="2:31" ht="18" customHeight="1" x14ac:dyDescent="0.25">
      <c r="B1" s="6" t="s">
        <v>0</v>
      </c>
      <c r="C1" s="6"/>
      <c r="E1" s="6"/>
      <c r="F1" s="6"/>
      <c r="G1" s="6"/>
      <c r="H1" s="207"/>
      <c r="I1" s="207"/>
      <c r="J1" s="207"/>
      <c r="K1" s="207"/>
      <c r="L1" s="6"/>
      <c r="M1" s="6"/>
      <c r="N1" s="6"/>
      <c r="O1" s="6"/>
      <c r="P1" s="6"/>
      <c r="Q1" s="6"/>
      <c r="R1" s="6"/>
      <c r="S1" s="207"/>
      <c r="T1" s="207"/>
      <c r="U1" s="6"/>
      <c r="V1" s="6"/>
      <c r="W1" s="6"/>
      <c r="X1" s="6"/>
      <c r="Y1" s="6"/>
      <c r="Z1" s="6"/>
      <c r="AA1" s="6"/>
      <c r="AB1" s="6"/>
      <c r="AC1" s="6"/>
    </row>
    <row r="2" spans="2:31" ht="37.5" customHeight="1" x14ac:dyDescent="0.25">
      <c r="B2" s="6"/>
      <c r="C2" s="47"/>
      <c r="D2" s="204" t="e" vm="1">
        <v>#VALUE!</v>
      </c>
      <c r="E2" s="204"/>
      <c r="F2" s="204"/>
      <c r="G2" s="205"/>
      <c r="H2" s="55" t="s">
        <v>39</v>
      </c>
      <c r="I2" s="105" cm="1">
        <f t="array" ref="I2">(_FV(D2,"Shares outstanding",TRUE)*J5)/1000000000</f>
        <v>24.363483186</v>
      </c>
      <c r="J2" s="54" t="s">
        <v>36</v>
      </c>
      <c r="K2" s="30" t="s">
        <v>34</v>
      </c>
      <c r="L2" s="219" t="str" cm="1">
        <f t="array" ref="L2">_FV(D2,"Industry")</f>
        <v>Hotels &amp; Entertainment Services</v>
      </c>
      <c r="M2" s="219"/>
      <c r="N2" s="219"/>
      <c r="O2" s="220"/>
      <c r="P2" s="35"/>
      <c r="Q2" s="42"/>
      <c r="R2" s="212" t="s">
        <v>40</v>
      </c>
      <c r="S2" s="212"/>
      <c r="T2" s="43"/>
      <c r="U2" s="42"/>
      <c r="V2" s="44"/>
      <c r="W2" s="6"/>
      <c r="X2" s="6"/>
      <c r="Y2" s="6"/>
      <c r="Z2" s="6"/>
      <c r="AA2" s="6"/>
      <c r="AB2" s="6"/>
      <c r="AC2" s="6"/>
    </row>
    <row r="3" spans="2:31" ht="12.75" customHeight="1" x14ac:dyDescent="0.25">
      <c r="B3" s="6"/>
      <c r="C3" s="25"/>
      <c r="D3" s="48"/>
      <c r="E3" s="42"/>
      <c r="F3" s="42"/>
      <c r="G3" s="42"/>
      <c r="H3" s="41"/>
      <c r="I3" s="49"/>
      <c r="J3" s="6"/>
      <c r="K3" s="42"/>
      <c r="L3" s="6"/>
      <c r="M3" s="6"/>
      <c r="N3" s="6"/>
      <c r="O3" s="26"/>
      <c r="P3" s="35"/>
      <c r="Q3" s="6"/>
      <c r="R3" s="6"/>
      <c r="S3" s="40"/>
      <c r="T3" s="40"/>
      <c r="U3" s="6"/>
      <c r="V3" s="26"/>
      <c r="W3" s="6"/>
      <c r="X3" s="6"/>
      <c r="Y3" s="6"/>
      <c r="Z3" s="6"/>
      <c r="AA3" s="6"/>
      <c r="AB3" s="6"/>
      <c r="AC3" s="6"/>
    </row>
    <row r="4" spans="2:31" ht="14.25" customHeight="1" x14ac:dyDescent="0.25">
      <c r="B4" s="6"/>
      <c r="C4" s="25"/>
      <c r="D4" s="206" t="str" cm="1">
        <f t="array" ref="D4">_FV(D2,"Description")</f>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c>
      <c r="E4" s="206"/>
      <c r="F4" s="206"/>
      <c r="G4" s="206"/>
      <c r="H4" s="40"/>
      <c r="I4" s="6"/>
      <c r="J4" s="6" t="s">
        <v>33</v>
      </c>
      <c r="K4" s="6"/>
      <c r="L4" s="6"/>
      <c r="M4" s="6"/>
      <c r="N4" s="6"/>
      <c r="O4" s="26"/>
      <c r="P4" s="35"/>
      <c r="Q4" s="6"/>
      <c r="R4" s="6" t="s">
        <v>45</v>
      </c>
      <c r="S4" s="61" t="s">
        <v>46</v>
      </c>
      <c r="T4" s="61" t="s">
        <v>47</v>
      </c>
      <c r="U4" s="61" t="s">
        <v>48</v>
      </c>
      <c r="V4" s="26"/>
      <c r="W4" s="6"/>
      <c r="X4" s="6"/>
      <c r="Y4" s="6"/>
      <c r="Z4" s="6"/>
      <c r="AA4" s="6"/>
      <c r="AB4" s="6"/>
      <c r="AC4" s="6"/>
      <c r="AD4" s="73">
        <f>T14</f>
        <v>776</v>
      </c>
      <c r="AE4" s="11">
        <v>0</v>
      </c>
    </row>
    <row r="5" spans="2:31" ht="37.5" customHeight="1" x14ac:dyDescent="0.25">
      <c r="B5" s="6"/>
      <c r="C5" s="25"/>
      <c r="D5" s="206"/>
      <c r="E5" s="206"/>
      <c r="F5" s="206"/>
      <c r="G5" s="206"/>
      <c r="H5" s="50"/>
      <c r="I5" s="40"/>
      <c r="J5" s="211" cm="1">
        <f t="array" ref="J5">_FV(D2,"Price")</f>
        <v>113.26</v>
      </c>
      <c r="K5" s="211"/>
      <c r="L5" s="211"/>
      <c r="M5" s="211"/>
      <c r="O5" s="26"/>
      <c r="P5" s="35"/>
      <c r="Q5" s="6"/>
      <c r="R5" s="104">
        <f ca="1">J5/N31</f>
        <v>22.459649049111807</v>
      </c>
      <c r="S5" s="62">
        <f ca="1">J5/N32</f>
        <v>24.056983943589909</v>
      </c>
      <c r="T5" s="60">
        <f ca="1">(R5)/(S31*100)</f>
        <v>0.82987469322920482</v>
      </c>
      <c r="U5" s="63">
        <f ca="1">1/R5</f>
        <v>4.4524293225300694E-2</v>
      </c>
      <c r="V5" s="26"/>
      <c r="W5" s="6"/>
      <c r="X5" s="6"/>
      <c r="Y5" s="6"/>
      <c r="Z5" s="6"/>
      <c r="AA5" s="6"/>
      <c r="AB5" s="6"/>
      <c r="AC5" s="6"/>
      <c r="AD5" s="11">
        <f>AD4+(AD4*$T$10)</f>
        <v>814.8</v>
      </c>
      <c r="AE5" s="11">
        <v>1</v>
      </c>
    </row>
    <row r="6" spans="2:31" ht="15" customHeight="1" x14ac:dyDescent="0.25">
      <c r="B6" s="6"/>
      <c r="C6" s="25"/>
      <c r="D6" s="206"/>
      <c r="E6" s="206"/>
      <c r="F6" s="206"/>
      <c r="G6" s="206"/>
      <c r="H6" s="50"/>
      <c r="I6" s="40"/>
      <c r="J6" s="6"/>
      <c r="K6" s="64" t="s">
        <v>35</v>
      </c>
      <c r="L6" s="52" cm="1">
        <f t="array" ref="L6">_FV(D2,"change")</f>
        <v>1.21</v>
      </c>
      <c r="M6" s="51" cm="1">
        <f t="array" ref="M6">_FV(D2,"Change (%)",TRUE)</f>
        <v>1.0799000000000001E-2</v>
      </c>
      <c r="N6" s="6"/>
      <c r="O6" s="26"/>
      <c r="P6" s="35"/>
      <c r="Q6" s="6"/>
      <c r="R6" s="61" t="s">
        <v>57</v>
      </c>
      <c r="S6" s="61" t="s">
        <v>56</v>
      </c>
      <c r="T6" s="61" t="s">
        <v>58</v>
      </c>
      <c r="U6" s="6" t="s">
        <v>59</v>
      </c>
      <c r="V6" s="26"/>
      <c r="W6" s="6"/>
      <c r="X6" s="6"/>
      <c r="Y6" s="6"/>
      <c r="Z6" s="6"/>
      <c r="AA6" s="6"/>
      <c r="AB6" s="6"/>
      <c r="AC6" s="6"/>
      <c r="AD6" s="11">
        <f>AD5+(AD5*$T$10)</f>
        <v>855.54</v>
      </c>
      <c r="AE6" s="11">
        <v>2</v>
      </c>
    </row>
    <row r="7" spans="2:31" ht="15" customHeight="1" x14ac:dyDescent="0.25">
      <c r="B7" s="6"/>
      <c r="C7" s="25"/>
      <c r="D7" s="206"/>
      <c r="E7" s="206"/>
      <c r="F7" s="206"/>
      <c r="G7" s="206"/>
      <c r="H7" s="50"/>
      <c r="I7" s="40"/>
      <c r="J7" s="6"/>
      <c r="K7" s="6"/>
      <c r="L7" s="6"/>
      <c r="M7" s="6"/>
      <c r="N7" s="6"/>
      <c r="O7" s="26"/>
      <c r="P7" s="35"/>
      <c r="Q7" s="6"/>
      <c r="R7" s="210" t="e">
        <f ca="1">(K17*1000)/N35/N31</f>
        <v>#DIV/0!</v>
      </c>
      <c r="S7" s="210">
        <f ca="1">(K17*1000)/N28</f>
        <v>0.10840982563342318</v>
      </c>
      <c r="T7" s="210">
        <f ca="1">S7/(S32*100)</f>
        <v>3.7987525400260979E-3</v>
      </c>
      <c r="U7" s="217">
        <f ca="1">1/S7</f>
        <v>9.2242561424404332</v>
      </c>
      <c r="V7" s="26"/>
      <c r="W7" s="6"/>
      <c r="X7" s="6"/>
      <c r="Y7" s="6"/>
      <c r="Z7" s="6"/>
      <c r="AA7" s="6"/>
      <c r="AB7" s="6"/>
      <c r="AC7" s="6"/>
      <c r="AD7" s="11">
        <f>AD6+(AD6*$T$10)</f>
        <v>898.31700000000001</v>
      </c>
      <c r="AE7" s="11">
        <v>3</v>
      </c>
    </row>
    <row r="8" spans="2:31" ht="15" customHeight="1" x14ac:dyDescent="0.25">
      <c r="B8" s="6"/>
      <c r="C8" s="25"/>
      <c r="D8" s="206"/>
      <c r="E8" s="206"/>
      <c r="F8" s="206"/>
      <c r="G8" s="206"/>
      <c r="H8" s="50"/>
      <c r="I8" s="40"/>
      <c r="J8" s="53" t="s">
        <v>37</v>
      </c>
      <c r="K8" s="83" cm="1">
        <f t="array" ref="K8">_FV(D2,"52 week high",TRUE)</f>
        <v>141.33000000000001</v>
      </c>
      <c r="L8" s="213" t="s">
        <v>41</v>
      </c>
      <c r="M8" s="213"/>
      <c r="N8" s="59">
        <f ca="1">-N34/J5</f>
        <v>-0.14794906212795841</v>
      </c>
      <c r="O8" s="26"/>
      <c r="P8" s="35"/>
      <c r="Q8" s="6"/>
      <c r="R8" s="210"/>
      <c r="S8" s="210"/>
      <c r="T8" s="210"/>
      <c r="U8" s="217"/>
      <c r="V8" s="26"/>
      <c r="W8" s="6"/>
      <c r="X8" s="6"/>
      <c r="Y8" s="6"/>
      <c r="Z8" s="6"/>
      <c r="AA8" s="6"/>
      <c r="AB8" s="6"/>
      <c r="AC8" s="6"/>
      <c r="AD8" s="11">
        <f>AD7+(AD7*$T$10)</f>
        <v>943.23284999999998</v>
      </c>
      <c r="AE8" s="11">
        <v>4</v>
      </c>
    </row>
    <row r="9" spans="2:31" ht="15" customHeight="1" x14ac:dyDescent="0.25">
      <c r="B9" s="6"/>
      <c r="C9" s="25"/>
      <c r="D9" s="206"/>
      <c r="E9" s="206"/>
      <c r="F9" s="206"/>
      <c r="G9" s="206"/>
      <c r="H9" s="50"/>
      <c r="I9" s="40"/>
      <c r="J9" s="56" t="s">
        <v>38</v>
      </c>
      <c r="K9" s="83" cm="1">
        <f t="array" ref="K9">_FV(D2,"52 week low",TRUE)</f>
        <v>69.569999999999993</v>
      </c>
      <c r="L9" s="213" t="s">
        <v>42</v>
      </c>
      <c r="M9" s="213"/>
      <c r="N9" s="59">
        <f ca="1">-N34/N31</f>
        <v>-3.322884012539185</v>
      </c>
      <c r="O9" s="26"/>
      <c r="P9" s="35"/>
      <c r="Q9" s="6"/>
      <c r="R9" s="6"/>
      <c r="S9" s="40"/>
      <c r="T9" s="40"/>
      <c r="U9" s="6"/>
      <c r="V9" s="26"/>
      <c r="W9" s="6"/>
      <c r="X9" s="6"/>
      <c r="Y9" s="6"/>
      <c r="Z9" s="6"/>
      <c r="AA9" s="6"/>
      <c r="AB9" s="6"/>
      <c r="AC9" s="6"/>
      <c r="AD9" s="11">
        <f>AD8+(AD8*$T$10)</f>
        <v>990.39449249999996</v>
      </c>
      <c r="AE9" s="11">
        <v>5</v>
      </c>
    </row>
    <row r="10" spans="2:31" ht="15" customHeight="1" x14ac:dyDescent="0.25">
      <c r="B10" s="6"/>
      <c r="C10" s="25"/>
      <c r="D10" s="206"/>
      <c r="E10" s="206"/>
      <c r="F10" s="206"/>
      <c r="G10" s="206"/>
      <c r="H10" s="50"/>
      <c r="I10" s="40"/>
      <c r="J10" s="56"/>
      <c r="K10" s="53"/>
      <c r="L10" s="6"/>
      <c r="M10" s="6"/>
      <c r="N10" s="6"/>
      <c r="O10" s="26"/>
      <c r="P10" s="82"/>
      <c r="Q10" s="6"/>
      <c r="R10" s="203" t="s">
        <v>60</v>
      </c>
      <c r="S10" s="203"/>
      <c r="T10" s="70">
        <v>0.05</v>
      </c>
      <c r="U10" s="6"/>
      <c r="V10" s="26"/>
      <c r="W10" s="6"/>
      <c r="X10" s="6"/>
      <c r="Y10" s="6"/>
      <c r="Z10" s="6"/>
      <c r="AA10" s="6"/>
      <c r="AB10" s="6"/>
      <c r="AC10" s="6"/>
      <c r="AD10" s="11">
        <f>AD9+(AD9*$T$11)</f>
        <v>1089.43394175</v>
      </c>
      <c r="AE10" s="11">
        <v>6</v>
      </c>
    </row>
    <row r="11" spans="2:31" ht="15" customHeight="1" x14ac:dyDescent="0.25">
      <c r="B11" s="6"/>
      <c r="C11" s="25"/>
      <c r="D11" s="206"/>
      <c r="E11" s="206"/>
      <c r="F11" s="206"/>
      <c r="G11" s="206"/>
      <c r="H11" s="50"/>
      <c r="I11" s="40"/>
      <c r="J11" s="56"/>
      <c r="K11" s="53"/>
      <c r="L11" s="6"/>
      <c r="M11" s="6"/>
      <c r="N11" s="6"/>
      <c r="O11" s="26"/>
      <c r="P11" s="35"/>
      <c r="Q11" s="6"/>
      <c r="R11" s="203" t="s">
        <v>61</v>
      </c>
      <c r="S11" s="203"/>
      <c r="T11" s="71">
        <v>0.1</v>
      </c>
      <c r="U11" s="6"/>
      <c r="V11" s="26"/>
      <c r="W11" s="6"/>
      <c r="X11" s="6"/>
      <c r="Y11" s="6"/>
      <c r="Z11" s="6"/>
      <c r="AA11" s="6"/>
      <c r="AB11" s="6"/>
      <c r="AC11" s="6"/>
      <c r="AD11" s="11">
        <f>AD10+(AD10*$T$11)</f>
        <v>1198.3773359250001</v>
      </c>
      <c r="AE11" s="11">
        <v>7</v>
      </c>
    </row>
    <row r="12" spans="2:31" ht="15" customHeight="1" x14ac:dyDescent="0.25">
      <c r="B12" s="6"/>
      <c r="C12" s="25"/>
      <c r="D12" s="206"/>
      <c r="E12" s="206"/>
      <c r="F12" s="206"/>
      <c r="G12" s="206"/>
      <c r="H12" s="50"/>
      <c r="I12" s="40"/>
      <c r="J12" s="216" t="s">
        <v>44</v>
      </c>
      <c r="K12" s="216"/>
      <c r="L12" s="216" t="s">
        <v>43</v>
      </c>
      <c r="M12" s="216"/>
      <c r="N12" s="6"/>
      <c r="O12" s="26"/>
      <c r="P12" s="35"/>
      <c r="Q12" s="6"/>
      <c r="R12" s="203" t="s">
        <v>62</v>
      </c>
      <c r="S12" s="203"/>
      <c r="T12" s="71">
        <v>0.1</v>
      </c>
      <c r="U12" s="6"/>
      <c r="V12" s="26"/>
      <c r="W12" s="6"/>
      <c r="X12" s="6"/>
      <c r="Y12" s="6"/>
      <c r="Z12" s="6"/>
      <c r="AA12" s="6"/>
      <c r="AB12" s="6"/>
      <c r="AC12" s="6"/>
      <c r="AD12" s="11">
        <f>AD11+(AD11*$T$11)</f>
        <v>1318.2150695175001</v>
      </c>
      <c r="AE12" s="11">
        <v>8</v>
      </c>
    </row>
    <row r="13" spans="2:31" ht="15" customHeight="1" x14ac:dyDescent="0.25">
      <c r="B13" s="6"/>
      <c r="C13" s="25"/>
      <c r="D13" s="206"/>
      <c r="E13" s="206"/>
      <c r="F13" s="206"/>
      <c r="G13" s="206"/>
      <c r="H13" s="50"/>
      <c r="I13" s="40"/>
      <c r="J13" s="214" t="s">
        <v>87</v>
      </c>
      <c r="K13" s="215"/>
      <c r="L13" s="221" t="s">
        <v>87</v>
      </c>
      <c r="M13" s="221"/>
      <c r="N13" s="6"/>
      <c r="O13" s="26"/>
      <c r="P13" s="35"/>
      <c r="Q13" s="6"/>
      <c r="R13" s="203" t="s">
        <v>63</v>
      </c>
      <c r="S13" s="203"/>
      <c r="T13" s="20">
        <v>16</v>
      </c>
      <c r="U13" s="6"/>
      <c r="V13" s="26"/>
      <c r="W13" s="6"/>
      <c r="X13" s="6"/>
      <c r="Y13" s="6"/>
      <c r="Z13" s="6"/>
      <c r="AA13" s="6"/>
      <c r="AB13" s="6"/>
      <c r="AC13" s="6"/>
      <c r="AD13" s="11">
        <f>AD12+(AD12*$T$11)</f>
        <v>1450.0365764692501</v>
      </c>
      <c r="AE13" s="11">
        <v>9</v>
      </c>
    </row>
    <row r="14" spans="2:31" ht="15" customHeight="1" x14ac:dyDescent="0.25">
      <c r="B14" s="6"/>
      <c r="C14" s="25"/>
      <c r="D14" s="206"/>
      <c r="E14" s="206"/>
      <c r="F14" s="206"/>
      <c r="G14" s="206"/>
      <c r="H14" s="50"/>
      <c r="I14" s="40"/>
      <c r="J14" s="215"/>
      <c r="K14" s="215"/>
      <c r="L14" s="221"/>
      <c r="M14" s="221"/>
      <c r="N14" s="6"/>
      <c r="O14" s="26"/>
      <c r="P14" s="35"/>
      <c r="Q14" s="6"/>
      <c r="R14" s="203" t="s">
        <v>64</v>
      </c>
      <c r="S14" s="203"/>
      <c r="T14" s="72">
        <v>776</v>
      </c>
      <c r="U14" s="6"/>
      <c r="V14" s="26"/>
      <c r="W14" s="6"/>
      <c r="X14" s="6"/>
      <c r="Y14" s="6"/>
      <c r="Z14" s="6"/>
      <c r="AA14" s="6"/>
      <c r="AB14" s="6"/>
      <c r="AC14" s="6"/>
      <c r="AD14" s="11">
        <f>AD13+(AD13*$T$11)</f>
        <v>1595.040234116175</v>
      </c>
      <c r="AE14" s="11">
        <v>10</v>
      </c>
    </row>
    <row r="15" spans="2:31" ht="15" customHeight="1" x14ac:dyDescent="0.25">
      <c r="B15" s="6"/>
      <c r="C15" s="25"/>
      <c r="D15" s="206"/>
      <c r="E15" s="206"/>
      <c r="F15" s="206"/>
      <c r="G15" s="206"/>
      <c r="H15" s="40"/>
      <c r="I15" s="40"/>
      <c r="J15" s="56"/>
      <c r="K15" s="53"/>
      <c r="L15" s="6"/>
      <c r="M15" s="6"/>
      <c r="N15" s="6"/>
      <c r="O15" s="26"/>
      <c r="P15" s="35"/>
      <c r="Q15" s="6"/>
      <c r="R15" s="6"/>
      <c r="S15" s="40"/>
      <c r="T15" s="40"/>
      <c r="U15" s="6"/>
      <c r="V15" s="26"/>
      <c r="W15" s="6"/>
      <c r="X15" s="6"/>
      <c r="Y15" s="6"/>
      <c r="Z15" s="6"/>
      <c r="AA15" s="6"/>
      <c r="AB15" s="6"/>
      <c r="AC15" s="6"/>
      <c r="AD15" s="11" t="s">
        <v>65</v>
      </c>
      <c r="AE15" s="11">
        <f>AD14*T13</f>
        <v>25520.643745858801</v>
      </c>
    </row>
    <row r="16" spans="2:31" ht="15" customHeight="1" x14ac:dyDescent="0.25">
      <c r="B16" s="6"/>
      <c r="C16" s="25"/>
      <c r="D16" s="206"/>
      <c r="E16" s="206"/>
      <c r="F16" s="206"/>
      <c r="G16" s="206"/>
      <c r="H16" s="40"/>
      <c r="I16" s="40"/>
      <c r="J16" s="56"/>
      <c r="K16" s="208" t="s">
        <v>49</v>
      </c>
      <c r="L16" s="208"/>
      <c r="M16" s="6"/>
      <c r="N16" s="6"/>
      <c r="O16" s="26"/>
      <c r="P16" s="35"/>
      <c r="Q16" s="6"/>
      <c r="R16" s="164" t="s">
        <v>126</v>
      </c>
      <c r="S16" s="211" t="e">
        <f>((NPV(T12,AD5:AD13,AE15) - AE16)/N35)*R17</f>
        <v>#DIV/0!</v>
      </c>
      <c r="T16" s="211"/>
      <c r="U16" s="6" t="s">
        <v>86</v>
      </c>
      <c r="V16" s="26"/>
      <c r="W16" s="6"/>
      <c r="X16" s="6"/>
      <c r="Y16" s="6"/>
      <c r="Z16" s="6"/>
      <c r="AA16" s="6"/>
      <c r="AB16" s="6"/>
      <c r="AC16" s="6"/>
      <c r="AD16" s="11" t="s">
        <v>14</v>
      </c>
      <c r="AE16" s="73">
        <f>E73</f>
        <v>-231.45599999999999</v>
      </c>
    </row>
    <row r="17" spans="1:31" ht="19.5" customHeight="1" x14ac:dyDescent="0.25">
      <c r="B17" s="6"/>
      <c r="C17" s="25"/>
      <c r="D17" s="206"/>
      <c r="E17" s="206"/>
      <c r="F17" s="206"/>
      <c r="G17" s="206"/>
      <c r="H17" s="40"/>
      <c r="I17" s="40"/>
      <c r="J17" s="6"/>
      <c r="K17" s="209">
        <f>I2+(E73/1000)</f>
        <v>24.132027185999998</v>
      </c>
      <c r="L17" s="209"/>
      <c r="M17" s="69" t="s">
        <v>55</v>
      </c>
      <c r="N17" s="6"/>
      <c r="O17" s="26"/>
      <c r="P17" s="35"/>
      <c r="Q17" s="6"/>
      <c r="R17" s="165">
        <v>1</v>
      </c>
      <c r="S17" s="211"/>
      <c r="T17" s="211"/>
      <c r="U17" s="81" t="e">
        <f>S16/J5 -1</f>
        <v>#DIV/0!</v>
      </c>
      <c r="V17" s="26"/>
      <c r="W17" s="6"/>
      <c r="X17" s="6"/>
      <c r="Y17" s="6"/>
      <c r="Z17" s="6"/>
      <c r="AA17" s="6"/>
      <c r="AB17" s="6"/>
      <c r="AC17" s="6"/>
      <c r="AE17" s="73"/>
    </row>
    <row r="18" spans="1:31" ht="14.25" customHeight="1" x14ac:dyDescent="0.25">
      <c r="B18" s="6"/>
      <c r="C18" s="27"/>
      <c r="D18" s="45"/>
      <c r="E18" s="28"/>
      <c r="F18" s="28"/>
      <c r="G18" s="28"/>
      <c r="H18" s="46"/>
      <c r="I18" s="46"/>
      <c r="J18" s="46"/>
      <c r="K18" s="46"/>
      <c r="L18" s="28"/>
      <c r="M18" s="28"/>
      <c r="N18" s="28"/>
      <c r="O18" s="29"/>
      <c r="P18" s="35"/>
      <c r="Q18" s="28"/>
      <c r="R18" s="28"/>
      <c r="S18" s="46"/>
      <c r="T18" s="46"/>
      <c r="U18" s="28"/>
      <c r="V18" s="29"/>
      <c r="W18" s="6"/>
      <c r="X18" s="6"/>
      <c r="Y18" s="6"/>
      <c r="Z18" s="6"/>
      <c r="AA18" s="6"/>
      <c r="AB18" s="6"/>
      <c r="AC18" s="6"/>
    </row>
    <row r="19" spans="1:31" ht="37.5" customHeight="1" x14ac:dyDescent="0.25">
      <c r="B19" s="6"/>
      <c r="C19" s="6"/>
      <c r="D19" s="84"/>
      <c r="E19" s="258" t="s">
        <v>599</v>
      </c>
      <c r="F19" s="258" t="s">
        <v>598</v>
      </c>
      <c r="G19" s="258" t="s">
        <v>597</v>
      </c>
      <c r="H19" s="259" t="s">
        <v>596</v>
      </c>
      <c r="I19" s="259" t="s">
        <v>595</v>
      </c>
      <c r="J19" s="259" t="s">
        <v>594</v>
      </c>
      <c r="K19" s="259" t="s">
        <v>593</v>
      </c>
      <c r="L19" s="258" t="s">
        <v>592</v>
      </c>
      <c r="M19" s="258" t="s">
        <v>591</v>
      </c>
      <c r="N19" s="258" t="s">
        <v>55</v>
      </c>
      <c r="O19" s="6"/>
      <c r="P19" s="6"/>
      <c r="Q19" s="6"/>
      <c r="R19" s="6"/>
      <c r="S19" s="40"/>
      <c r="T19" s="40"/>
      <c r="U19" s="6"/>
      <c r="V19" s="6"/>
      <c r="W19" s="6"/>
      <c r="X19" s="6"/>
      <c r="Y19" s="6"/>
      <c r="Z19" s="6"/>
      <c r="AA19" s="6"/>
      <c r="AB19" s="6"/>
      <c r="AC19" s="6"/>
    </row>
    <row r="20" spans="1:31" s="14" customFormat="1" ht="18.95" customHeight="1" x14ac:dyDescent="0.25">
      <c r="A20" s="6"/>
      <c r="B20" s="260" t="s">
        <v>600</v>
      </c>
      <c r="C20" s="12"/>
      <c r="D20" s="1"/>
      <c r="E20" s="262" cm="1">
        <f t="array" aca="1" ref="E20" ca="1">INDIRECT($B20&amp;"!"&amp;E$19&amp;$O20)</f>
        <v>0</v>
      </c>
      <c r="F20" s="262" cm="1">
        <f t="array" aca="1" ref="F20" ca="1">INDIRECT($B20&amp;"!"&amp;F$19&amp;$O20)</f>
        <v>0</v>
      </c>
      <c r="G20" s="262" cm="1">
        <f t="array" aca="1" ref="G20" ca="1">INDIRECT($B20&amp;"!"&amp;G$19&amp;$O20)</f>
        <v>0</v>
      </c>
      <c r="H20" s="262" cm="1">
        <f t="array" aca="1" ref="H20" ca="1">INDIRECT($B20&amp;"!"&amp;H$19&amp;$O20)</f>
        <v>42735</v>
      </c>
      <c r="I20" s="262" cm="1">
        <f t="array" aca="1" ref="I20" ca="1">INDIRECT($B20&amp;"!"&amp;I$19&amp;$O20)</f>
        <v>43100</v>
      </c>
      <c r="J20" s="262" cm="1">
        <f t="array" aca="1" ref="J20" ca="1">INDIRECT($B20&amp;"!"&amp;J$19&amp;$O20)</f>
        <v>43465</v>
      </c>
      <c r="K20" s="262" cm="1">
        <f t="array" aca="1" ref="K20" ca="1">INDIRECT($B20&amp;"!"&amp;K$19&amp;$O20)</f>
        <v>43830</v>
      </c>
      <c r="L20" s="262" cm="1">
        <f t="array" aca="1" ref="L20" ca="1">INDIRECT($B20&amp;"!"&amp;L$19&amp;$O20)</f>
        <v>44196</v>
      </c>
      <c r="M20" s="262" cm="1">
        <f t="array" aca="1" ref="M20" ca="1">INDIRECT($B20&amp;"!"&amp;M$19&amp;$O20)</f>
        <v>44561</v>
      </c>
      <c r="N20" s="261" t="str" cm="1">
        <f t="array" aca="1" ref="N20" ca="1">INDIRECT($B20&amp;"!"&amp;N$19&amp;$O20)</f>
        <v>LTM</v>
      </c>
      <c r="O20" s="264">
        <v>2</v>
      </c>
      <c r="P20" s="13"/>
      <c r="Q20" s="21"/>
      <c r="R20" s="30" t="s">
        <v>24</v>
      </c>
      <c r="S20" s="30" t="s">
        <v>25</v>
      </c>
      <c r="T20" s="30" t="s">
        <v>26</v>
      </c>
      <c r="U20" s="30" t="s">
        <v>27</v>
      </c>
      <c r="V20" s="22"/>
      <c r="W20" s="13"/>
      <c r="Y20" s="13"/>
      <c r="Z20" s="13"/>
      <c r="AA20" s="13"/>
      <c r="AB20" s="13"/>
      <c r="AC20" s="13"/>
    </row>
    <row r="21" spans="1:31" s="14" customFormat="1" ht="20.100000000000001" customHeight="1" x14ac:dyDescent="0.25">
      <c r="A21" s="6"/>
      <c r="B21" s="260" t="s">
        <v>600</v>
      </c>
      <c r="C21" s="15"/>
      <c r="D21" s="3" t="s">
        <v>1</v>
      </c>
      <c r="E21" s="4" cm="1">
        <f t="array" aca="1" ref="E21" ca="1">INDIRECT($B21&amp;"!"&amp;E$19&amp;$O21)</f>
        <v>0</v>
      </c>
      <c r="F21" s="4" cm="1">
        <f t="array" aca="1" ref="F21" ca="1">INDIRECT($B21&amp;"!"&amp;F$19&amp;$O21)</f>
        <v>0</v>
      </c>
      <c r="G21" s="4" cm="1">
        <f t="array" aca="1" ref="G21" ca="1">INDIRECT($B21&amp;"!"&amp;G$19&amp;$O21)</f>
        <v>0</v>
      </c>
      <c r="H21" s="4" cm="1">
        <f t="array" aca="1" ref="H21" ca="1">INDIRECT($B21&amp;"!"&amp;H$19&amp;$O21)</f>
        <v>0</v>
      </c>
      <c r="I21" s="4" cm="1">
        <f t="array" aca="1" ref="I21" ca="1">INDIRECT($B21&amp;"!"&amp;I$19&amp;$O21)</f>
        <v>110855</v>
      </c>
      <c r="J21" s="4" cm="1">
        <f t="array" aca="1" ref="J21" ca="1">INDIRECT($B21&amp;"!"&amp;J$19&amp;$O21)</f>
        <v>136819</v>
      </c>
      <c r="K21" s="4" cm="1">
        <f t="array" aca="1" ref="K21" ca="1">INDIRECT($B21&amp;"!"&amp;K$19&amp;$O21)</f>
        <v>161857</v>
      </c>
      <c r="L21" s="4" cm="1">
        <f t="array" aca="1" ref="L21" ca="1">INDIRECT($B21&amp;"!"&amp;L$19&amp;$O21)</f>
        <v>182527</v>
      </c>
      <c r="M21" s="4" cm="1">
        <f t="array" aca="1" ref="M21" ca="1">INDIRECT($B21&amp;"!"&amp;M$19&amp;$O21)</f>
        <v>257637</v>
      </c>
      <c r="N21" s="4" cm="1">
        <f t="array" aca="1" ref="N21" ca="1">INDIRECT($B21&amp;"!"&amp;N$19&amp;$O21)</f>
        <v>282113</v>
      </c>
      <c r="O21" s="256">
        <v>11</v>
      </c>
      <c r="P21" s="13"/>
      <c r="Q21" s="23"/>
      <c r="R21" s="31">
        <f t="shared" ref="R21:R25" ca="1" si="0">IFERROR((N21/M21-1),"")</f>
        <v>9.5001882493585876E-2</v>
      </c>
      <c r="S21" s="31">
        <f t="shared" ref="S21:S25" ca="1" si="1">IFERROR(((N21/K21)^(1/3) -1),"")</f>
        <v>0.2034568897223481</v>
      </c>
      <c r="T21" s="31">
        <f t="shared" ref="T21:T25" ca="1" si="2">IFERROR(((N21/I21)^(1/5) -1),"")</f>
        <v>0.20540659319857402</v>
      </c>
      <c r="U21" s="31" t="str">
        <f t="shared" ref="U21:U25" ca="1" si="3">IFERROR(((N21/E21)^(1/9) -1),"")</f>
        <v/>
      </c>
      <c r="V21" s="24"/>
      <c r="W21" s="13"/>
      <c r="X21" s="34"/>
      <c r="Y21" s="13"/>
      <c r="Z21" s="13"/>
      <c r="AA21" s="13"/>
      <c r="AB21" s="13"/>
      <c r="AC21" s="13"/>
    </row>
    <row r="22" spans="1:31" s="14" customFormat="1" ht="20.100000000000001" customHeight="1" x14ac:dyDescent="0.25">
      <c r="A22" s="6"/>
      <c r="B22" s="260" t="s">
        <v>600</v>
      </c>
      <c r="C22" s="15"/>
      <c r="D22" s="3" t="s">
        <v>2</v>
      </c>
      <c r="E22" s="4" cm="1">
        <f t="array" aca="1" ref="E22" ca="1">INDIRECT($B22&amp;"!"&amp;E$19&amp;$O22)</f>
        <v>0</v>
      </c>
      <c r="F22" s="4" cm="1">
        <f t="array" aca="1" ref="F22" ca="1">INDIRECT($B22&amp;"!"&amp;F$19&amp;$O22)</f>
        <v>0</v>
      </c>
      <c r="G22" s="4" cm="1">
        <f t="array" aca="1" ref="G22" ca="1">INDIRECT($B22&amp;"!"&amp;G$19&amp;$O22)</f>
        <v>0</v>
      </c>
      <c r="H22" s="4" cm="1">
        <f t="array" aca="1" ref="H22" ca="1">INDIRECT($B22&amp;"!"&amp;H$19&amp;$O22)</f>
        <v>0</v>
      </c>
      <c r="I22" s="4" cm="1">
        <f t="array" aca="1" ref="I22" ca="1">INDIRECT($B22&amp;"!"&amp;I$19&amp;$O22)</f>
        <v>65272</v>
      </c>
      <c r="J22" s="4" cm="1">
        <f t="array" aca="1" ref="J22" ca="1">INDIRECT($B22&amp;"!"&amp;J$19&amp;$O22)</f>
        <v>77270</v>
      </c>
      <c r="K22" s="4" cm="1">
        <f t="array" aca="1" ref="K22" ca="1">INDIRECT($B22&amp;"!"&amp;K$19&amp;$O22)</f>
        <v>89961</v>
      </c>
      <c r="L22" s="4" cm="1">
        <f t="array" aca="1" ref="L22" ca="1">INDIRECT($B22&amp;"!"&amp;L$19&amp;$O22)</f>
        <v>97795</v>
      </c>
      <c r="M22" s="4" cm="1">
        <f t="array" aca="1" ref="M22" ca="1">INDIRECT($B22&amp;"!"&amp;M$19&amp;$O22)</f>
        <v>146698</v>
      </c>
      <c r="N22" s="4" cm="1">
        <f t="array" aca="1" ref="N22" ca="1">INDIRECT($B22&amp;"!"&amp;N$19&amp;$O22)</f>
        <v>158264</v>
      </c>
      <c r="O22" s="256">
        <v>17</v>
      </c>
      <c r="P22" s="13"/>
      <c r="Q22" s="23"/>
      <c r="R22" s="31">
        <f t="shared" ca="1" si="0"/>
        <v>7.8842247338068772E-2</v>
      </c>
      <c r="S22" s="31">
        <f t="shared" ca="1" si="1"/>
        <v>0.20719090427736875</v>
      </c>
      <c r="T22" s="31">
        <f t="shared" ca="1" si="2"/>
        <v>0.19379854042214917</v>
      </c>
      <c r="U22" s="31" t="str">
        <f t="shared" ca="1" si="3"/>
        <v/>
      </c>
      <c r="V22" s="24"/>
      <c r="W22" s="13"/>
      <c r="X22" s="34"/>
      <c r="Y22" s="13"/>
      <c r="Z22" s="13"/>
      <c r="AA22" s="13"/>
      <c r="AB22" s="13"/>
      <c r="AC22" s="13"/>
    </row>
    <row r="23" spans="1:31" s="14" customFormat="1" ht="20.100000000000001" customHeight="1" x14ac:dyDescent="0.25">
      <c r="A23" s="13"/>
      <c r="B23" s="260" t="s">
        <v>600</v>
      </c>
      <c r="C23" s="15"/>
      <c r="D23" s="3" t="s">
        <v>3</v>
      </c>
      <c r="E23" s="4" cm="1">
        <f t="array" aca="1" ref="E23" ca="1">INDIRECT($B23&amp;"!"&amp;E$19&amp;$O23)</f>
        <v>0</v>
      </c>
      <c r="F23" s="4" cm="1">
        <f t="array" aca="1" ref="F23" ca="1">INDIRECT($B23&amp;"!"&amp;F$19&amp;$O23)</f>
        <v>0</v>
      </c>
      <c r="G23" s="4" cm="1">
        <f t="array" aca="1" ref="G23" ca="1">INDIRECT($B23&amp;"!"&amp;G$19&amp;$O23)</f>
        <v>0</v>
      </c>
      <c r="H23" s="4" cm="1">
        <f t="array" aca="1" ref="H23" ca="1">INDIRECT($B23&amp;"!"&amp;H$19&amp;$O23)</f>
        <v>0</v>
      </c>
      <c r="I23" s="4" cm="1">
        <f t="array" aca="1" ref="I23" ca="1">INDIRECT($B23&amp;"!"&amp;I$19&amp;$O23)</f>
        <v>35813</v>
      </c>
      <c r="J23" s="4" cm="1">
        <f t="array" aca="1" ref="J23" ca="1">INDIRECT($B23&amp;"!"&amp;J$19&amp;$O23)</f>
        <v>41624</v>
      </c>
      <c r="K23" s="4" cm="1">
        <f t="array" aca="1" ref="K23" ca="1">INDIRECT($B23&amp;"!"&amp;K$19&amp;$O23)</f>
        <v>47579</v>
      </c>
      <c r="L23" s="4" cm="1">
        <f t="array" aca="1" ref="L23" ca="1">INDIRECT($B23&amp;"!"&amp;L$19&amp;$O23)</f>
        <v>54903</v>
      </c>
      <c r="M23" s="4" cm="1">
        <f t="array" aca="1" ref="M23" ca="1">INDIRECT($B23&amp;"!"&amp;M$19&amp;$O23)</f>
        <v>91144</v>
      </c>
      <c r="N23" s="4" cm="1">
        <f t="array" aca="1" ref="N23" ca="1">INDIRECT($B23&amp;"!"&amp;N$19&amp;$O23)</f>
        <v>93733</v>
      </c>
      <c r="O23" s="256">
        <v>77</v>
      </c>
      <c r="P23" s="13"/>
      <c r="Q23" s="23"/>
      <c r="R23" s="31">
        <f t="shared" ca="1" si="0"/>
        <v>2.8405599929781422E-2</v>
      </c>
      <c r="S23" s="31">
        <f t="shared" ca="1" si="1"/>
        <v>0.25360024715790908</v>
      </c>
      <c r="T23" s="31">
        <f t="shared" ca="1" si="2"/>
        <v>0.21218906756079137</v>
      </c>
      <c r="U23" s="31" t="str">
        <f t="shared" ca="1" si="3"/>
        <v/>
      </c>
      <c r="V23" s="24"/>
      <c r="W23" s="13"/>
      <c r="X23" s="34"/>
      <c r="Y23" s="13"/>
      <c r="Z23" s="13"/>
      <c r="AA23" s="13"/>
      <c r="AB23" s="13"/>
      <c r="AC23" s="13"/>
    </row>
    <row r="24" spans="1:31" s="14" customFormat="1" ht="20.100000000000001" customHeight="1" x14ac:dyDescent="0.25">
      <c r="A24" s="13"/>
      <c r="B24" s="260" t="s">
        <v>600</v>
      </c>
      <c r="C24" s="15"/>
      <c r="D24" s="3" t="s">
        <v>4</v>
      </c>
      <c r="E24" s="4" cm="1">
        <f t="array" aca="1" ref="E24" ca="1">INDIRECT($B24&amp;"!"&amp;E$19&amp;$O24)</f>
        <v>0</v>
      </c>
      <c r="F24" s="4" cm="1">
        <f t="array" aca="1" ref="F24" ca="1">INDIRECT($B24&amp;"!"&amp;F$19&amp;$O24)</f>
        <v>0</v>
      </c>
      <c r="G24" s="4" cm="1">
        <f t="array" aca="1" ref="G24" ca="1">INDIRECT($B24&amp;"!"&amp;G$19&amp;$O24)</f>
        <v>0</v>
      </c>
      <c r="H24" s="4" cm="1">
        <f t="array" aca="1" ref="H24" ca="1">INDIRECT($B24&amp;"!"&amp;H$19&amp;$O24)</f>
        <v>0</v>
      </c>
      <c r="I24" s="4" cm="1">
        <f t="array" aca="1" ref="I24" ca="1">INDIRECT($B24&amp;"!"&amp;I$19&amp;$O24)</f>
        <v>28914</v>
      </c>
      <c r="J24" s="4" cm="1">
        <f t="array" aca="1" ref="J24" ca="1">INDIRECT($B24&amp;"!"&amp;J$19&amp;$O24)</f>
        <v>32595</v>
      </c>
      <c r="K24" s="4" cm="1">
        <f t="array" aca="1" ref="K24" ca="1">INDIRECT($B24&amp;"!"&amp;K$19&amp;$O24)</f>
        <v>35928</v>
      </c>
      <c r="L24" s="4" cm="1">
        <f t="array" aca="1" ref="L24" ca="1">INDIRECT($B24&amp;"!"&amp;L$19&amp;$O24)</f>
        <v>41224</v>
      </c>
      <c r="M24" s="4" cm="1">
        <f t="array" aca="1" ref="M24" ca="1">INDIRECT($B24&amp;"!"&amp;M$19&amp;$O24)</f>
        <v>78714</v>
      </c>
      <c r="N24" s="4" cm="1">
        <f t="array" aca="1" ref="N24" ca="1">INDIRECT($B24&amp;"!"&amp;N$19&amp;$O24)</f>
        <v>78567</v>
      </c>
      <c r="O24" s="256">
        <v>31</v>
      </c>
      <c r="P24" s="13"/>
      <c r="Q24" s="23"/>
      <c r="R24" s="31">
        <f t="shared" ca="1" si="0"/>
        <v>-1.8675203902736026E-3</v>
      </c>
      <c r="S24" s="31">
        <f t="shared" ca="1" si="1"/>
        <v>0.29798311456421533</v>
      </c>
      <c r="T24" s="31">
        <f t="shared" ca="1" si="2"/>
        <v>0.22131136573584742</v>
      </c>
      <c r="U24" s="31" t="str">
        <f t="shared" ca="1" si="3"/>
        <v/>
      </c>
      <c r="V24" s="24"/>
      <c r="W24" s="13"/>
      <c r="X24" s="34"/>
      <c r="Y24" s="13"/>
      <c r="Z24" s="13"/>
      <c r="AA24" s="13"/>
      <c r="AB24" s="13"/>
      <c r="AC24" s="13"/>
    </row>
    <row r="25" spans="1:31" s="14" customFormat="1" ht="20.100000000000001" customHeight="1" x14ac:dyDescent="0.25">
      <c r="A25" s="13"/>
      <c r="B25" s="260" t="s">
        <v>600</v>
      </c>
      <c r="C25" s="15"/>
      <c r="D25" s="3" t="s">
        <v>5</v>
      </c>
      <c r="E25" s="4" cm="1">
        <f t="array" aca="1" ref="E25" ca="1">INDIRECT($B25&amp;"!"&amp;E$19&amp;$O25)</f>
        <v>0</v>
      </c>
      <c r="F25" s="4" cm="1">
        <f t="array" aca="1" ref="F25" ca="1">INDIRECT($B25&amp;"!"&amp;F$19&amp;$O25)</f>
        <v>0</v>
      </c>
      <c r="G25" s="4" cm="1">
        <f t="array" aca="1" ref="G25" ca="1">INDIRECT($B25&amp;"!"&amp;G$19&amp;$O25)</f>
        <v>0</v>
      </c>
      <c r="H25" s="4" cm="1">
        <f t="array" aca="1" ref="H25" ca="1">INDIRECT($B25&amp;"!"&amp;H$19&amp;$O25)</f>
        <v>0</v>
      </c>
      <c r="I25" s="4" cm="1">
        <f t="array" aca="1" ref="I25" ca="1">INDIRECT($B25&amp;"!"&amp;I$19&amp;$O25)</f>
        <v>12662</v>
      </c>
      <c r="J25" s="4" cm="1">
        <f t="array" aca="1" ref="J25" ca="1">INDIRECT($B25&amp;"!"&amp;J$19&amp;$O25)</f>
        <v>30736</v>
      </c>
      <c r="K25" s="4" cm="1">
        <f t="array" aca="1" ref="K25" ca="1">INDIRECT($B25&amp;"!"&amp;K$19&amp;$O25)</f>
        <v>34343</v>
      </c>
      <c r="L25" s="4" cm="1">
        <f t="array" aca="1" ref="L25" ca="1">INDIRECT($B25&amp;"!"&amp;L$19&amp;$O25)</f>
        <v>40269</v>
      </c>
      <c r="M25" s="4" cm="1">
        <f t="array" aca="1" ref="M25" ca="1">INDIRECT($B25&amp;"!"&amp;M$19&amp;$O25)</f>
        <v>76033</v>
      </c>
      <c r="N25" s="4" cm="1">
        <f t="array" aca="1" ref="N25" ca="1">INDIRECT($B25&amp;"!"&amp;N$19&amp;$O25)</f>
        <v>66990</v>
      </c>
      <c r="O25" s="256">
        <v>56</v>
      </c>
      <c r="P25" s="13"/>
      <c r="Q25" s="23"/>
      <c r="R25" s="31">
        <f t="shared" ca="1" si="0"/>
        <v>-0.11893519918982542</v>
      </c>
      <c r="S25" s="31">
        <f t="shared" ca="1" si="1"/>
        <v>0.24946448442966096</v>
      </c>
      <c r="T25" s="31">
        <f t="shared" ca="1" si="2"/>
        <v>0.39540904495162277</v>
      </c>
      <c r="U25" s="31" t="str">
        <f t="shared" ca="1" si="3"/>
        <v/>
      </c>
      <c r="V25" s="24"/>
      <c r="W25" s="13"/>
      <c r="X25" s="34"/>
      <c r="Y25" s="13"/>
      <c r="Z25" s="13"/>
      <c r="AA25" s="13"/>
      <c r="AB25" s="13"/>
      <c r="AC25" s="13"/>
    </row>
    <row r="26" spans="1:31" s="14" customFormat="1" ht="20.100000000000001" customHeight="1" x14ac:dyDescent="0.25">
      <c r="A26" s="13"/>
      <c r="B26" s="260" t="s">
        <v>601</v>
      </c>
      <c r="C26" s="15"/>
      <c r="D26" s="3" t="s">
        <v>11</v>
      </c>
      <c r="E26" s="4" cm="1">
        <f t="array" aca="1" ref="E26" ca="1">INDIRECT($B26&amp;"!"&amp;E$19&amp;$O26)</f>
        <v>0</v>
      </c>
      <c r="F26" s="4" cm="1">
        <f t="array" aca="1" ref="F26" ca="1">INDIRECT($B26&amp;"!"&amp;F$19&amp;$O26)</f>
        <v>0</v>
      </c>
      <c r="G26" s="4" cm="1">
        <f t="array" aca="1" ref="G26" ca="1">INDIRECT($B26&amp;"!"&amp;G$19&amp;$O26)</f>
        <v>0</v>
      </c>
      <c r="H26" s="4" cm="1">
        <f t="array" aca="1" ref="H26" ca="1">INDIRECT($B26&amp;"!"&amp;H$19&amp;$O26)</f>
        <v>0</v>
      </c>
      <c r="I26" s="4" cm="1">
        <f t="array" aca="1" ref="I26" ca="1">INDIRECT($B26&amp;"!"&amp;I$19&amp;$O26)</f>
        <v>23907</v>
      </c>
      <c r="J26" s="4" cm="1">
        <f t="array" aca="1" ref="J26" ca="1">INDIRECT($B26&amp;"!"&amp;J$19&amp;$O26)</f>
        <v>22832</v>
      </c>
      <c r="K26" s="4" cm="1">
        <f t="array" aca="1" ref="K26" ca="1">INDIRECT($B26&amp;"!"&amp;K$19&amp;$O26)</f>
        <v>30972</v>
      </c>
      <c r="L26" s="4" cm="1">
        <f t="array" aca="1" ref="L26" ca="1">INDIRECT($B26&amp;"!"&amp;L$19&amp;$O26)</f>
        <v>42843</v>
      </c>
      <c r="M26" s="4" cm="1">
        <f t="array" aca="1" ref="M26" ca="1">INDIRECT($B26&amp;"!"&amp;M$19&amp;$O26)</f>
        <v>67012</v>
      </c>
      <c r="N26" s="4" cm="1">
        <f t="array" aca="1" ref="N26" ca="1">INDIRECT($B26&amp;"!"&amp;N$19&amp;$O26)</f>
        <v>62542</v>
      </c>
      <c r="O26" s="256">
        <v>58</v>
      </c>
      <c r="P26" s="13"/>
      <c r="Q26" s="23"/>
      <c r="R26" s="31">
        <f ca="1">IFERROR((N26/M26-1),"")</f>
        <v>-6.6704470841043362E-2</v>
      </c>
      <c r="S26" s="31">
        <f ca="1">IFERROR(((N26/K26)^(1/3) -1),"")</f>
        <v>0.26396244853053341</v>
      </c>
      <c r="T26" s="31">
        <f ca="1">IFERROR(((N26/I26)^(1/5) -1),"")</f>
        <v>0.21207456204449571</v>
      </c>
      <c r="U26" s="31" t="str">
        <f ca="1">IFERROR(((N26/E26)^(1/9) -1),"")</f>
        <v/>
      </c>
      <c r="V26" s="24"/>
      <c r="W26" s="13"/>
      <c r="X26" s="34"/>
      <c r="Y26" s="13"/>
      <c r="Z26" s="13"/>
      <c r="AA26" s="13"/>
      <c r="AB26" s="13"/>
      <c r="AC26" s="13"/>
    </row>
    <row r="27" spans="1:31" s="14" customFormat="1" ht="20.100000000000001" customHeight="1" x14ac:dyDescent="0.25">
      <c r="A27" s="13"/>
      <c r="B27" s="260" t="s">
        <v>612</v>
      </c>
      <c r="C27" s="15"/>
      <c r="D27" s="3" t="s">
        <v>611</v>
      </c>
      <c r="E27" s="4" cm="1">
        <f t="array" aca="1" ref="E27" ca="1">INDIRECT($B27&amp;"!"&amp;E$19&amp;$O27)</f>
        <v>0</v>
      </c>
      <c r="F27" s="4" cm="1">
        <f t="array" aca="1" ref="F27" ca="1">INDIRECT($B27&amp;"!"&amp;F$19&amp;$O27)</f>
        <v>0</v>
      </c>
      <c r="G27" s="4" cm="1">
        <f t="array" aca="1" ref="G27" ca="1">INDIRECT($B27&amp;"!"&amp;G$19&amp;$O27)</f>
        <v>0</v>
      </c>
      <c r="H27" s="4" cm="1">
        <f t="array" aca="1" ref="H27" ca="1">INDIRECT($B27&amp;"!"&amp;H$19&amp;$O27)</f>
        <v>0</v>
      </c>
      <c r="I27" s="4" cm="1">
        <f t="array" aca="1" ref="I27" ca="1">INDIRECT($B27&amp;"!"&amp;I$19&amp;$O27)</f>
        <v>152502</v>
      </c>
      <c r="J27" s="4" cm="1">
        <f t="array" aca="1" ref="J27" ca="1">INDIRECT($B27&amp;"!"&amp;J$19&amp;$O27)</f>
        <v>177628</v>
      </c>
      <c r="K27" s="4" cm="1">
        <f t="array" aca="1" ref="K27" ca="1">INDIRECT($B27&amp;"!"&amp;K$19&amp;$O27)</f>
        <v>201442</v>
      </c>
      <c r="L27" s="4" cm="1">
        <f t="array" aca="1" ref="L27" ca="1">INDIRECT($B27&amp;"!"&amp;L$19&amp;$O27)</f>
        <v>222544</v>
      </c>
      <c r="M27" s="4" cm="1">
        <f t="array" aca="1" ref="M27" ca="1">INDIRECT($B27&amp;"!"&amp;M$19&amp;$O27)</f>
        <v>251635</v>
      </c>
      <c r="N27" s="4" cm="1">
        <f t="array" aca="1" ref="N27" ca="1">INDIRECT($B27&amp;"!"&amp;N$19&amp;$O27)</f>
        <v>253626</v>
      </c>
      <c r="O27" s="256">
        <v>68</v>
      </c>
      <c r="P27" s="13"/>
      <c r="Q27" s="23"/>
      <c r="R27" s="31"/>
      <c r="S27" s="31"/>
      <c r="T27" s="31"/>
      <c r="U27" s="31"/>
      <c r="V27" s="24"/>
      <c r="W27" s="13"/>
      <c r="X27" s="34"/>
      <c r="Y27" s="13"/>
      <c r="Z27" s="13"/>
      <c r="AA27" s="13"/>
      <c r="AB27" s="13"/>
      <c r="AC27" s="13"/>
    </row>
    <row r="28" spans="1:31" s="14" customFormat="1" ht="20.100000000000001" customHeight="1" x14ac:dyDescent="0.25">
      <c r="A28" s="13"/>
      <c r="B28" s="260" t="s">
        <v>612</v>
      </c>
      <c r="C28" s="15"/>
      <c r="D28" s="253" t="s">
        <v>438</v>
      </c>
      <c r="E28" s="254" cm="1">
        <f t="array" aca="1" ref="E28" ca="1">INDIRECT($B28&amp;"!"&amp;E$19&amp;$O28)</f>
        <v>0</v>
      </c>
      <c r="F28" s="254" cm="1">
        <f t="array" aca="1" ref="F28" ca="1">INDIRECT($B28&amp;"!"&amp;F$19&amp;$O28)</f>
        <v>0</v>
      </c>
      <c r="G28" s="254" cm="1">
        <f t="array" aca="1" ref="G28" ca="1">INDIRECT($B28&amp;"!"&amp;G$19&amp;$O28)</f>
        <v>0</v>
      </c>
      <c r="H28" s="254" cm="1">
        <f t="array" aca="1" ref="H28" ca="1">INDIRECT($B28&amp;"!"&amp;H$19&amp;$O28)</f>
        <v>0</v>
      </c>
      <c r="I28" s="254" cm="1">
        <f t="array" aca="1" ref="I28" ca="1">INDIRECT($B28&amp;"!"&amp;I$19&amp;$O28)</f>
        <v>133063</v>
      </c>
      <c r="J28" s="254" cm="1">
        <f t="array" aca="1" ref="J28" ca="1">INDIRECT($B28&amp;"!"&amp;J$19&amp;$O28)</f>
        <v>157520</v>
      </c>
      <c r="K28" s="254" cm="1">
        <f t="array" aca="1" ref="K28" ca="1">INDIRECT($B28&amp;"!"&amp;K$19&amp;$O28)</f>
        <v>178839</v>
      </c>
      <c r="L28" s="254" cm="1">
        <f t="array" aca="1" ref="L28" ca="1">INDIRECT($B28&amp;"!"&amp;L$19&amp;$O28)</f>
        <v>199924</v>
      </c>
      <c r="M28" s="254" cm="1">
        <f t="array" aca="1" ref="M28" ca="1">INDIRECT($B28&amp;"!"&amp;M$19&amp;$O28)</f>
        <v>227262</v>
      </c>
      <c r="N28" s="254" cm="1">
        <f t="array" aca="1" ref="N28" ca="1">INDIRECT($B28&amp;"!"&amp;N$19&amp;$O28)</f>
        <v>222600</v>
      </c>
      <c r="O28" s="256">
        <v>73</v>
      </c>
      <c r="P28" s="13"/>
      <c r="Q28" s="23"/>
      <c r="R28" s="31">
        <f ca="1">IFERROR((N28/M28-1),"")</f>
        <v>-2.0513768249861397E-2</v>
      </c>
      <c r="S28" s="31">
        <f ca="1">IFERROR(((N28/K28)^(1/3) -1),"")</f>
        <v>7.5691265966068899E-2</v>
      </c>
      <c r="T28" s="31">
        <f ca="1">IFERROR(((N28/I28)^(1/5) -1),"")</f>
        <v>0.1083924780969614</v>
      </c>
      <c r="U28" s="31" t="str">
        <f ca="1">IFERROR(((N28/E28)^(1/9) -1),"")</f>
        <v/>
      </c>
      <c r="V28" s="24"/>
      <c r="W28" s="13"/>
      <c r="X28" s="34"/>
      <c r="Y28" s="13"/>
      <c r="Z28" s="13"/>
      <c r="AA28" s="13"/>
      <c r="AB28" s="13"/>
      <c r="AC28" s="13"/>
    </row>
    <row r="29" spans="1:31" s="14" customFormat="1" ht="20.100000000000001" customHeight="1" x14ac:dyDescent="0.25">
      <c r="A29" s="13"/>
      <c r="B29" s="260"/>
      <c r="C29" s="15"/>
      <c r="D29" s="9" t="s">
        <v>15</v>
      </c>
      <c r="E29" s="10" t="e">
        <f ca="1">E21/E$36</f>
        <v>#DIV/0!</v>
      </c>
      <c r="F29" s="10" t="e">
        <f ca="1">F21/F$36</f>
        <v>#DIV/0!</v>
      </c>
      <c r="G29" s="10" t="e">
        <f ca="1">G21/G$36</f>
        <v>#DIV/0!</v>
      </c>
      <c r="H29" s="10" t="e">
        <f ca="1">H21/H$36</f>
        <v>#DIV/0!</v>
      </c>
      <c r="I29" s="10">
        <f ca="1">I21/I$36</f>
        <v>7.8778795424569061</v>
      </c>
      <c r="J29" s="10">
        <f ca="1">J21/J$36</f>
        <v>9.7271376468999051</v>
      </c>
      <c r="K29" s="10">
        <f ca="1">K21/K$36</f>
        <v>11.585112718235903</v>
      </c>
      <c r="L29" s="10">
        <f ca="1">L21/L$36</f>
        <v>13.283810849048365</v>
      </c>
      <c r="M29" s="10">
        <f ca="1">M21/M$36</f>
        <v>19.008918742640269</v>
      </c>
      <c r="N29" s="10">
        <f ca="1">N21/N$36</f>
        <v>21.236684399472157</v>
      </c>
      <c r="O29" s="256"/>
      <c r="P29" s="13"/>
      <c r="Q29" s="23"/>
      <c r="R29" s="31">
        <f ca="1">IFERROR((N29/M29-1),"")</f>
        <v>0.11719581145005509</v>
      </c>
      <c r="S29" s="31">
        <f ca="1">IFERROR(((N29/K29)^(1/3) -1),"")</f>
        <v>0.22385175919536215</v>
      </c>
      <c r="T29" s="31">
        <f ca="1">IFERROR(((N29/I29)^(1/5) -1),"")</f>
        <v>0.21936991434667696</v>
      </c>
      <c r="U29" s="31" t="str">
        <f ca="1">IFERROR(((N29/E29)^(1/9) -1),"")</f>
        <v/>
      </c>
      <c r="V29" s="24"/>
      <c r="W29" s="13"/>
      <c r="X29" s="34"/>
      <c r="Y29" s="13"/>
      <c r="Z29" s="13"/>
      <c r="AA29" s="13"/>
      <c r="AB29" s="13"/>
      <c r="AC29" s="13"/>
    </row>
    <row r="30" spans="1:31" s="14" customFormat="1" ht="20.100000000000001" customHeight="1" x14ac:dyDescent="0.25">
      <c r="A30" s="13"/>
      <c r="B30" s="260"/>
      <c r="C30" s="15"/>
      <c r="D30" s="3" t="s">
        <v>16</v>
      </c>
      <c r="E30" s="10" t="e">
        <f ca="1">E24/E$36</f>
        <v>#DIV/0!</v>
      </c>
      <c r="F30" s="10" t="e">
        <f ca="1">F24/F$36</f>
        <v>#DIV/0!</v>
      </c>
      <c r="G30" s="10" t="e">
        <f ca="1">G24/G$36</f>
        <v>#DIV/0!</v>
      </c>
      <c r="H30" s="10" t="e">
        <f ca="1">H24/H$36</f>
        <v>#DIV/0!</v>
      </c>
      <c r="I30" s="10">
        <f ca="1">I24/I$36</f>
        <v>2.0547653158684676</v>
      </c>
      <c r="J30" s="10">
        <f ca="1">J24/J$36</f>
        <v>2.3173393432250085</v>
      </c>
      <c r="K30" s="10">
        <f ca="1">K24/K$36</f>
        <v>2.5715905381959354</v>
      </c>
      <c r="L30" s="10">
        <f ca="1">L24/L$36</f>
        <v>3.0001688431912528</v>
      </c>
      <c r="M30" s="10">
        <f ca="1">M24/M$36</f>
        <v>5.8076597301947546</v>
      </c>
      <c r="N30" s="10">
        <f ca="1">N24/N$36</f>
        <v>5.9143059100903859</v>
      </c>
      <c r="O30" s="256"/>
      <c r="P30" s="13"/>
      <c r="Q30" s="23"/>
      <c r="R30" s="31">
        <f ca="1">IFERROR((N30/M30-1),"")</f>
        <v>1.8363021397614698E-2</v>
      </c>
      <c r="S30" s="31">
        <f ca="1">IFERROR(((N30/K30)^(1/3) -1),"")</f>
        <v>0.31997991098109457</v>
      </c>
      <c r="T30" s="31">
        <f ca="1">IFERROR(((N30/I30)^(1/5) -1),"")</f>
        <v>0.2354589263330944</v>
      </c>
      <c r="U30" s="31" t="str">
        <f ca="1">IFERROR(((N30/E30)^(1/9) -1),"")</f>
        <v/>
      </c>
      <c r="V30" s="24"/>
      <c r="W30" s="13"/>
      <c r="X30" s="34"/>
      <c r="Y30" s="13"/>
      <c r="Z30" s="13"/>
      <c r="AA30" s="13"/>
      <c r="AB30" s="13"/>
      <c r="AC30" s="13"/>
    </row>
    <row r="31" spans="1:31" s="14" customFormat="1" ht="20.100000000000001" customHeight="1" x14ac:dyDescent="0.25">
      <c r="A31" s="13"/>
      <c r="B31" s="260"/>
      <c r="C31" s="15"/>
      <c r="D31" s="3" t="s">
        <v>6</v>
      </c>
      <c r="E31" s="10" t="e">
        <f ca="1">E25/E$36</f>
        <v>#DIV/0!</v>
      </c>
      <c r="F31" s="10" t="e">
        <f ca="1">F25/F$36</f>
        <v>#DIV/0!</v>
      </c>
      <c r="G31" s="10" t="e">
        <f ca="1">G25/G$36</f>
        <v>#DIV/0!</v>
      </c>
      <c r="H31" s="10" t="e">
        <f ca="1">H25/H$36</f>
        <v>#DIV/0!</v>
      </c>
      <c r="I31" s="10">
        <f ca="1">I25/I$36</f>
        <v>0.89982148542320461</v>
      </c>
      <c r="J31" s="10">
        <f ca="1">J25/J$36</f>
        <v>2.1851738626588082</v>
      </c>
      <c r="K31" s="10">
        <f ca="1">K25/K$36</f>
        <v>2.4581422248180531</v>
      </c>
      <c r="L31" s="10">
        <f ca="1">L25/L$36</f>
        <v>2.9306665812747079</v>
      </c>
      <c r="M31" s="10">
        <f ca="1">M25/M$36</f>
        <v>5.6098507541974465</v>
      </c>
      <c r="N31" s="10">
        <f ca="1">N25/N$36</f>
        <v>5.0428214506975566</v>
      </c>
      <c r="O31" s="256"/>
      <c r="P31" s="13"/>
      <c r="Q31" s="23"/>
      <c r="R31" s="31">
        <f ca="1">IFERROR((N31/M31-1),"")</f>
        <v>-0.10107743117330226</v>
      </c>
      <c r="S31" s="31">
        <f ca="1">IFERROR(((N31/K31)^(1/3) -1),"")</f>
        <v>0.2706390402353025</v>
      </c>
      <c r="T31" s="31">
        <f ca="1">IFERROR(((N31/I31)^(1/5) -1),"")</f>
        <v>0.41157333734687551</v>
      </c>
      <c r="U31" s="31" t="str">
        <f ca="1">IFERROR(((N31/E31)^(1/9) -1),"")</f>
        <v/>
      </c>
      <c r="V31" s="24"/>
      <c r="W31" s="13"/>
      <c r="X31" s="34"/>
      <c r="Y31" s="13"/>
      <c r="Z31" s="13"/>
      <c r="AA31" s="13"/>
      <c r="AB31" s="13"/>
      <c r="AC31" s="13"/>
    </row>
    <row r="32" spans="1:31" s="14" customFormat="1" ht="20.100000000000001" customHeight="1" x14ac:dyDescent="0.25">
      <c r="A32" s="13"/>
      <c r="B32" s="260"/>
      <c r="C32" s="15"/>
      <c r="D32" s="3" t="s">
        <v>12</v>
      </c>
      <c r="E32" s="10" t="e">
        <f ca="1">E26/E$36</f>
        <v>#DIV/0!</v>
      </c>
      <c r="F32" s="10" t="e">
        <f ca="1">F26/F$36</f>
        <v>#DIV/0!</v>
      </c>
      <c r="G32" s="10" t="e">
        <f ca="1">G26/G$36</f>
        <v>#DIV/0!</v>
      </c>
      <c r="H32" s="10" t="e">
        <f ca="1">H26/H$36</f>
        <v>#DIV/0!</v>
      </c>
      <c r="I32" s="10">
        <f ca="1">I26/I$36</f>
        <v>1.698944262518761</v>
      </c>
      <c r="J32" s="10">
        <f ca="1">J26/J$36</f>
        <v>1.6232395117199996</v>
      </c>
      <c r="K32" s="10">
        <f ca="1">K26/K$36</f>
        <v>2.216858777249068</v>
      </c>
      <c r="L32" s="10">
        <f ca="1">L26/L$36</f>
        <v>3.1179951908801389</v>
      </c>
      <c r="M32" s="10">
        <f ca="1">M26/M$36</f>
        <v>4.9442652366772224</v>
      </c>
      <c r="N32" s="10">
        <f ca="1">N26/N$36</f>
        <v>4.7079883440741392</v>
      </c>
      <c r="O32" s="256"/>
      <c r="P32" s="13"/>
      <c r="Q32" s="23"/>
      <c r="R32" s="31">
        <f ca="1">IFERROR((N32/M32-1),"")</f>
        <v>-4.7788069873426209E-2</v>
      </c>
      <c r="S32" s="31">
        <f ca="1">IFERROR(((N32/K32)^(1/3) -1),"")</f>
        <v>0.28538269995517629</v>
      </c>
      <c r="T32" s="31">
        <f ca="1">IFERROR(((N32/I32)^(1/5) -1),"")</f>
        <v>0.22611512434170677</v>
      </c>
      <c r="U32" s="31" t="str">
        <f ca="1">IFERROR(((N32/E32)^(1/9) -1),"")</f>
        <v/>
      </c>
      <c r="V32" s="24"/>
      <c r="W32" s="13"/>
      <c r="X32" s="34"/>
      <c r="Y32" s="13"/>
      <c r="Z32" s="13"/>
      <c r="AA32" s="13"/>
      <c r="AB32" s="13"/>
      <c r="AC32" s="13"/>
    </row>
    <row r="33" spans="1:29" s="14" customFormat="1" ht="20.100000000000001" customHeight="1" x14ac:dyDescent="0.25">
      <c r="A33" s="13"/>
      <c r="B33" s="260"/>
      <c r="C33" s="15"/>
      <c r="D33" s="3" t="s">
        <v>613</v>
      </c>
      <c r="E33" s="10" t="e">
        <f ca="1">E27/E$36</f>
        <v>#DIV/0!</v>
      </c>
      <c r="F33" s="10" t="e">
        <f ca="1">F27/F$36</f>
        <v>#DIV/0!</v>
      </c>
      <c r="G33" s="10" t="e">
        <f ca="1">G27/G$36</f>
        <v>#DIV/0!</v>
      </c>
      <c r="H33" s="10" t="e">
        <f ca="1">H27/H$36</f>
        <v>#DIV/0!</v>
      </c>
      <c r="I33" s="10">
        <f ca="1">I27/I$36</f>
        <v>10.83751193887297</v>
      </c>
      <c r="J33" s="10">
        <f ca="1">J27/J$36</f>
        <v>12.628450770313599</v>
      </c>
      <c r="K33" s="10">
        <f ca="1">K27/K$36</f>
        <v>14.418457503764909</v>
      </c>
      <c r="L33" s="10">
        <f ca="1">L27/L$36</f>
        <v>16.196137566445618</v>
      </c>
      <c r="M33" s="10">
        <f ca="1">M27/M$36</f>
        <v>18.566080445760058</v>
      </c>
      <c r="N33" s="10">
        <f ca="1">N27/N$36</f>
        <v>19.092262027983558</v>
      </c>
      <c r="O33" s="256"/>
      <c r="P33" s="13"/>
      <c r="Q33" s="23"/>
      <c r="R33" s="31"/>
      <c r="S33" s="31"/>
      <c r="T33" s="31"/>
      <c r="U33" s="31"/>
      <c r="V33" s="24"/>
      <c r="W33" s="13"/>
      <c r="X33" s="34"/>
      <c r="Y33" s="13"/>
      <c r="Z33" s="13"/>
      <c r="AA33" s="13"/>
      <c r="AB33" s="13"/>
      <c r="AC33" s="13"/>
    </row>
    <row r="34" spans="1:29" s="14" customFormat="1" ht="20.100000000000001" customHeight="1" x14ac:dyDescent="0.25">
      <c r="A34" s="13"/>
      <c r="B34" s="260"/>
      <c r="C34" s="15"/>
      <c r="D34" s="253" t="s">
        <v>614</v>
      </c>
      <c r="E34" s="263" t="e">
        <f ca="1">E28/E$36</f>
        <v>#DIV/0!</v>
      </c>
      <c r="F34" s="263" t="e">
        <f ca="1">F28/F$36</f>
        <v>#DIV/0!</v>
      </c>
      <c r="G34" s="263" t="e">
        <f ca="1">G28/G$36</f>
        <v>#DIV/0!</v>
      </c>
      <c r="H34" s="263" t="e">
        <f ca="1">H28/H$36</f>
        <v>#DIV/0!</v>
      </c>
      <c r="I34" s="263">
        <f ca="1">I28/I$36</f>
        <v>9.4560848455905759</v>
      </c>
      <c r="J34" s="263">
        <f ca="1">J28/J$36</f>
        <v>11.198873856260263</v>
      </c>
      <c r="K34" s="263">
        <f ca="1">K28/K$36</f>
        <v>12.800620136395649</v>
      </c>
      <c r="L34" s="263">
        <f ca="1">L28/L$36</f>
        <v>14.549916451731226</v>
      </c>
      <c r="M34" s="263">
        <f ca="1">M28/M$36</f>
        <v>16.767796905296649</v>
      </c>
      <c r="N34" s="263">
        <f ca="1">N28/N$36</f>
        <v>16.756710776612572</v>
      </c>
      <c r="O34" s="256"/>
      <c r="P34" s="13"/>
      <c r="Q34" s="23"/>
      <c r="R34" s="31">
        <f ca="1">IFERROR((N34/M34-1),"")</f>
        <v>-6.6115594950788559E-4</v>
      </c>
      <c r="S34" s="31">
        <f ca="1">IFERROR(((N34/K34)^(1/3) -1),"")</f>
        <v>9.3920903562560332E-2</v>
      </c>
      <c r="T34" s="31">
        <f ca="1">IFERROR(((N34/I34)^(1/5) -1),"")</f>
        <v>0.1212319964944355</v>
      </c>
      <c r="U34" s="31" t="str">
        <f ca="1">IFERROR(((N34/E34)^(1/9) -1),"")</f>
        <v/>
      </c>
      <c r="V34" s="24"/>
      <c r="W34" s="13"/>
      <c r="X34" s="34"/>
      <c r="Y34" s="13"/>
      <c r="Z34" s="13"/>
      <c r="AA34" s="13"/>
      <c r="AB34" s="13"/>
      <c r="AC34" s="13"/>
    </row>
    <row r="35" spans="1:29" s="14" customFormat="1" ht="20.100000000000001" customHeight="1" x14ac:dyDescent="0.25">
      <c r="A35" s="13"/>
      <c r="B35" s="260"/>
      <c r="C35" s="15"/>
      <c r="D35" s="9"/>
      <c r="E35" s="10"/>
      <c r="F35" s="10"/>
      <c r="G35" s="10"/>
      <c r="H35" s="10"/>
      <c r="I35" s="10"/>
      <c r="J35" s="10"/>
      <c r="K35" s="10"/>
      <c r="L35" s="10"/>
      <c r="M35" s="10"/>
      <c r="N35" s="10"/>
      <c r="O35" s="256"/>
      <c r="P35" s="13"/>
      <c r="Q35" s="23"/>
      <c r="R35" s="31" t="str">
        <f>IFERROR((N35/M35-1),"")</f>
        <v/>
      </c>
      <c r="S35" s="31" t="str">
        <f>IFERROR(((N35/K35)^(1/3) -1),"")</f>
        <v/>
      </c>
      <c r="T35" s="31" t="str">
        <f>IFERROR(((N35/I35)^(1/5) -1),"")</f>
        <v/>
      </c>
      <c r="U35" s="31" t="str">
        <f>IFERROR(((N35/E35)^(1/9) -1),"")</f>
        <v/>
      </c>
      <c r="V35" s="24"/>
      <c r="W35" s="13"/>
      <c r="X35" s="34"/>
      <c r="Y35" s="13"/>
      <c r="Z35" s="13"/>
      <c r="AA35" s="13"/>
      <c r="AB35" s="13"/>
      <c r="AC35" s="13"/>
    </row>
    <row r="36" spans="1:29" s="14" customFormat="1" ht="20.100000000000001" customHeight="1" x14ac:dyDescent="0.25">
      <c r="A36" s="13"/>
      <c r="B36" s="260" t="s">
        <v>600</v>
      </c>
      <c r="C36" s="15"/>
      <c r="D36" s="3" t="s">
        <v>28</v>
      </c>
      <c r="E36" s="4" cm="1">
        <f t="array" aca="1" ref="E36" ca="1">INDIRECT($B36&amp;"!"&amp;E$19&amp;$O36)</f>
        <v>0</v>
      </c>
      <c r="F36" s="4" cm="1">
        <f t="array" aca="1" ref="F36" ca="1">INDIRECT($B36&amp;"!"&amp;F$19&amp;$O36)</f>
        <v>0</v>
      </c>
      <c r="G36" s="4" cm="1">
        <f t="array" aca="1" ref="G36" ca="1">INDIRECT($B36&amp;"!"&amp;G$19&amp;$O36)</f>
        <v>0</v>
      </c>
      <c r="H36" s="4" cm="1">
        <f t="array" aca="1" ref="H36" ca="1">INDIRECT($B36&amp;"!"&amp;H$19&amp;$O36)</f>
        <v>0</v>
      </c>
      <c r="I36" s="4" cm="1">
        <f t="array" aca="1" ref="I36" ca="1">INDIRECT($B36&amp;"!"&amp;I$19&amp;$O36)</f>
        <v>14071.68</v>
      </c>
      <c r="J36" s="4" cm="1">
        <f t="array" aca="1" ref="J36" ca="1">INDIRECT($B36&amp;"!"&amp;J$19&amp;$O36)</f>
        <v>14065.7</v>
      </c>
      <c r="K36" s="4" cm="1">
        <f t="array" aca="1" ref="K36" ca="1">INDIRECT($B36&amp;"!"&amp;K$19&amp;$O36)</f>
        <v>13971.12</v>
      </c>
      <c r="L36" s="4" cm="1">
        <f t="array" aca="1" ref="L36" ca="1">INDIRECT($B36&amp;"!"&amp;L$19&amp;$O36)</f>
        <v>13740.56</v>
      </c>
      <c r="M36" s="4" cm="1">
        <f t="array" aca="1" ref="M36" ca="1">INDIRECT($B36&amp;"!"&amp;M$19&amp;$O36)</f>
        <v>13553.48</v>
      </c>
      <c r="N36" s="4" cm="1">
        <f t="array" aca="1" ref="N36" ca="1">INDIRECT($B36&amp;"!"&amp;N$19&amp;$O36)</f>
        <v>13284.23</v>
      </c>
      <c r="O36" s="256">
        <v>65</v>
      </c>
      <c r="P36" s="13"/>
      <c r="Q36" s="23"/>
      <c r="R36" s="31">
        <f ca="1">IFERROR((N36/M36-1),"")</f>
        <v>-1.9865746656947181E-2</v>
      </c>
      <c r="S36" s="31">
        <f ca="1">IFERROR(((N36/K36)^(1/3) -1),"")</f>
        <v>-1.6664493325909691E-2</v>
      </c>
      <c r="T36" s="31">
        <f ca="1">IFERROR(((N36/I36)^(1/5) -1),"")</f>
        <v>-1.1451259362573629E-2</v>
      </c>
      <c r="U36" s="31" t="str">
        <f ca="1">IFERROR(((N36/E36)^(1/9) -1),"")</f>
        <v/>
      </c>
      <c r="V36" s="24"/>
      <c r="W36" s="13"/>
      <c r="X36" s="36"/>
      <c r="Y36" s="13"/>
      <c r="Z36" s="13"/>
      <c r="AA36" s="13"/>
      <c r="AB36" s="13"/>
      <c r="AC36" s="13"/>
    </row>
    <row r="37" spans="1:29" ht="20.100000000000001" customHeight="1" x14ac:dyDescent="0.25">
      <c r="B37" s="260" t="s">
        <v>600</v>
      </c>
      <c r="C37" s="15"/>
      <c r="D37" s="3" t="s">
        <v>17</v>
      </c>
      <c r="E37" s="4" cm="1">
        <f t="array" aca="1" ref="E37" ca="1">INDIRECT($B37&amp;"!"&amp;E$19&amp;$O37)</f>
        <v>0</v>
      </c>
      <c r="F37" s="4" cm="1">
        <f t="array" aca="1" ref="F37" ca="1">INDIRECT($B37&amp;"!"&amp;F$19&amp;$O37)</f>
        <v>0</v>
      </c>
      <c r="G37" s="4" cm="1">
        <f t="array" aca="1" ref="G37" ca="1">INDIRECT($B37&amp;"!"&amp;G$19&amp;$O37)</f>
        <v>0</v>
      </c>
      <c r="H37" s="4" cm="1">
        <f t="array" aca="1" ref="H37" ca="1">INDIRECT($B37&amp;"!"&amp;H$19&amp;$O37)</f>
        <v>0</v>
      </c>
      <c r="I37" s="4" cm="1">
        <f t="array" aca="1" ref="I37" ca="1">INDIRECT($B37&amp;"!"&amp;I$19&amp;$O37)</f>
        <v>0</v>
      </c>
      <c r="J37" s="4" cm="1">
        <f t="array" aca="1" ref="J37" ca="1">INDIRECT($B37&amp;"!"&amp;J$19&amp;$O37)</f>
        <v>0</v>
      </c>
      <c r="K37" s="4" cm="1">
        <f t="array" aca="1" ref="K37" ca="1">INDIRECT($B37&amp;"!"&amp;K$19&amp;$O37)</f>
        <v>0</v>
      </c>
      <c r="L37" s="4" cm="1">
        <f t="array" aca="1" ref="L37" ca="1">INDIRECT($B37&amp;"!"&amp;L$19&amp;$O37)</f>
        <v>0</v>
      </c>
      <c r="M37" s="4" cm="1">
        <f t="array" aca="1" ref="M37" ca="1">INDIRECT($B37&amp;"!"&amp;M$19&amp;$O37)</f>
        <v>0</v>
      </c>
      <c r="N37" s="4" cm="1">
        <f t="array" aca="1" ref="N37" ca="1">INDIRECT($B37&amp;"!"&amp;N$19&amp;$O37)</f>
        <v>0</v>
      </c>
      <c r="O37" s="256">
        <v>69</v>
      </c>
      <c r="P37" s="6"/>
      <c r="Q37" s="25"/>
      <c r="R37" s="31" t="str">
        <f ca="1">IFERROR((N37/M37-1),"")</f>
        <v/>
      </c>
      <c r="S37" s="31" t="str">
        <f ca="1">IFERROR(((N37/K37)^(1/3) -1),"")</f>
        <v/>
      </c>
      <c r="T37" s="31" t="str">
        <f ca="1">IFERROR(((N37/I37)^(1/5) -1),"")</f>
        <v/>
      </c>
      <c r="U37" s="31" t="str">
        <f ca="1">IFERROR(((N37/E37)^(1/9) -1),"")</f>
        <v/>
      </c>
      <c r="V37" s="26"/>
      <c r="W37" s="6"/>
      <c r="X37" s="36"/>
      <c r="Y37" s="6"/>
      <c r="Z37" s="6"/>
      <c r="AA37" s="6"/>
      <c r="AB37" s="6"/>
      <c r="AC37" s="6"/>
    </row>
    <row r="38" spans="1:29" ht="20.100000000000001" customHeight="1" x14ac:dyDescent="0.25">
      <c r="B38" s="6"/>
      <c r="C38" s="16"/>
      <c r="D38" s="79"/>
      <c r="E38" s="80"/>
      <c r="F38" s="80"/>
      <c r="G38" s="80"/>
      <c r="H38" s="80"/>
      <c r="I38" s="80"/>
      <c r="J38" s="80"/>
      <c r="K38" s="80"/>
      <c r="L38" s="80"/>
      <c r="M38" s="80"/>
      <c r="N38" s="80"/>
      <c r="O38" s="5"/>
      <c r="P38" s="6"/>
      <c r="Q38" s="25"/>
      <c r="R38" s="6"/>
      <c r="S38" s="6"/>
      <c r="T38" s="6"/>
      <c r="U38" s="6"/>
      <c r="V38" s="26"/>
      <c r="W38" s="6"/>
      <c r="X38" s="6"/>
      <c r="Y38" s="6"/>
      <c r="Z38" s="6"/>
      <c r="AA38" s="6"/>
      <c r="AB38" s="6"/>
      <c r="AC38" s="6"/>
    </row>
    <row r="39" spans="1:29" ht="20.100000000000001" customHeight="1" x14ac:dyDescent="0.25">
      <c r="B39" s="6"/>
      <c r="C39" s="16"/>
      <c r="D39" s="7"/>
      <c r="E39" s="6">
        <v>2013</v>
      </c>
      <c r="F39" s="6">
        <v>2014</v>
      </c>
      <c r="G39" s="6">
        <v>2015</v>
      </c>
      <c r="H39" s="32">
        <v>2016</v>
      </c>
      <c r="I39" s="6">
        <v>2017</v>
      </c>
      <c r="J39" s="6">
        <v>2018</v>
      </c>
      <c r="K39" s="6">
        <v>2019</v>
      </c>
      <c r="L39" s="6">
        <v>2020</v>
      </c>
      <c r="M39" s="32">
        <v>2021</v>
      </c>
      <c r="N39" s="163" t="s">
        <v>125</v>
      </c>
      <c r="P39" s="6"/>
      <c r="Q39" s="25"/>
      <c r="R39" s="6"/>
      <c r="S39" s="6"/>
      <c r="T39" s="6"/>
      <c r="U39" s="6"/>
      <c r="V39" s="26"/>
      <c r="W39" s="6"/>
      <c r="X39" s="6"/>
      <c r="Y39" s="6"/>
      <c r="Z39" s="6"/>
      <c r="AA39" s="6"/>
      <c r="AB39" s="6"/>
      <c r="AC39" s="6"/>
    </row>
    <row r="40" spans="1:29" ht="20.100000000000001" customHeight="1" x14ac:dyDescent="0.25">
      <c r="B40" s="6"/>
      <c r="C40" s="16"/>
      <c r="D40" s="1" t="s">
        <v>29</v>
      </c>
      <c r="E40" s="2">
        <v>100</v>
      </c>
      <c r="F40" s="2">
        <v>100</v>
      </c>
      <c r="G40" s="2">
        <v>100</v>
      </c>
      <c r="H40" s="2">
        <v>100</v>
      </c>
      <c r="I40" s="2">
        <v>100</v>
      </c>
      <c r="J40" s="2">
        <v>100</v>
      </c>
      <c r="K40" s="2">
        <v>100</v>
      </c>
      <c r="L40" s="2">
        <v>100</v>
      </c>
      <c r="M40" s="2">
        <v>100</v>
      </c>
      <c r="N40" s="2">
        <v>100</v>
      </c>
      <c r="O40" s="5"/>
      <c r="P40" s="6"/>
      <c r="Q40" s="25"/>
      <c r="R40" s="31">
        <f t="shared" ref="R40:R50" si="4">IFERROR((N40/M40-1),"")</f>
        <v>0</v>
      </c>
      <c r="S40" s="31">
        <f t="shared" ref="S40:S50" si="5">IFERROR(((N40/K40)^(1/3) -1),"")</f>
        <v>0</v>
      </c>
      <c r="T40" s="31">
        <f t="shared" ref="T40:T50" si="6">IFERROR(((N40/I40)^(1/5) -1),"")</f>
        <v>0</v>
      </c>
      <c r="U40" s="31">
        <f t="shared" ref="U40:U50" si="7">IFERROR(((N40/E40)^(1/9) -1),"")</f>
        <v>0</v>
      </c>
      <c r="V40" s="26"/>
      <c r="W40" s="6"/>
      <c r="X40" s="37"/>
      <c r="Y40" s="6"/>
      <c r="Z40" s="6"/>
      <c r="AA40" s="6"/>
      <c r="AB40" s="6"/>
      <c r="AC40" s="6"/>
    </row>
    <row r="41" spans="1:29" ht="20.100000000000001" customHeight="1" x14ac:dyDescent="0.25">
      <c r="B41" s="6"/>
      <c r="C41" s="16"/>
      <c r="D41" s="8" t="s">
        <v>81</v>
      </c>
      <c r="E41" s="265" t="e">
        <f ca="1">E22/E21</f>
        <v>#DIV/0!</v>
      </c>
      <c r="F41" s="265" t="e">
        <f ca="1">F22/F21</f>
        <v>#DIV/0!</v>
      </c>
      <c r="G41" s="265" t="e">
        <f ca="1">G22/G21</f>
        <v>#DIV/0!</v>
      </c>
      <c r="H41" s="265" t="e">
        <f ca="1">H22/H21</f>
        <v>#DIV/0!</v>
      </c>
      <c r="I41" s="265">
        <f ca="1">I22/I21</f>
        <v>0.58880519597672631</v>
      </c>
      <c r="J41" s="265">
        <f ca="1">J22/J21</f>
        <v>0.5647607422945643</v>
      </c>
      <c r="K41" s="265">
        <f ca="1">K22/K21</f>
        <v>0.5558054331910266</v>
      </c>
      <c r="L41" s="265">
        <f ca="1">L22/L21</f>
        <v>0.53578374706207854</v>
      </c>
      <c r="M41" s="265">
        <f ca="1">M22/M21</f>
        <v>0.5693980290098084</v>
      </c>
      <c r="N41" s="265">
        <f ca="1">N22/N21</f>
        <v>0.56099506226228502</v>
      </c>
      <c r="O41" s="5"/>
      <c r="P41" s="6"/>
      <c r="Q41" s="25"/>
      <c r="R41" s="31">
        <f t="shared" ca="1" si="4"/>
        <v>-1.4757632305359869E-2</v>
      </c>
      <c r="S41" s="31">
        <f t="shared" ca="1" si="5"/>
        <v>3.1027406024342064E-3</v>
      </c>
      <c r="T41" s="31">
        <f t="shared" ca="1" si="6"/>
        <v>-9.629989450798071E-3</v>
      </c>
      <c r="U41" s="31" t="str">
        <f t="shared" ca="1" si="7"/>
        <v/>
      </c>
      <c r="V41" s="26"/>
      <c r="W41" s="6"/>
      <c r="X41" s="37"/>
      <c r="Y41" s="6"/>
      <c r="Z41" s="6"/>
      <c r="AA41" s="6"/>
      <c r="AB41" s="6"/>
      <c r="AC41" s="6"/>
    </row>
    <row r="42" spans="1:29" ht="20.100000000000001" customHeight="1" x14ac:dyDescent="0.25">
      <c r="B42" s="260" t="s">
        <v>600</v>
      </c>
      <c r="C42" s="16"/>
      <c r="D42" s="3" t="s">
        <v>19</v>
      </c>
      <c r="E42" s="31" t="e" cm="1">
        <f t="array" aca="1" ref="E42" ca="1">INDIRECT($B42&amp;"!"&amp;E$19&amp;$O42)/E21</f>
        <v>#DIV/0!</v>
      </c>
      <c r="F42" s="31" t="e" cm="1">
        <f t="array" aca="1" ref="F42" ca="1">INDIRECT($B42&amp;"!"&amp;F$19&amp;$O42)/F21</f>
        <v>#DIV/0!</v>
      </c>
      <c r="G42" s="31" t="e" cm="1">
        <f t="array" aca="1" ref="G42" ca="1">INDIRECT($B42&amp;"!"&amp;G$19&amp;$O42)/G21</f>
        <v>#DIV/0!</v>
      </c>
      <c r="H42" s="31" t="e" cm="1">
        <f t="array" aca="1" ref="H42" ca="1">INDIRECT($B42&amp;"!"&amp;H$19&amp;$O42)/H21</f>
        <v>#DIV/0!</v>
      </c>
      <c r="I42" s="31" cm="1">
        <f t="array" aca="1" ref="I42" ca="1">INDIRECT($B42&amp;"!"&amp;I$19&amp;$O42)/I21</f>
        <v>-0.14997068242298497</v>
      </c>
      <c r="J42" s="31" cm="1">
        <f t="array" aca="1" ref="J42" ca="1">INDIRECT($B42&amp;"!"&amp;J$19&amp;$O42)/J21</f>
        <v>-0.15654989438601363</v>
      </c>
      <c r="K42" s="31" cm="1">
        <f t="array" aca="1" ref="K42" ca="1">INDIRECT($B42&amp;"!"&amp;K$19&amp;$O42)/K21</f>
        <v>-0.16074683208016954</v>
      </c>
      <c r="L42" s="31" cm="1">
        <f t="array" aca="1" ref="L42" ca="1">INDIRECT($B42&amp;"!"&amp;L$19&amp;$O42)/L21</f>
        <v>-0.15106258252203783</v>
      </c>
      <c r="M42" s="31" cm="1">
        <f t="array" aca="1" ref="M42" ca="1">INDIRECT($B42&amp;"!"&amp;M$19&amp;$O42)/M21</f>
        <v>-0.12250569599863374</v>
      </c>
      <c r="N42" s="31" cm="1">
        <f t="array" aca="1" ref="N42" ca="1">INDIRECT($B42&amp;"!"&amp;N$19&amp;$O42)/N$21</f>
        <v>-0.13448866234452153</v>
      </c>
      <c r="O42" s="257">
        <v>25</v>
      </c>
      <c r="P42" s="258"/>
      <c r="Q42" s="25"/>
      <c r="R42" s="31">
        <f t="shared" ca="1" si="4"/>
        <v>9.7815585211820988E-2</v>
      </c>
      <c r="S42" s="31">
        <f t="shared" ca="1" si="5"/>
        <v>-5.7717590642217154E-2</v>
      </c>
      <c r="T42" s="31">
        <f t="shared" ca="1" si="6"/>
        <v>-2.1556254910992778E-2</v>
      </c>
      <c r="U42" s="31" t="str">
        <f t="shared" ca="1" si="7"/>
        <v/>
      </c>
      <c r="V42" s="26"/>
      <c r="W42" s="6"/>
      <c r="X42" s="37"/>
      <c r="Y42" s="6"/>
      <c r="Z42" s="6"/>
      <c r="AA42" s="6"/>
      <c r="AB42" s="6"/>
      <c r="AC42" s="6"/>
    </row>
    <row r="43" spans="1:29" ht="20.100000000000001" customHeight="1" x14ac:dyDescent="0.25">
      <c r="B43" s="260" t="s">
        <v>600</v>
      </c>
      <c r="C43" s="16"/>
      <c r="D43" s="3" t="s">
        <v>20</v>
      </c>
      <c r="E43" s="31" t="e" cm="1">
        <f t="array" aca="1" ref="E43" ca="1">INDIRECT($B43&amp;"!"&amp;E$19&amp;$O43)/E21</f>
        <v>#DIV/0!</v>
      </c>
      <c r="F43" s="31" t="e" cm="1">
        <f t="array" aca="1" ref="F43" ca="1">INDIRECT($B43&amp;"!"&amp;F$19&amp;$O43)/F21</f>
        <v>#DIV/0!</v>
      </c>
      <c r="G43" s="31" t="e" cm="1">
        <f t="array" aca="1" ref="G43" ca="1">INDIRECT($B43&amp;"!"&amp;G$19&amp;$O43)/G21</f>
        <v>#DIV/0!</v>
      </c>
      <c r="H43" s="31" t="e" cm="1">
        <f t="array" aca="1" ref="H43" ca="1">INDIRECT($B43&amp;"!"&amp;H$19&amp;$O43)/H21</f>
        <v>#DIV/0!</v>
      </c>
      <c r="I43" s="31" cm="1">
        <f t="array" aca="1" ref="I43" ca="1">INDIRECT($B43&amp;"!"&amp;I$19&amp;$O43)/I21</f>
        <v>-0.17800730684227142</v>
      </c>
      <c r="J43" s="31" cm="1">
        <f t="array" aca="1" ref="J43" ca="1">INDIRECT($B43&amp;"!"&amp;J$19&amp;$O43)/J21</f>
        <v>-0.16997639216775448</v>
      </c>
      <c r="K43" s="31" cm="1">
        <f t="array" aca="1" ref="K43" ca="1">INDIRECT($B43&amp;"!"&amp;K$19&amp;$O43)/K21</f>
        <v>-0.17308488357006493</v>
      </c>
      <c r="L43" s="31" cm="1">
        <f t="array" aca="1" ref="L43" ca="1">INDIRECT($B43&amp;"!"&amp;L$19&amp;$O43)/L21</f>
        <v>-0.15886964668240863</v>
      </c>
      <c r="M43" s="31" cm="1">
        <f t="array" aca="1" ref="M43" ca="1">INDIRECT($B43&amp;"!"&amp;M$19&amp;$O43)/M21</f>
        <v>-0.14136944615874272</v>
      </c>
      <c r="N43" s="31" cm="1">
        <f t="array" aca="1" ref="N43" ca="1">INDIRECT($B43&amp;"!"&amp;N$19&amp;$O43)/N21</f>
        <v>-0.14801161236809363</v>
      </c>
      <c r="O43" s="257">
        <v>20</v>
      </c>
      <c r="P43" s="258"/>
      <c r="Q43" s="25"/>
      <c r="R43" s="31">
        <f t="shared" ca="1" si="4"/>
        <v>4.6984453782838331E-2</v>
      </c>
      <c r="S43" s="31">
        <f t="shared" ca="1" si="5"/>
        <v>-5.0826619860139366E-2</v>
      </c>
      <c r="T43" s="31">
        <f t="shared" ca="1" si="6"/>
        <v>-3.6234020115650911E-2</v>
      </c>
      <c r="U43" s="31" t="str">
        <f t="shared" ca="1" si="7"/>
        <v/>
      </c>
      <c r="V43" s="26"/>
      <c r="W43" s="6"/>
      <c r="X43" s="37"/>
      <c r="Y43" s="6"/>
      <c r="Z43" s="6"/>
      <c r="AA43" s="6"/>
      <c r="AB43" s="6"/>
      <c r="AC43" s="6"/>
    </row>
    <row r="44" spans="1:29" ht="20.100000000000001" customHeight="1" x14ac:dyDescent="0.25">
      <c r="B44" s="260" t="s">
        <v>600</v>
      </c>
      <c r="C44" s="16"/>
      <c r="D44" s="3" t="s">
        <v>21</v>
      </c>
      <c r="E44" s="31" t="e">
        <f ca="1">SUM(INDIRECT($B44&amp;"!"&amp;E$19&amp;$P44&amp;":"&amp;E$19&amp;$O44))/E$21</f>
        <v>#DIV/0!</v>
      </c>
      <c r="F44" s="31" t="e">
        <f ca="1">SUM(INDIRECT($B44&amp;"!"&amp;F$19&amp;$P44&amp;":"&amp;F$19&amp;$O44))/F$21</f>
        <v>#DIV/0!</v>
      </c>
      <c r="G44" s="31" t="e">
        <f ca="1">SUM(INDIRECT($B44&amp;"!"&amp;G$19&amp;$P44&amp;":"&amp;G$19&amp;$O44))/G$21</f>
        <v>#DIV/0!</v>
      </c>
      <c r="H44" s="31" t="e">
        <f ca="1">SUM(INDIRECT($B44&amp;"!"&amp;H$19&amp;$P44&amp;":"&amp;H$19&amp;$O44))/H$21</f>
        <v>#DIV/0!</v>
      </c>
      <c r="I44" s="31">
        <f ca="1">SUM(INDIRECT($B44&amp;"!"&amp;I$19&amp;$P44&amp;":"&amp;I$19&amp;$O44))/I$21</f>
        <v>0</v>
      </c>
      <c r="J44" s="31">
        <f ca="1">SUM(INDIRECT($B44&amp;"!"&amp;J$19&amp;$P44&amp;":"&amp;J$19&amp;$O44))/J$21</f>
        <v>0</v>
      </c>
      <c r="K44" s="31">
        <f ca="1">SUM(INDIRECT($B44&amp;"!"&amp;K$19&amp;$P44&amp;":"&amp;K$19&amp;$O44))/K$21</f>
        <v>0</v>
      </c>
      <c r="L44" s="31">
        <f ca="1">SUM(INDIRECT($B44&amp;"!"&amp;L$19&amp;$P44&amp;":"&amp;L$19&amp;$O44))/L$21</f>
        <v>3.2871849096298085E-5</v>
      </c>
      <c r="M44" s="31">
        <f ca="1">SUM(INDIRECT($B44&amp;"!"&amp;M$19&amp;$P44&amp;":"&amp;M$19&amp;$O44))/M$21</f>
        <v>1.16442902222895E-5</v>
      </c>
      <c r="N44" s="31">
        <f ca="1">SUM(INDIRECT($B44&amp;"!"&amp;N$19&amp;$P44&amp;":"&amp;N$19&amp;$O44))/N$21</f>
        <v>2.1268073431568203E-5</v>
      </c>
      <c r="O44" s="266">
        <v>21</v>
      </c>
      <c r="P44" s="267">
        <v>24</v>
      </c>
      <c r="Q44" s="25"/>
      <c r="R44" s="31">
        <f t="shared" ca="1" si="4"/>
        <v>0.82648087822964578</v>
      </c>
      <c r="S44" s="31" t="str">
        <f t="shared" ca="1" si="5"/>
        <v/>
      </c>
      <c r="T44" s="31" t="str">
        <f t="shared" ca="1" si="6"/>
        <v/>
      </c>
      <c r="U44" s="31" t="str">
        <f t="shared" ca="1" si="7"/>
        <v/>
      </c>
      <c r="V44" s="26"/>
      <c r="W44" s="6"/>
      <c r="X44" s="37"/>
      <c r="Y44" s="6"/>
      <c r="Z44" s="6"/>
      <c r="AA44" s="6"/>
      <c r="AB44" s="6"/>
      <c r="AC44" s="6"/>
    </row>
    <row r="45" spans="1:29" ht="20.100000000000001" customHeight="1" x14ac:dyDescent="0.25">
      <c r="B45" s="6"/>
      <c r="C45" s="16"/>
      <c r="D45" s="8" t="s">
        <v>82</v>
      </c>
      <c r="E45" s="265" t="e">
        <f ca="1">E23/E21</f>
        <v>#DIV/0!</v>
      </c>
      <c r="F45" s="265" t="e">
        <f ca="1">F23/F21</f>
        <v>#DIV/0!</v>
      </c>
      <c r="G45" s="265" t="e">
        <f ca="1">G23/G21</f>
        <v>#DIV/0!</v>
      </c>
      <c r="H45" s="265" t="e">
        <f ca="1">H23/H21</f>
        <v>#DIV/0!</v>
      </c>
      <c r="I45" s="265">
        <f ca="1">I23/I21</f>
        <v>0.32306165711966084</v>
      </c>
      <c r="J45" s="265">
        <f ca="1">J23/J21</f>
        <v>0.30422675213237926</v>
      </c>
      <c r="K45" s="265">
        <f ca="1">K23/K21</f>
        <v>0.29395701143602071</v>
      </c>
      <c r="L45" s="265">
        <f ca="1">L23/L21</f>
        <v>0.30079385515567558</v>
      </c>
      <c r="M45" s="265">
        <f ca="1">M23/M21</f>
        <v>0.35376906267345143</v>
      </c>
      <c r="N45" s="265">
        <f ca="1">N23/N21</f>
        <v>0.3322533878268637</v>
      </c>
      <c r="O45" s="5"/>
      <c r="P45" s="6"/>
      <c r="Q45" s="25"/>
      <c r="R45" s="31">
        <f t="shared" ca="1" si="4"/>
        <v>-6.0818418331983648E-2</v>
      </c>
      <c r="S45" s="31">
        <f t="shared" ca="1" si="5"/>
        <v>4.1666101930023958E-2</v>
      </c>
      <c r="T45" s="31">
        <f t="shared" ca="1" si="6"/>
        <v>5.6267108546501632E-3</v>
      </c>
      <c r="U45" s="31" t="str">
        <f t="shared" ca="1" si="7"/>
        <v/>
      </c>
      <c r="V45" s="26"/>
      <c r="W45" s="6"/>
      <c r="X45" s="37"/>
      <c r="Y45" s="6"/>
      <c r="Z45" s="6"/>
      <c r="AA45" s="6"/>
      <c r="AB45" s="6"/>
      <c r="AC45" s="6"/>
    </row>
    <row r="46" spans="1:29" ht="20.100000000000001" customHeight="1" x14ac:dyDescent="0.25">
      <c r="B46" s="260" t="s">
        <v>600</v>
      </c>
      <c r="C46" s="16"/>
      <c r="D46" s="3" t="s">
        <v>22</v>
      </c>
      <c r="E46" s="31" t="e">
        <f ca="1">SUM(INDIRECT($B46&amp;"!"&amp;E$19&amp;$P46&amp;":"&amp;E$19&amp;$O46))/E$21</f>
        <v>#DIV/0!</v>
      </c>
      <c r="F46" s="31" t="e">
        <f ca="1">SUM(INDIRECT($B46&amp;"!"&amp;F$19&amp;$P46&amp;":"&amp;F$19&amp;$O46))/F$21</f>
        <v>#DIV/0!</v>
      </c>
      <c r="G46" s="31" t="e">
        <f ca="1">SUM(INDIRECT($B46&amp;"!"&amp;G$19&amp;$P46&amp;":"&amp;G$19&amp;$O46))/G$21</f>
        <v>#DIV/0!</v>
      </c>
      <c r="H46" s="31" t="e">
        <f ca="1">SUM(INDIRECT($B46&amp;"!"&amp;H$19&amp;$P46&amp;":"&amp;H$19&amp;$O46))/H$21</f>
        <v>#DIV/0!</v>
      </c>
      <c r="I46" s="31">
        <f ca="1">SUM(INDIRECT($B46&amp;"!"&amp;I$19&amp;$P46&amp;":"&amp;I$19&amp;$O46))/I$21</f>
        <v>0</v>
      </c>
      <c r="J46" s="31">
        <f ca="1">SUM(INDIRECT($B46&amp;"!"&amp;J$19&amp;$P46&amp;":"&amp;J$19&amp;$O46))/J$21</f>
        <v>0</v>
      </c>
      <c r="K46" s="31">
        <f ca="1">SUM(INDIRECT($B46&amp;"!"&amp;K$19&amp;$P46&amp;":"&amp;K$19&amp;$O46))/K$21</f>
        <v>0</v>
      </c>
      <c r="L46" s="31">
        <f ca="1">SUM(INDIRECT($B46&amp;"!"&amp;L$19&amp;$P46&amp;":"&amp;L$19&amp;$O46))/L$21</f>
        <v>0</v>
      </c>
      <c r="M46" s="31">
        <f ca="1">SUM(INDIRECT($B46&amp;"!"&amp;M$19&amp;$P46&amp;":"&amp;M$19&amp;$O46))/M$21</f>
        <v>0</v>
      </c>
      <c r="N46" s="31">
        <f ca="1">SUM(INDIRECT($B46&amp;"!"&amp;N$19&amp;$P46&amp;":"&amp;N$19&amp;$O46))/N$21</f>
        <v>0</v>
      </c>
      <c r="O46" s="266">
        <v>26</v>
      </c>
      <c r="P46" s="267">
        <v>27</v>
      </c>
      <c r="Q46" s="25"/>
      <c r="R46" s="31" t="str">
        <f t="shared" ca="1" si="4"/>
        <v/>
      </c>
      <c r="S46" s="31" t="str">
        <f t="shared" ca="1" si="5"/>
        <v/>
      </c>
      <c r="T46" s="31" t="str">
        <f t="shared" ca="1" si="6"/>
        <v/>
      </c>
      <c r="U46" s="31" t="str">
        <f t="shared" ca="1" si="7"/>
        <v/>
      </c>
      <c r="V46" s="26"/>
      <c r="W46" s="6"/>
      <c r="X46" s="37"/>
      <c r="Y46" s="6"/>
      <c r="Z46" s="6"/>
      <c r="AA46" s="6"/>
      <c r="AB46" s="6"/>
      <c r="AC46" s="6"/>
    </row>
    <row r="47" spans="1:29" ht="20.100000000000001" customHeight="1" x14ac:dyDescent="0.25">
      <c r="B47" s="6"/>
      <c r="C47" s="16"/>
      <c r="D47" s="8" t="s">
        <v>83</v>
      </c>
      <c r="E47" s="265" t="e">
        <f ca="1">E24/E21</f>
        <v>#DIV/0!</v>
      </c>
      <c r="F47" s="265" t="e">
        <f ca="1">F24/F21</f>
        <v>#DIV/0!</v>
      </c>
      <c r="G47" s="265" t="e">
        <f ca="1">G24/G21</f>
        <v>#DIV/0!</v>
      </c>
      <c r="H47" s="265" t="e">
        <f ca="1">H24/H21</f>
        <v>#DIV/0!</v>
      </c>
      <c r="I47" s="265">
        <f ca="1">I24/I21</f>
        <v>0.26082720671146992</v>
      </c>
      <c r="J47" s="265">
        <f ca="1">J24/J21</f>
        <v>0.23823445574079624</v>
      </c>
      <c r="K47" s="265">
        <f ca="1">K24/K21</f>
        <v>0.22197371754079218</v>
      </c>
      <c r="L47" s="265">
        <f ca="1">L24/L21</f>
        <v>0.22585151785763202</v>
      </c>
      <c r="M47" s="265">
        <f ca="1">M24/M21</f>
        <v>0.3055228868524319</v>
      </c>
      <c r="N47" s="265">
        <f ca="1">N24/N21</f>
        <v>0.27849478754966983</v>
      </c>
      <c r="O47" s="5"/>
      <c r="P47" s="6"/>
      <c r="Q47" s="25"/>
      <c r="R47" s="31">
        <f t="shared" ca="1" si="4"/>
        <v>-8.8465056026446498E-2</v>
      </c>
      <c r="S47" s="31">
        <f t="shared" ca="1" si="5"/>
        <v>7.8545584515017808E-2</v>
      </c>
      <c r="T47" s="31">
        <f t="shared" ca="1" si="6"/>
        <v>1.3194529237698926E-2</v>
      </c>
      <c r="U47" s="31" t="str">
        <f t="shared" ca="1" si="7"/>
        <v/>
      </c>
      <c r="V47" s="26"/>
      <c r="W47" s="6"/>
      <c r="X47" s="37"/>
      <c r="Y47" s="6"/>
      <c r="Z47" s="6"/>
      <c r="AA47" s="6"/>
      <c r="AB47" s="6"/>
      <c r="AC47" s="6"/>
    </row>
    <row r="48" spans="1:29" ht="20.100000000000001" customHeight="1" x14ac:dyDescent="0.25">
      <c r="B48" s="260" t="s">
        <v>600</v>
      </c>
      <c r="C48" s="16"/>
      <c r="D48" s="3" t="s">
        <v>23</v>
      </c>
      <c r="E48" s="31" t="e">
        <f ca="1">SUM(INDIRECT($B48&amp;"!"&amp;E$19&amp;$P48&amp;":"&amp;E$19&amp;$O48))/E$21</f>
        <v>#DIV/0!</v>
      </c>
      <c r="F48" s="31" t="e">
        <f ca="1">SUM(INDIRECT($B48&amp;"!"&amp;F$19&amp;$P48&amp;":"&amp;F$19&amp;$O48))/F$21</f>
        <v>#DIV/0!</v>
      </c>
      <c r="G48" s="31" t="e">
        <f ca="1">SUM(INDIRECT($B48&amp;"!"&amp;G$19&amp;$P48&amp;":"&amp;G$19&amp;$O48))/G$21</f>
        <v>#DIV/0!</v>
      </c>
      <c r="H48" s="31" t="e">
        <f ca="1">SUM(INDIRECT($B48&amp;"!"&amp;H$19&amp;$P48&amp;":"&amp;H$19&amp;$O48))/H$21</f>
        <v>#DIV/0!</v>
      </c>
      <c r="I48" s="31">
        <f ca="1">SUM(INDIRECT($B48&amp;"!"&amp;I$19&amp;$P48&amp;":"&amp;I$19&amp;$O48))/I$21</f>
        <v>1.08971178566596E-2</v>
      </c>
      <c r="J48" s="31">
        <f ca="1">SUM(INDIRECT($B48&amp;"!"&amp;J$19&amp;$P48&amp;":"&amp;J$19&amp;$O48))/J$21</f>
        <v>6.2783677705581823E-3</v>
      </c>
      <c r="K48" s="31">
        <f ca="1">SUM(INDIRECT($B48&amp;"!"&amp;K$19&amp;$P48&amp;":"&amp;K$19&amp;$O48))/K$21</f>
        <v>1.3629314765502882E-2</v>
      </c>
      <c r="L48" s="31">
        <f ca="1">SUM(INDIRECT($B48&amp;"!"&amp;L$19&amp;$P48&amp;":"&amp;L$19&amp;$O48))/L$21</f>
        <v>5.7087444597237668E-3</v>
      </c>
      <c r="M48" s="31">
        <f ca="1">SUM(INDIRECT($B48&amp;"!"&amp;M$19&amp;$P48&amp;":"&amp;M$19&amp;$O48))/M$21</f>
        <v>-2.6238467300892343E-3</v>
      </c>
      <c r="N48" s="31">
        <f ca="1">SUM(INDIRECT($B48&amp;"!"&amp;N$19&amp;$P48&amp;":"&amp;N$19&amp;$O48))/N$21</f>
        <v>5.5261544133024714E-3</v>
      </c>
      <c r="O48" s="266">
        <v>34</v>
      </c>
      <c r="P48" s="267">
        <v>38</v>
      </c>
      <c r="Q48" s="25"/>
      <c r="R48" s="31">
        <f t="shared" ca="1" si="4"/>
        <v>-3.1061269890236813</v>
      </c>
      <c r="S48" s="31">
        <f t="shared" ca="1" si="5"/>
        <v>-0.25985581494675025</v>
      </c>
      <c r="T48" s="31">
        <f t="shared" ca="1" si="6"/>
        <v>-0.12698385853047811</v>
      </c>
      <c r="U48" s="31" t="str">
        <f t="shared" ca="1" si="7"/>
        <v/>
      </c>
      <c r="V48" s="26"/>
      <c r="W48" s="6"/>
      <c r="X48" s="37"/>
      <c r="Y48" s="6"/>
      <c r="Z48" s="6"/>
      <c r="AA48" s="6"/>
      <c r="AB48" s="6"/>
      <c r="AC48" s="6"/>
    </row>
    <row r="49" spans="2:29" ht="20.100000000000001" customHeight="1" x14ac:dyDescent="0.25">
      <c r="B49" s="6"/>
      <c r="C49" s="16"/>
      <c r="D49" s="8" t="s">
        <v>84</v>
      </c>
      <c r="E49" s="265" t="e">
        <f ca="1">E25/E21</f>
        <v>#DIV/0!</v>
      </c>
      <c r="F49" s="265" t="e">
        <f ca="1">F25/F21</f>
        <v>#DIV/0!</v>
      </c>
      <c r="G49" s="265" t="e">
        <f ca="1">G25/G21</f>
        <v>#DIV/0!</v>
      </c>
      <c r="H49" s="265" t="e">
        <f ca="1">H25/H21</f>
        <v>#DIV/0!</v>
      </c>
      <c r="I49" s="265">
        <f ca="1">I25/I21</f>
        <v>0.11422128005051645</v>
      </c>
      <c r="J49" s="265">
        <f ca="1">J25/J21</f>
        <v>0.22464716157843576</v>
      </c>
      <c r="K49" s="265">
        <f ca="1">K25/K21</f>
        <v>0.21218112284300339</v>
      </c>
      <c r="L49" s="265">
        <f ca="1">L25/L21</f>
        <v>0.22061941520980458</v>
      </c>
      <c r="M49" s="265">
        <f ca="1">M25/M21</f>
        <v>0.29511677282377918</v>
      </c>
      <c r="N49" s="265">
        <f ca="1">N25/N21</f>
        <v>0.23745803986345898</v>
      </c>
      <c r="O49" s="5"/>
      <c r="P49" s="6"/>
      <c r="Q49" s="25"/>
      <c r="R49" s="31">
        <f t="shared" ca="1" si="4"/>
        <v>-0.19537599441950226</v>
      </c>
      <c r="S49" s="31">
        <f t="shared" ca="1" si="5"/>
        <v>3.822953285674191E-2</v>
      </c>
      <c r="T49" s="31">
        <f t="shared" ca="1" si="6"/>
        <v>0.15762519702905631</v>
      </c>
      <c r="U49" s="31" t="str">
        <f t="shared" ca="1" si="7"/>
        <v/>
      </c>
      <c r="V49" s="26"/>
      <c r="W49" s="6"/>
      <c r="X49" s="37"/>
      <c r="Y49" s="6"/>
      <c r="Z49" s="6"/>
      <c r="AA49" s="6"/>
      <c r="AB49" s="6"/>
      <c r="AC49" s="6"/>
    </row>
    <row r="50" spans="2:29" ht="20.100000000000001" customHeight="1" x14ac:dyDescent="0.25">
      <c r="B50" s="6"/>
      <c r="C50" s="16"/>
      <c r="D50" s="8" t="s">
        <v>85</v>
      </c>
      <c r="E50" s="265" t="e">
        <f ca="1">E26/E21</f>
        <v>#DIV/0!</v>
      </c>
      <c r="F50" s="265" t="e">
        <f ca="1">F26/F21</f>
        <v>#DIV/0!</v>
      </c>
      <c r="G50" s="265" t="e">
        <f ca="1">G26/G21</f>
        <v>#DIV/0!</v>
      </c>
      <c r="H50" s="265" t="e">
        <f ca="1">H26/H21</f>
        <v>#DIV/0!</v>
      </c>
      <c r="I50" s="265">
        <f ca="1">I26/I21</f>
        <v>0.21566009652248433</v>
      </c>
      <c r="J50" s="265">
        <f ca="1">J26/J21</f>
        <v>0.16687740737763029</v>
      </c>
      <c r="K50" s="265">
        <f ca="1">K26/K21</f>
        <v>0.19135409651729612</v>
      </c>
      <c r="L50" s="265">
        <f ca="1">L26/L21</f>
        <v>0.23472143847211646</v>
      </c>
      <c r="M50" s="265">
        <f ca="1">M26/M21</f>
        <v>0.26010239212535469</v>
      </c>
      <c r="N50" s="265">
        <f ca="1">N26/N21</f>
        <v>0.22169130809285642</v>
      </c>
      <c r="O50" s="5"/>
      <c r="P50" s="6"/>
      <c r="Q50" s="25"/>
      <c r="R50" s="31">
        <f t="shared" ca="1" si="4"/>
        <v>-0.14767678112697358</v>
      </c>
      <c r="S50" s="31">
        <f t="shared" ca="1" si="5"/>
        <v>5.0276465509408119E-2</v>
      </c>
      <c r="T50" s="31">
        <f t="shared" ca="1" si="6"/>
        <v>5.5317175827187537E-3</v>
      </c>
      <c r="U50" s="31" t="str">
        <f t="shared" ca="1" si="7"/>
        <v/>
      </c>
      <c r="V50" s="26"/>
      <c r="W50" s="6"/>
      <c r="X50" s="39"/>
      <c r="Y50" s="6"/>
      <c r="Z50" s="6"/>
      <c r="AA50" s="6"/>
      <c r="AB50" s="6"/>
      <c r="AC50" s="6"/>
    </row>
    <row r="51" spans="2:29" ht="20.100000000000001" customHeight="1" x14ac:dyDescent="0.25">
      <c r="B51" s="6"/>
      <c r="C51" s="16"/>
      <c r="D51" s="5"/>
      <c r="E51" s="6"/>
      <c r="F51" s="6"/>
      <c r="G51" s="6"/>
      <c r="H51" s="74"/>
      <c r="I51" s="6"/>
      <c r="J51" s="6"/>
      <c r="K51" s="6"/>
      <c r="L51" s="6"/>
      <c r="M51" s="74"/>
      <c r="N51" s="6"/>
      <c r="O51" s="5"/>
      <c r="P51" s="6"/>
      <c r="Q51" s="25"/>
      <c r="R51" s="6"/>
      <c r="S51" s="6"/>
      <c r="T51" s="6"/>
      <c r="U51" s="6"/>
      <c r="V51" s="26"/>
      <c r="W51" s="6"/>
      <c r="X51" s="6"/>
      <c r="Y51" s="6"/>
      <c r="Z51" s="6"/>
      <c r="AA51" s="6"/>
      <c r="AB51" s="6"/>
      <c r="AC51" s="6"/>
    </row>
    <row r="52" spans="2:29" ht="18.95" customHeight="1" x14ac:dyDescent="0.25">
      <c r="B52" s="6"/>
      <c r="C52" s="16"/>
      <c r="D52" s="5"/>
      <c r="E52" s="6">
        <v>2013</v>
      </c>
      <c r="F52" s="6">
        <v>2014</v>
      </c>
      <c r="G52" s="6">
        <v>2015</v>
      </c>
      <c r="H52" s="6">
        <v>2016</v>
      </c>
      <c r="I52" s="6">
        <v>2017</v>
      </c>
      <c r="J52" s="6">
        <v>2018</v>
      </c>
      <c r="K52" s="6">
        <v>2019</v>
      </c>
      <c r="L52" s="6">
        <v>2020</v>
      </c>
      <c r="M52" s="6">
        <v>2021</v>
      </c>
      <c r="N52" s="163" t="s">
        <v>125</v>
      </c>
      <c r="O52" s="5"/>
      <c r="P52" s="6"/>
      <c r="Q52" s="25"/>
      <c r="R52" s="6"/>
      <c r="S52" s="6"/>
      <c r="T52" s="6"/>
      <c r="U52" s="6"/>
      <c r="V52" s="26"/>
      <c r="W52" s="6"/>
      <c r="X52" s="6"/>
      <c r="Y52" s="6"/>
      <c r="Z52" s="6"/>
      <c r="AA52" s="6"/>
      <c r="AB52" s="6"/>
      <c r="AC52" s="6"/>
    </row>
    <row r="53" spans="2:29" ht="18.95" customHeight="1" x14ac:dyDescent="0.25">
      <c r="B53" s="6"/>
      <c r="C53" s="16"/>
      <c r="D53" s="3" t="s">
        <v>30</v>
      </c>
      <c r="E53" s="33">
        <v>31.077938169289677</v>
      </c>
      <c r="F53" s="33">
        <v>38.043589011743485</v>
      </c>
      <c r="G53" s="33">
        <v>33.597825904614922</v>
      </c>
      <c r="H53" s="33">
        <v>30.720687585899842</v>
      </c>
      <c r="I53" s="33">
        <v>37.128070898844847</v>
      </c>
      <c r="J53" s="33">
        <v>34.680063326643314</v>
      </c>
      <c r="K53" s="33">
        <v>34.486364473926663</v>
      </c>
      <c r="L53" s="33">
        <v>8.9811278364412495</v>
      </c>
      <c r="M53" s="33">
        <v>15.511775739437731</v>
      </c>
      <c r="N53" s="33">
        <v>18.833278878002847</v>
      </c>
      <c r="O53" s="5"/>
      <c r="P53" s="6"/>
      <c r="Q53" s="25"/>
      <c r="R53" s="31">
        <f>IFERROR((N53/M53-1),"")</f>
        <v>0.21412784676356567</v>
      </c>
      <c r="S53" s="31">
        <f>IFERROR(((N53/K53)^(1/3) -1),"")</f>
        <v>-0.18261592052730646</v>
      </c>
      <c r="T53" s="31">
        <f>IFERROR(((N53/I53)^(1/5) -1),"")</f>
        <v>-0.12693875476408178</v>
      </c>
      <c r="U53" s="31">
        <f>IFERROR(((N53/E53)^(1/9) -1),"")</f>
        <v>-5.4132255892353043E-2</v>
      </c>
      <c r="V53" s="26"/>
      <c r="W53" s="6"/>
      <c r="X53" s="37"/>
      <c r="Y53" s="6"/>
      <c r="Z53" s="6"/>
      <c r="AA53" s="6"/>
      <c r="AB53" s="6"/>
      <c r="AC53" s="6"/>
    </row>
    <row r="54" spans="2:29" ht="18.95" customHeight="1" x14ac:dyDescent="0.25">
      <c r="B54" s="6"/>
      <c r="C54" s="16"/>
      <c r="D54" s="3" t="s">
        <v>31</v>
      </c>
      <c r="E54" s="33">
        <v>51.000400160064032</v>
      </c>
      <c r="F54" s="33">
        <v>51.011461801465764</v>
      </c>
      <c r="G54" s="33">
        <v>45.713503149821967</v>
      </c>
      <c r="H54" s="33">
        <v>49.674471015400023</v>
      </c>
      <c r="I54" s="33">
        <v>56.542077338211335</v>
      </c>
      <c r="J54" s="33">
        <v>51.432797189868737</v>
      </c>
      <c r="K54" s="33">
        <v>53.302812062784575</v>
      </c>
      <c r="L54" s="33">
        <v>10.440357556440883</v>
      </c>
      <c r="M54" s="33">
        <v>18.973503188705557</v>
      </c>
      <c r="N54" s="33">
        <v>23.936410403447692</v>
      </c>
      <c r="O54" s="5"/>
      <c r="P54" s="6"/>
      <c r="Q54" s="25"/>
      <c r="R54" s="31">
        <f>IFERROR((N54/M54-1),"")</f>
        <v>0.26157042088550231</v>
      </c>
      <c r="S54" s="31">
        <f>IFERROR(((N54/K54)^(1/3) -1),"")</f>
        <v>-0.23422185602952794</v>
      </c>
      <c r="T54" s="31">
        <f>IFERROR(((N54/I54)^(1/5) -1),"")</f>
        <v>-0.15795082937096838</v>
      </c>
      <c r="U54" s="31">
        <f>IFERROR(((N54/E54)^(1/9) -1),"")</f>
        <v>-8.061295026747628E-2</v>
      </c>
      <c r="V54" s="26"/>
      <c r="W54" s="6"/>
      <c r="X54" s="37"/>
      <c r="Y54" s="6"/>
      <c r="Z54" s="6"/>
      <c r="AA54" s="6"/>
      <c r="AB54" s="6"/>
      <c r="AC54" s="6"/>
    </row>
    <row r="55" spans="2:29" ht="18.95" customHeight="1" x14ac:dyDescent="0.25">
      <c r="B55" s="6"/>
      <c r="C55" s="16"/>
      <c r="D55" s="3" t="s">
        <v>79</v>
      </c>
      <c r="E55" s="33">
        <v>60.657211718416072</v>
      </c>
      <c r="F55" s="33">
        <v>54.758421147670269</v>
      </c>
      <c r="G55" s="33">
        <v>47.770426428603798</v>
      </c>
      <c r="H55" s="33">
        <v>48.377204545769906</v>
      </c>
      <c r="I55" s="33">
        <v>57.095416556398803</v>
      </c>
      <c r="J55" s="33">
        <v>53.299501456319355</v>
      </c>
      <c r="K55" s="33">
        <v>53.119423577073967</v>
      </c>
      <c r="L55" s="33">
        <v>10.700074796985986</v>
      </c>
      <c r="M55" s="33">
        <v>18.51162361513947</v>
      </c>
      <c r="N55" s="33">
        <v>22.26675637507558</v>
      </c>
      <c r="O55" s="5"/>
      <c r="P55" s="6"/>
      <c r="Q55" s="25"/>
      <c r="R55" s="31">
        <f>IFERROR((N55/M55-1),"")</f>
        <v>0.202852696122507</v>
      </c>
      <c r="S55" s="31">
        <f>IFERROR(((N55/K55)^(1/3) -1),"")</f>
        <v>-0.25159869761830767</v>
      </c>
      <c r="T55" s="31">
        <f>IFERROR(((N55/I55)^(1/5) -1),"")</f>
        <v>-0.171655215159075</v>
      </c>
      <c r="U55" s="31">
        <f>IFERROR(((N55/E55)^(1/9) -1),"")</f>
        <v>-0.10537380005556485</v>
      </c>
      <c r="V55" s="26"/>
      <c r="W55" s="6"/>
      <c r="X55" s="39"/>
      <c r="Y55" s="6"/>
      <c r="Z55" s="6"/>
      <c r="AA55" s="6"/>
      <c r="AB55" s="6"/>
      <c r="AC55" s="6"/>
    </row>
    <row r="56" spans="2:29" ht="20.100000000000001" customHeight="1" x14ac:dyDescent="0.25">
      <c r="B56" s="6"/>
      <c r="C56" s="16"/>
      <c r="D56" s="3" t="s">
        <v>32</v>
      </c>
      <c r="E56" s="33">
        <v>55.197853201424209</v>
      </c>
      <c r="F56" s="33">
        <v>50.565445432181789</v>
      </c>
      <c r="G56" s="33">
        <v>45.395260690803589</v>
      </c>
      <c r="H56" s="33">
        <v>44.339950109232944</v>
      </c>
      <c r="I56" s="33">
        <v>53.211345482306818</v>
      </c>
      <c r="J56" s="33">
        <v>49.79934612032794</v>
      </c>
      <c r="K56" s="33">
        <v>50.570723425027829</v>
      </c>
      <c r="L56" s="33">
        <v>10.196385081349883</v>
      </c>
      <c r="M56" s="33">
        <v>17.309251933126433</v>
      </c>
      <c r="N56" s="33">
        <v>20.723009769062028</v>
      </c>
      <c r="O56" s="5"/>
      <c r="P56" s="6"/>
      <c r="Q56" s="25"/>
      <c r="R56" s="31">
        <f>IFERROR((N56/M56-1),"")</f>
        <v>0.19722156966254256</v>
      </c>
      <c r="S56" s="31">
        <f>IFERROR(((N56/K56)^(1/3) -1),"")</f>
        <v>-0.25723535790690166</v>
      </c>
      <c r="T56" s="31">
        <f>IFERROR(((N56/I56)^(1/5) -1),"")</f>
        <v>-0.17188677909198935</v>
      </c>
      <c r="U56" s="31">
        <f>IFERROR(((N56/E56)^(1/9) -1),"")</f>
        <v>-0.10313799213421326</v>
      </c>
      <c r="V56" s="26"/>
      <c r="W56" s="6"/>
      <c r="X56" s="39"/>
      <c r="Y56" s="6"/>
      <c r="Z56" s="6"/>
      <c r="AA56" s="6"/>
      <c r="AB56" s="6"/>
      <c r="AC56" s="6"/>
    </row>
    <row r="57" spans="2:29" ht="20.100000000000001" customHeight="1" x14ac:dyDescent="0.25">
      <c r="B57" s="6"/>
      <c r="C57" s="16"/>
      <c r="D57" s="3" t="s">
        <v>80</v>
      </c>
      <c r="E57" s="33">
        <v>80.233265504825283</v>
      </c>
      <c r="F57" s="33">
        <v>58.265754912032008</v>
      </c>
      <c r="G57" s="33">
        <v>54.150994697965281</v>
      </c>
      <c r="H57" s="33">
        <v>52.588563420150692</v>
      </c>
      <c r="I57" s="33">
        <v>52.126960277960379</v>
      </c>
      <c r="J57" s="33">
        <v>57.585071088635942</v>
      </c>
      <c r="K57" s="33">
        <v>58.201916687187335</v>
      </c>
      <c r="L57" s="33">
        <v>10.113123747061229</v>
      </c>
      <c r="M57" s="33">
        <v>16.906924748445839</v>
      </c>
      <c r="N57" s="33">
        <v>20.879138883838532</v>
      </c>
      <c r="O57" s="5"/>
      <c r="P57" s="6"/>
      <c r="Q57" s="25"/>
      <c r="R57" s="31">
        <f>IFERROR((N57/M57-1),"")</f>
        <v>0.23494598778277753</v>
      </c>
      <c r="S57" s="31">
        <f>IFERROR(((N57/K57)^(1/3) -1),"")</f>
        <v>-0.28945470931163075</v>
      </c>
      <c r="T57" s="31">
        <f>IFERROR(((N57/I57)^(1/5) -1),"")</f>
        <v>-0.167220479513987</v>
      </c>
      <c r="U57" s="31">
        <f>IFERROR(((N57/E57)^(1/9) -1),"")</f>
        <v>-0.13892735903171149</v>
      </c>
      <c r="V57" s="26"/>
      <c r="W57" s="6"/>
      <c r="X57" s="39"/>
      <c r="Y57" s="6"/>
      <c r="Z57" s="6"/>
      <c r="AA57" s="6"/>
      <c r="AB57" s="6"/>
      <c r="AC57" s="6"/>
    </row>
    <row r="58" spans="2:29" ht="20.100000000000001" customHeight="1" x14ac:dyDescent="0.25">
      <c r="B58" s="6"/>
      <c r="C58" s="16"/>
      <c r="D58" s="5"/>
      <c r="E58" s="6"/>
      <c r="F58" s="6"/>
      <c r="G58" s="6"/>
      <c r="H58" s="6"/>
      <c r="I58" s="6"/>
      <c r="J58" s="6"/>
      <c r="K58" s="6"/>
      <c r="L58" s="6"/>
      <c r="M58" s="6"/>
      <c r="N58" s="6"/>
      <c r="O58" s="5"/>
      <c r="P58" s="6"/>
      <c r="Q58" s="25"/>
      <c r="R58" s="6" t="str">
        <f t="shared" ref="R58" si="8">IFERROR((N58/M58-1),"")</f>
        <v/>
      </c>
      <c r="S58" s="6" t="str">
        <f t="shared" ref="S58" si="9">IFERROR(((N58/K58)^(1/3) -1),"")</f>
        <v/>
      </c>
      <c r="T58" s="6" t="str">
        <f t="shared" ref="T58" si="10">IFERROR(((N58/I58)^(1/5) -1),"")</f>
        <v/>
      </c>
      <c r="U58" s="6" t="str">
        <f t="shared" ref="U58" si="11">IFERROR(((N58/E58)^(1/9) -1),"")</f>
        <v/>
      </c>
      <c r="V58" s="26"/>
      <c r="W58" s="6"/>
      <c r="X58" s="39"/>
      <c r="Y58" s="6"/>
      <c r="Z58" s="6"/>
      <c r="AA58" s="6"/>
      <c r="AB58" s="6"/>
      <c r="AC58" s="6"/>
    </row>
    <row r="59" spans="2:29" ht="20.100000000000001" customHeight="1" x14ac:dyDescent="0.25">
      <c r="B59" s="6"/>
      <c r="C59" s="16"/>
      <c r="D59" s="5"/>
      <c r="E59" s="6"/>
      <c r="F59" s="6"/>
      <c r="G59" s="6"/>
      <c r="H59" s="6"/>
      <c r="I59" s="6"/>
      <c r="J59" s="6"/>
      <c r="K59" s="6"/>
      <c r="L59" s="6"/>
      <c r="M59" s="6"/>
      <c r="N59" s="6"/>
      <c r="O59" s="5"/>
      <c r="P59" s="6"/>
      <c r="Q59" s="25"/>
      <c r="R59" s="6"/>
      <c r="S59" s="6"/>
      <c r="T59" s="6"/>
      <c r="U59" s="6"/>
      <c r="V59" s="26"/>
      <c r="W59" s="6"/>
      <c r="X59" s="6"/>
      <c r="Y59" s="6"/>
      <c r="Z59" s="6"/>
      <c r="AA59" s="6"/>
      <c r="AB59" s="6"/>
      <c r="AC59" s="6"/>
    </row>
    <row r="60" spans="2:29" ht="20.100000000000001" customHeight="1" x14ac:dyDescent="0.25">
      <c r="B60" s="6"/>
      <c r="C60" s="57"/>
      <c r="D60" s="58"/>
      <c r="E60" s="28"/>
      <c r="F60" s="28"/>
      <c r="G60" s="28"/>
      <c r="H60" s="28"/>
      <c r="I60" s="28"/>
      <c r="J60" s="28"/>
      <c r="K60" s="28"/>
      <c r="L60" s="28"/>
      <c r="M60" s="28"/>
      <c r="N60" s="28"/>
      <c r="O60" s="58"/>
      <c r="P60" s="6"/>
      <c r="Q60" s="27"/>
      <c r="R60" s="28"/>
      <c r="S60" s="28"/>
      <c r="T60" s="28"/>
      <c r="U60" s="28"/>
      <c r="V60" s="29"/>
      <c r="W60" s="6"/>
      <c r="X60" s="6"/>
      <c r="Y60" s="6"/>
      <c r="Z60" s="6"/>
      <c r="AA60" s="6"/>
      <c r="AB60" s="6"/>
      <c r="AC60" s="6"/>
    </row>
    <row r="61" spans="2:29" ht="20.100000000000001" customHeight="1" x14ac:dyDescent="0.25">
      <c r="B61" s="6"/>
      <c r="C61" s="28"/>
      <c r="D61" s="28"/>
      <c r="E61" s="28"/>
      <c r="F61" s="28"/>
      <c r="G61" s="28"/>
      <c r="H61" s="28"/>
      <c r="I61" s="28"/>
      <c r="J61" s="28"/>
      <c r="K61" s="28"/>
      <c r="L61" s="28"/>
      <c r="M61" s="28"/>
      <c r="N61" s="28"/>
      <c r="O61" s="28"/>
      <c r="P61" s="6"/>
      <c r="Q61" s="28"/>
      <c r="R61" s="28"/>
      <c r="S61" s="28"/>
      <c r="T61" s="28"/>
      <c r="U61" s="28"/>
      <c r="V61" s="28"/>
      <c r="W61" s="6"/>
      <c r="X61" s="6"/>
      <c r="Y61" s="6"/>
      <c r="Z61" s="6"/>
      <c r="AA61" s="6"/>
      <c r="AB61" s="6"/>
      <c r="AC61" s="6"/>
    </row>
    <row r="62" spans="2:29" ht="20.100000000000001" customHeight="1" x14ac:dyDescent="0.25">
      <c r="B62" s="26"/>
      <c r="C62" s="6"/>
      <c r="D62" s="6"/>
      <c r="E62" s="6"/>
      <c r="F62" s="6"/>
      <c r="G62" s="6"/>
      <c r="H62" s="6"/>
      <c r="I62" s="6"/>
      <c r="J62" s="6"/>
      <c r="K62" s="6"/>
      <c r="L62" s="6"/>
      <c r="M62" s="6"/>
      <c r="N62" s="6"/>
      <c r="O62" s="44"/>
      <c r="P62" s="38"/>
      <c r="Q62" s="25"/>
      <c r="R62" s="6"/>
      <c r="S62" s="6"/>
      <c r="T62" s="6"/>
      <c r="U62" s="6"/>
      <c r="V62" s="44"/>
      <c r="W62" s="6"/>
      <c r="X62" s="6"/>
      <c r="Y62" s="6"/>
      <c r="Z62" s="6"/>
      <c r="AA62" s="6"/>
      <c r="AB62" s="6"/>
      <c r="AC62" s="6"/>
    </row>
    <row r="63" spans="2:29" ht="20.100000000000001" customHeight="1" x14ac:dyDescent="0.25">
      <c r="B63" s="26"/>
      <c r="C63" s="6"/>
      <c r="D63" s="6"/>
      <c r="E63" s="162" t="s">
        <v>125</v>
      </c>
      <c r="F63" s="6"/>
      <c r="G63" s="216" t="s">
        <v>113</v>
      </c>
      <c r="H63" s="216"/>
      <c r="I63" s="216" t="s">
        <v>114</v>
      </c>
      <c r="J63" s="216"/>
      <c r="K63" s="216" t="s">
        <v>115</v>
      </c>
      <c r="L63" s="216"/>
      <c r="M63" s="6"/>
      <c r="N63" s="6"/>
      <c r="O63" s="26"/>
      <c r="P63" s="38"/>
      <c r="Q63" s="6"/>
      <c r="R63" s="6"/>
      <c r="S63" s="6"/>
      <c r="T63" s="6"/>
      <c r="U63" s="6"/>
      <c r="V63" s="26"/>
      <c r="W63" s="6"/>
      <c r="X63" s="6"/>
      <c r="Y63" s="6"/>
      <c r="Z63" s="6"/>
      <c r="AA63" s="6"/>
      <c r="AB63" s="6"/>
      <c r="AC63" s="6"/>
    </row>
    <row r="64" spans="2:29" ht="18.95" customHeight="1" x14ac:dyDescent="0.25">
      <c r="B64" s="26"/>
      <c r="C64" s="6"/>
      <c r="D64" s="6" t="s">
        <v>52</v>
      </c>
      <c r="E64" s="67">
        <v>300.66500000000002</v>
      </c>
      <c r="F64" s="6"/>
      <c r="G64" s="218">
        <v>2.1193205599496783</v>
      </c>
      <c r="H64" s="218"/>
      <c r="I64" s="218">
        <v>17.538509564836264</v>
      </c>
      <c r="J64" s="218"/>
      <c r="K64" s="218">
        <v>-4.1116410894511271</v>
      </c>
      <c r="L64" s="218"/>
      <c r="M64" s="6"/>
      <c r="N64" s="6"/>
      <c r="O64" s="26"/>
      <c r="P64" s="38"/>
      <c r="Q64" s="6"/>
      <c r="R64" s="6"/>
      <c r="S64" s="6"/>
      <c r="T64" s="6"/>
      <c r="U64" s="6"/>
      <c r="V64" s="26"/>
      <c r="W64" s="6"/>
      <c r="X64" s="6"/>
      <c r="Y64" s="6"/>
      <c r="Z64" s="6"/>
      <c r="AA64" s="6"/>
      <c r="AB64" s="6"/>
      <c r="AC64" s="6"/>
    </row>
    <row r="65" spans="2:29" ht="18.95" customHeight="1" x14ac:dyDescent="0.25">
      <c r="B65" s="6"/>
      <c r="C65" s="16"/>
      <c r="D65" s="6" t="s">
        <v>7</v>
      </c>
      <c r="E65" s="67">
        <v>0</v>
      </c>
      <c r="F65" s="6"/>
      <c r="G65" s="218"/>
      <c r="H65" s="218"/>
      <c r="I65" s="218"/>
      <c r="J65" s="218"/>
      <c r="K65" s="218"/>
      <c r="L65" s="218"/>
      <c r="M65" s="6"/>
      <c r="N65" s="6"/>
      <c r="O65" s="5"/>
      <c r="P65" s="6"/>
      <c r="Q65" s="25"/>
      <c r="R65" s="6"/>
      <c r="S65" s="6"/>
      <c r="T65" s="6"/>
      <c r="U65" s="6"/>
      <c r="V65" s="26"/>
      <c r="W65" s="6"/>
      <c r="X65" s="6"/>
      <c r="Y65" s="6"/>
      <c r="Z65" s="6"/>
      <c r="AA65" s="6"/>
      <c r="AB65" s="6"/>
      <c r="AC65" s="6"/>
    </row>
    <row r="66" spans="2:29" ht="18.95" customHeight="1" x14ac:dyDescent="0.25">
      <c r="B66" s="6"/>
      <c r="C66" s="16"/>
      <c r="D66" s="6" t="s">
        <v>53</v>
      </c>
      <c r="E66" s="67">
        <v>300.66500000000002</v>
      </c>
      <c r="F66" s="6"/>
      <c r="G66" s="6"/>
      <c r="H66" s="6"/>
      <c r="I66" s="6"/>
      <c r="J66" s="6"/>
      <c r="K66" s="6"/>
      <c r="L66" s="6"/>
      <c r="M66" s="6"/>
      <c r="N66" s="6"/>
      <c r="O66" s="5"/>
      <c r="P66" s="6"/>
      <c r="Q66" s="25"/>
      <c r="R66" s="6"/>
      <c r="S66" s="6"/>
      <c r="T66" s="6"/>
      <c r="U66" s="6"/>
      <c r="V66" s="26"/>
      <c r="W66" s="6"/>
      <c r="X66" s="6"/>
      <c r="Y66" s="6"/>
      <c r="Z66" s="6"/>
      <c r="AA66" s="6"/>
      <c r="AB66" s="6"/>
      <c r="AC66" s="6"/>
    </row>
    <row r="67" spans="2:29" ht="20.100000000000001" customHeight="1" x14ac:dyDescent="0.25">
      <c r="B67" s="6"/>
      <c r="C67" s="16"/>
      <c r="D67" s="6" t="s">
        <v>54</v>
      </c>
      <c r="E67" s="67">
        <v>0</v>
      </c>
      <c r="F67" s="6"/>
      <c r="G67" s="6"/>
      <c r="H67" s="6"/>
      <c r="I67" s="6"/>
      <c r="J67" s="6"/>
      <c r="K67" s="6"/>
      <c r="L67" s="6"/>
      <c r="M67" s="6"/>
      <c r="N67" s="6"/>
      <c r="O67" s="5"/>
      <c r="P67" s="6"/>
      <c r="Q67" s="25"/>
      <c r="R67" s="6"/>
      <c r="S67" s="6"/>
      <c r="T67" s="6"/>
      <c r="U67" s="6"/>
      <c r="V67" s="26"/>
      <c r="W67" s="6"/>
      <c r="X67" s="6"/>
      <c r="Y67" s="6"/>
      <c r="Z67" s="6"/>
      <c r="AA67" s="6"/>
      <c r="AB67" s="6"/>
      <c r="AC67" s="6"/>
    </row>
    <row r="68" spans="2:29" ht="20.100000000000001" customHeight="1" x14ac:dyDescent="0.25">
      <c r="B68" s="6"/>
      <c r="C68" s="16"/>
      <c r="D68" s="6" t="s">
        <v>50</v>
      </c>
      <c r="E68" s="67">
        <v>300.66500000000002</v>
      </c>
      <c r="F68" s="6"/>
      <c r="G68" s="6"/>
      <c r="H68" s="6"/>
      <c r="I68" s="6"/>
      <c r="J68" s="6"/>
      <c r="K68" s="6"/>
      <c r="L68" s="6"/>
      <c r="M68" s="6"/>
      <c r="N68" s="6"/>
      <c r="O68" s="5"/>
      <c r="P68" s="6"/>
      <c r="Q68" s="25"/>
      <c r="R68" s="6"/>
      <c r="S68" s="6"/>
      <c r="T68" s="6"/>
      <c r="U68" s="6"/>
      <c r="V68" s="26"/>
      <c r="W68" s="6"/>
      <c r="X68" s="6"/>
      <c r="Y68" s="6"/>
      <c r="Z68" s="6"/>
      <c r="AA68" s="6"/>
      <c r="AB68" s="6"/>
      <c r="AC68" s="6"/>
    </row>
    <row r="69" spans="2:29" ht="20.100000000000001" customHeight="1" x14ac:dyDescent="0.25">
      <c r="B69" s="6"/>
      <c r="C69" s="16"/>
      <c r="D69" s="6" t="s">
        <v>9</v>
      </c>
      <c r="E69" s="67">
        <v>17.172999999999998</v>
      </c>
      <c r="F69" s="6"/>
      <c r="G69" s="6"/>
      <c r="H69" s="6"/>
      <c r="I69" s="6"/>
      <c r="J69" s="6"/>
      <c r="K69" s="6"/>
      <c r="L69" s="6"/>
      <c r="M69" s="6"/>
      <c r="N69" s="6"/>
      <c r="O69" s="5"/>
      <c r="P69" s="6"/>
      <c r="Q69" s="25"/>
      <c r="R69" s="6"/>
      <c r="S69" s="6"/>
      <c r="T69" s="6"/>
      <c r="U69" s="6"/>
      <c r="V69" s="26"/>
      <c r="W69" s="6"/>
      <c r="X69" s="6"/>
      <c r="Y69" s="6"/>
      <c r="Z69" s="6"/>
      <c r="AA69" s="6"/>
      <c r="AB69" s="6"/>
      <c r="AC69" s="6"/>
    </row>
    <row r="70" spans="2:29" ht="20.100000000000001" customHeight="1" x14ac:dyDescent="0.25">
      <c r="B70" s="6"/>
      <c r="C70" s="16"/>
      <c r="D70" s="6" t="s">
        <v>10</v>
      </c>
      <c r="E70" s="67">
        <v>52.036000000000001</v>
      </c>
      <c r="F70" s="6"/>
      <c r="G70" s="6"/>
      <c r="H70" s="6"/>
      <c r="I70" s="6"/>
      <c r="J70" s="6"/>
      <c r="K70" s="6"/>
      <c r="L70" s="6"/>
      <c r="M70" s="6"/>
      <c r="N70" s="6"/>
      <c r="O70" s="5"/>
      <c r="P70" s="6"/>
      <c r="Q70" s="25"/>
      <c r="R70" s="6"/>
      <c r="S70" s="6"/>
      <c r="T70" s="6"/>
      <c r="U70" s="6"/>
      <c r="V70" s="26"/>
      <c r="W70" s="6"/>
      <c r="X70" s="6"/>
      <c r="Y70" s="6"/>
      <c r="Z70" s="6"/>
      <c r="AA70" s="6"/>
      <c r="AB70" s="6"/>
      <c r="AC70" s="6"/>
    </row>
    <row r="71" spans="2:29" ht="20.100000000000001" customHeight="1" x14ac:dyDescent="0.25">
      <c r="B71" s="6"/>
      <c r="C71" s="16"/>
      <c r="D71" s="6" t="s">
        <v>13</v>
      </c>
      <c r="E71" s="67">
        <v>69.209000000000003</v>
      </c>
      <c r="F71" s="6"/>
      <c r="G71" s="6"/>
      <c r="H71" s="6"/>
      <c r="I71" s="6"/>
      <c r="J71" s="6"/>
      <c r="K71" s="6"/>
      <c r="L71" s="6"/>
      <c r="M71" s="6"/>
      <c r="N71" s="6"/>
      <c r="O71" s="5"/>
      <c r="P71" s="6"/>
      <c r="Q71" s="25"/>
      <c r="R71" s="6"/>
      <c r="S71" s="6"/>
      <c r="T71" s="6"/>
      <c r="U71" s="6"/>
      <c r="V71" s="26"/>
      <c r="W71" s="6"/>
      <c r="X71" s="6"/>
      <c r="Y71" s="6"/>
      <c r="Z71" s="6"/>
      <c r="AA71" s="6"/>
      <c r="AB71" s="6"/>
      <c r="AC71" s="6"/>
    </row>
    <row r="72" spans="2:29" ht="20.100000000000001" customHeight="1" x14ac:dyDescent="0.25">
      <c r="B72" s="6"/>
      <c r="C72" s="16"/>
      <c r="D72" s="6" t="s">
        <v>14</v>
      </c>
      <c r="E72" s="67">
        <v>69.209000000000003</v>
      </c>
      <c r="F72" s="6"/>
      <c r="G72" s="6"/>
      <c r="H72" s="6"/>
      <c r="I72" s="6"/>
      <c r="J72" s="6"/>
      <c r="K72" s="6"/>
      <c r="L72" s="6"/>
      <c r="M72" s="6"/>
      <c r="N72" s="6"/>
      <c r="O72" s="5"/>
      <c r="P72" s="6"/>
      <c r="Q72" s="25"/>
      <c r="R72" s="6"/>
      <c r="S72" s="6"/>
      <c r="T72" s="6"/>
      <c r="U72" s="6"/>
      <c r="V72" s="26"/>
      <c r="W72" s="6"/>
      <c r="X72" s="6"/>
      <c r="Y72" s="6"/>
      <c r="Z72" s="6"/>
      <c r="AA72" s="6"/>
      <c r="AB72" s="6"/>
      <c r="AC72" s="6"/>
    </row>
    <row r="73" spans="2:29" ht="20.100000000000001" customHeight="1" x14ac:dyDescent="0.25">
      <c r="B73" s="6"/>
      <c r="C73" s="16"/>
      <c r="D73" s="66" t="s">
        <v>51</v>
      </c>
      <c r="E73" s="68">
        <v>-231.45599999999999</v>
      </c>
      <c r="F73" s="6"/>
      <c r="G73" s="6"/>
      <c r="H73" s="6"/>
      <c r="I73" s="6"/>
      <c r="J73" s="6"/>
      <c r="K73" s="6"/>
      <c r="L73" s="6"/>
      <c r="M73" s="6"/>
      <c r="N73" s="6"/>
      <c r="O73" s="5"/>
      <c r="P73" s="6"/>
      <c r="Q73" s="25"/>
      <c r="R73" s="6"/>
      <c r="S73" s="6"/>
      <c r="T73" s="6"/>
      <c r="U73" s="6"/>
      <c r="V73" s="26"/>
      <c r="W73" s="6"/>
      <c r="X73" s="6"/>
      <c r="Y73" s="6"/>
      <c r="Z73" s="6"/>
      <c r="AA73" s="6"/>
      <c r="AB73" s="6"/>
      <c r="AC73" s="6"/>
    </row>
    <row r="74" spans="2:29" ht="18.95" customHeight="1" x14ac:dyDescent="0.25">
      <c r="B74" s="6"/>
      <c r="C74" s="16"/>
      <c r="D74" s="6"/>
      <c r="E74" s="6"/>
      <c r="F74" s="6"/>
      <c r="G74" s="6"/>
      <c r="H74" s="6"/>
      <c r="I74" s="6"/>
      <c r="J74" s="6"/>
      <c r="K74" s="6"/>
      <c r="L74" s="6"/>
      <c r="M74" s="6"/>
      <c r="N74" s="6"/>
      <c r="O74" s="5"/>
      <c r="P74" s="6"/>
      <c r="Q74" s="25"/>
      <c r="R74" s="6"/>
      <c r="S74" s="6"/>
      <c r="T74" s="6"/>
      <c r="U74" s="6"/>
      <c r="V74" s="26"/>
      <c r="W74" s="6"/>
      <c r="X74" s="6"/>
      <c r="Y74" s="6"/>
      <c r="Z74" s="6"/>
      <c r="AA74" s="6"/>
      <c r="AB74" s="6"/>
      <c r="AC74" s="6"/>
    </row>
    <row r="75" spans="2:29" ht="18.95" customHeight="1" x14ac:dyDescent="0.25">
      <c r="B75" s="6"/>
      <c r="C75" s="16"/>
      <c r="D75" s="6"/>
      <c r="E75" s="6">
        <v>2013</v>
      </c>
      <c r="F75" s="6">
        <v>2014</v>
      </c>
      <c r="G75" s="6">
        <v>2015</v>
      </c>
      <c r="H75" s="6">
        <v>2016</v>
      </c>
      <c r="I75" s="6">
        <v>2017</v>
      </c>
      <c r="J75" s="6">
        <v>2018</v>
      </c>
      <c r="K75" s="6">
        <v>2019</v>
      </c>
      <c r="L75" s="6">
        <v>2020</v>
      </c>
      <c r="M75" s="6">
        <v>2021</v>
      </c>
      <c r="N75" s="162" t="s">
        <v>125</v>
      </c>
      <c r="O75" s="5"/>
      <c r="P75" s="6"/>
      <c r="Q75" s="25"/>
      <c r="R75" s="6"/>
      <c r="S75" s="6"/>
      <c r="T75" s="6"/>
      <c r="U75" s="6"/>
      <c r="V75" s="26"/>
      <c r="W75" s="6"/>
      <c r="X75" s="6"/>
      <c r="Y75" s="6"/>
      <c r="Z75" s="6"/>
      <c r="AA75" s="6"/>
      <c r="AB75" s="6"/>
      <c r="AC75" s="6"/>
    </row>
    <row r="76" spans="2:29" ht="18.95" customHeight="1" x14ac:dyDescent="0.25">
      <c r="B76" s="6"/>
      <c r="C76" s="16"/>
      <c r="D76" s="3" t="s">
        <v>74</v>
      </c>
      <c r="E76" s="33">
        <v>1.6809934360221908</v>
      </c>
      <c r="F76" s="33">
        <v>1.526209553910739</v>
      </c>
      <c r="G76" s="33">
        <v>1.2809548573249903</v>
      </c>
      <c r="H76" s="33">
        <v>1.1175303432122186</v>
      </c>
      <c r="I76" s="33">
        <v>1.0660224576752302</v>
      </c>
      <c r="J76" s="33">
        <v>1.0197833430982686</v>
      </c>
      <c r="K76" s="33">
        <v>0.84243596830661505</v>
      </c>
      <c r="L76" s="33">
        <v>0.177063480243046</v>
      </c>
      <c r="M76" s="33">
        <v>0.27383004186195115</v>
      </c>
      <c r="N76" s="33">
        <v>0.32113732238261622</v>
      </c>
      <c r="O76" s="5"/>
      <c r="P76" s="6"/>
      <c r="Q76" s="25"/>
      <c r="R76" s="6"/>
      <c r="S76" s="6"/>
      <c r="T76" s="6"/>
      <c r="U76" s="6"/>
      <c r="V76" s="26"/>
      <c r="W76" s="6"/>
      <c r="X76" s="6"/>
      <c r="Y76" s="6"/>
      <c r="Z76" s="6"/>
      <c r="AA76" s="6"/>
      <c r="AB76" s="6"/>
      <c r="AC76" s="6"/>
    </row>
    <row r="77" spans="2:29" ht="18.95" customHeight="1" x14ac:dyDescent="0.25">
      <c r="B77" s="6"/>
      <c r="C77" s="16"/>
      <c r="D77" s="3" t="s">
        <v>75</v>
      </c>
      <c r="E77" s="33">
        <v>65535</v>
      </c>
      <c r="F77" s="33">
        <v>65535</v>
      </c>
      <c r="G77" s="33"/>
      <c r="H77" s="33"/>
      <c r="I77" s="33"/>
      <c r="J77" s="33"/>
      <c r="K77" s="33"/>
      <c r="L77" s="33"/>
      <c r="M77" s="33">
        <v>46.414585698070375</v>
      </c>
      <c r="N77" s="33"/>
      <c r="O77" s="5"/>
      <c r="P77" s="6"/>
      <c r="Q77" s="25"/>
      <c r="R77" s="6"/>
      <c r="S77" s="6"/>
      <c r="T77" s="6"/>
      <c r="U77" s="6"/>
      <c r="V77" s="26"/>
      <c r="W77" s="6"/>
      <c r="X77" s="6"/>
      <c r="Y77" s="6"/>
      <c r="Z77" s="6"/>
      <c r="AA77" s="6"/>
      <c r="AB77" s="6"/>
      <c r="AC77" s="6"/>
    </row>
    <row r="78" spans="2:29" x14ac:dyDescent="0.25">
      <c r="B78" s="6"/>
      <c r="C78" s="16"/>
      <c r="D78" s="3" t="s">
        <v>78</v>
      </c>
      <c r="E78" s="33">
        <v>65535</v>
      </c>
      <c r="F78" s="33">
        <v>65535</v>
      </c>
      <c r="G78" s="33">
        <v>65535</v>
      </c>
      <c r="H78" s="33">
        <v>65535</v>
      </c>
      <c r="I78" s="33">
        <v>65535</v>
      </c>
      <c r="J78" s="33">
        <v>65535</v>
      </c>
      <c r="K78" s="33">
        <v>65535</v>
      </c>
      <c r="L78" s="33">
        <v>65535</v>
      </c>
      <c r="M78" s="33">
        <v>65535</v>
      </c>
      <c r="N78" s="33">
        <v>65535</v>
      </c>
      <c r="O78" s="5"/>
      <c r="P78" s="6"/>
      <c r="Q78" s="25"/>
      <c r="R78" s="6"/>
      <c r="S78" s="6"/>
      <c r="T78" s="6"/>
      <c r="U78" s="6"/>
      <c r="V78" s="26"/>
      <c r="W78" s="6"/>
      <c r="X78" s="6"/>
      <c r="Y78" s="6"/>
      <c r="Z78" s="6"/>
      <c r="AA78" s="6"/>
      <c r="AB78" s="6"/>
    </row>
    <row r="79" spans="2:29" x14ac:dyDescent="0.25">
      <c r="B79" s="6"/>
      <c r="C79" s="16"/>
      <c r="D79" s="6"/>
      <c r="E79" s="6"/>
      <c r="F79" s="6"/>
      <c r="G79" s="6"/>
      <c r="H79" s="6"/>
      <c r="I79" s="6"/>
      <c r="J79" s="6"/>
      <c r="K79" s="6"/>
      <c r="L79" s="6"/>
      <c r="M79" s="6"/>
      <c r="N79" s="6"/>
      <c r="O79" s="5"/>
      <c r="P79" s="6"/>
      <c r="Q79" s="25"/>
      <c r="R79" s="6"/>
      <c r="S79" s="6"/>
      <c r="T79" s="6"/>
      <c r="U79" s="6"/>
      <c r="V79" s="26"/>
      <c r="W79" s="6"/>
      <c r="X79" s="6"/>
      <c r="Y79" s="6"/>
      <c r="Z79" s="6"/>
      <c r="AA79" s="6"/>
      <c r="AB79" s="6"/>
    </row>
    <row r="80" spans="2:29" x14ac:dyDescent="0.25">
      <c r="B80" s="6"/>
      <c r="C80" s="16"/>
      <c r="D80" s="6"/>
      <c r="E80" s="6">
        <v>2013</v>
      </c>
      <c r="F80" s="6">
        <v>2014</v>
      </c>
      <c r="G80" s="6">
        <v>2015</v>
      </c>
      <c r="H80" s="6">
        <v>2016</v>
      </c>
      <c r="I80" s="6">
        <v>2017</v>
      </c>
      <c r="J80" s="6">
        <v>2018</v>
      </c>
      <c r="K80" s="6">
        <v>2019</v>
      </c>
      <c r="L80" s="6">
        <v>2020</v>
      </c>
      <c r="M80" s="6">
        <v>2021</v>
      </c>
      <c r="N80" s="162" t="s">
        <v>125</v>
      </c>
      <c r="O80" s="5"/>
      <c r="P80" s="6"/>
      <c r="Q80" s="25"/>
      <c r="R80" s="6"/>
      <c r="S80" s="6"/>
      <c r="T80" s="6"/>
      <c r="U80" s="6"/>
      <c r="V80" s="26"/>
      <c r="W80" s="6"/>
      <c r="X80" s="6"/>
      <c r="Y80" s="6"/>
      <c r="Z80" s="6"/>
      <c r="AA80" s="6"/>
      <c r="AB80" s="6"/>
    </row>
    <row r="81" spans="2:28" x14ac:dyDescent="0.25">
      <c r="B81" s="6"/>
      <c r="C81" s="16"/>
      <c r="D81" s="3" t="s">
        <v>8</v>
      </c>
      <c r="E81" s="33">
        <v>5.6021739999999998</v>
      </c>
      <c r="F81" s="33">
        <v>8.2950429999999997</v>
      </c>
      <c r="G81" s="33">
        <v>19.93</v>
      </c>
      <c r="H81" s="33">
        <v>26.187999999999999</v>
      </c>
      <c r="I81" s="33">
        <v>49.271999999999998</v>
      </c>
      <c r="J81" s="33">
        <v>84.950999999999993</v>
      </c>
      <c r="K81" s="33">
        <v>182.52</v>
      </c>
      <c r="L81" s="33">
        <v>221.67500000000001</v>
      </c>
      <c r="M81" s="33">
        <v>421.43200000000002</v>
      </c>
      <c r="N81" s="33">
        <v>300.66500000000002</v>
      </c>
      <c r="O81" s="5"/>
      <c r="P81" s="6"/>
      <c r="Q81" s="25"/>
      <c r="R81" s="6"/>
      <c r="S81" s="6"/>
      <c r="T81" s="6"/>
      <c r="U81" s="6"/>
      <c r="V81" s="26"/>
      <c r="W81" s="6"/>
      <c r="X81" s="6"/>
      <c r="Y81" s="6"/>
      <c r="Z81" s="6"/>
      <c r="AA81" s="6"/>
      <c r="AB81" s="6"/>
    </row>
    <row r="82" spans="2:28" x14ac:dyDescent="0.25">
      <c r="B82" s="6"/>
      <c r="C82" s="16"/>
      <c r="D82" s="3" t="s">
        <v>13</v>
      </c>
      <c r="E82" s="33">
        <v>2.629451</v>
      </c>
      <c r="F82" s="33">
        <v>4.5451079999999999</v>
      </c>
      <c r="G82" s="33">
        <v>7.2270000000000003</v>
      </c>
      <c r="H82" s="33">
        <v>8.5709999999999997</v>
      </c>
      <c r="I82" s="33">
        <v>7.6429999999999998</v>
      </c>
      <c r="J82" s="33">
        <v>6.569</v>
      </c>
      <c r="K82" s="33">
        <v>25.038</v>
      </c>
      <c r="L82" s="33">
        <v>49.969000000000001</v>
      </c>
      <c r="M82" s="33">
        <v>67.81</v>
      </c>
      <c r="N82" s="33">
        <v>69.209000000000003</v>
      </c>
      <c r="O82" s="5"/>
      <c r="P82" s="6"/>
      <c r="Q82" s="25"/>
      <c r="R82" s="6"/>
      <c r="S82" s="6"/>
      <c r="T82" s="6"/>
      <c r="U82" s="6"/>
      <c r="V82" s="26"/>
      <c r="W82" s="6"/>
      <c r="X82" s="6"/>
      <c r="Y82" s="6"/>
      <c r="Z82" s="6"/>
      <c r="AA82" s="6"/>
      <c r="AB82" s="6"/>
    </row>
    <row r="83" spans="2:28" x14ac:dyDescent="0.25">
      <c r="B83" s="6"/>
      <c r="C83" s="16"/>
      <c r="D83" s="6"/>
      <c r="E83" s="6"/>
      <c r="F83" s="6"/>
      <c r="G83" s="6"/>
      <c r="H83" s="6"/>
      <c r="I83" s="6"/>
      <c r="J83" s="6"/>
      <c r="K83" s="6"/>
      <c r="L83" s="6"/>
      <c r="M83" s="6"/>
      <c r="N83" s="6"/>
      <c r="O83" s="5"/>
      <c r="P83" s="6"/>
      <c r="Q83" s="25"/>
      <c r="R83" s="6"/>
      <c r="S83" s="6"/>
      <c r="T83" s="6"/>
      <c r="U83" s="6"/>
      <c r="V83" s="26"/>
      <c r="W83" s="6"/>
      <c r="X83" s="6"/>
      <c r="Y83" s="6"/>
      <c r="Z83" s="6"/>
      <c r="AA83" s="6"/>
      <c r="AB83" s="6"/>
    </row>
    <row r="84" spans="2:28" x14ac:dyDescent="0.25">
      <c r="B84" s="6"/>
      <c r="C84" s="16"/>
      <c r="D84" s="6"/>
      <c r="E84" s="6"/>
      <c r="F84" s="6"/>
      <c r="G84" s="6"/>
      <c r="H84" s="6"/>
      <c r="I84" s="6"/>
      <c r="J84" s="6"/>
      <c r="K84" s="6"/>
      <c r="L84" s="6"/>
      <c r="M84" s="6"/>
      <c r="N84" s="6"/>
      <c r="O84" s="5"/>
      <c r="P84" s="6"/>
      <c r="Q84" s="25"/>
      <c r="R84" s="6"/>
      <c r="S84" s="6"/>
      <c r="T84" s="6"/>
      <c r="U84" s="6"/>
      <c r="V84" s="26"/>
      <c r="W84" s="6"/>
      <c r="X84" s="6"/>
      <c r="Y84" s="6"/>
      <c r="Z84" s="6"/>
      <c r="AA84" s="6"/>
      <c r="AB84" s="6"/>
    </row>
    <row r="85" spans="2:28" x14ac:dyDescent="0.25">
      <c r="B85" s="6"/>
      <c r="C85" s="16"/>
      <c r="D85" s="6"/>
      <c r="E85" s="6"/>
      <c r="F85" s="6"/>
      <c r="G85" s="6"/>
      <c r="H85" s="6"/>
      <c r="I85" s="6"/>
      <c r="J85" s="6"/>
      <c r="K85" s="6"/>
      <c r="L85" s="6"/>
      <c r="M85" s="6"/>
      <c r="N85" s="6"/>
      <c r="O85" s="5"/>
      <c r="P85" s="6"/>
      <c r="Q85" s="25"/>
      <c r="R85" s="6"/>
      <c r="S85" s="6"/>
      <c r="T85" s="6"/>
      <c r="U85" s="6"/>
      <c r="V85" s="26"/>
      <c r="W85" s="6"/>
      <c r="X85" s="6"/>
      <c r="Y85" s="6"/>
      <c r="Z85" s="6"/>
      <c r="AA85" s="6"/>
      <c r="AB85" s="6"/>
    </row>
    <row r="86" spans="2:28" x14ac:dyDescent="0.25">
      <c r="B86" s="6"/>
      <c r="C86" s="16"/>
      <c r="D86" s="6"/>
      <c r="E86" s="6"/>
      <c r="F86" s="6"/>
      <c r="G86" s="6"/>
      <c r="H86" s="6"/>
      <c r="I86" s="6"/>
      <c r="J86" s="6"/>
      <c r="K86" s="6"/>
      <c r="L86" s="6"/>
      <c r="M86" s="6"/>
      <c r="N86" s="6"/>
      <c r="O86" s="5"/>
      <c r="P86" s="6"/>
      <c r="Q86" s="25"/>
      <c r="R86" s="6"/>
      <c r="S86" s="6"/>
      <c r="T86" s="6"/>
      <c r="U86" s="6"/>
      <c r="V86" s="26"/>
      <c r="W86" s="6"/>
      <c r="X86" s="6"/>
      <c r="Y86" s="6"/>
      <c r="Z86" s="6"/>
      <c r="AA86" s="6"/>
      <c r="AB86" s="6"/>
    </row>
    <row r="87" spans="2:28" x14ac:dyDescent="0.25">
      <c r="B87" s="6"/>
      <c r="C87" s="16"/>
      <c r="D87" s="6"/>
      <c r="E87" s="6"/>
      <c r="F87" s="6"/>
      <c r="G87" s="6"/>
      <c r="H87" s="6"/>
      <c r="I87" s="6"/>
      <c r="J87" s="6"/>
      <c r="K87" s="6"/>
      <c r="L87" s="6"/>
      <c r="M87" s="6"/>
      <c r="N87" s="6"/>
      <c r="O87" s="5"/>
      <c r="P87" s="6"/>
      <c r="Q87" s="25"/>
      <c r="R87" s="6"/>
      <c r="S87" s="6"/>
      <c r="T87" s="6"/>
      <c r="U87" s="6"/>
      <c r="V87" s="26"/>
      <c r="W87" s="6"/>
      <c r="X87" s="6"/>
      <c r="Y87" s="6"/>
      <c r="Z87" s="6"/>
      <c r="AA87" s="6"/>
      <c r="AB87" s="6"/>
    </row>
    <row r="88" spans="2:28" x14ac:dyDescent="0.25">
      <c r="B88" s="6"/>
      <c r="C88" s="16"/>
      <c r="D88" s="6"/>
      <c r="E88" s="6"/>
      <c r="F88" s="6"/>
      <c r="G88" s="6"/>
      <c r="H88" s="6"/>
      <c r="I88" s="6"/>
      <c r="J88" s="6"/>
      <c r="K88" s="6"/>
      <c r="L88" s="6"/>
      <c r="M88" s="6"/>
      <c r="N88" s="6"/>
      <c r="O88" s="5"/>
      <c r="P88" s="6"/>
      <c r="Q88" s="25"/>
      <c r="R88" s="6"/>
      <c r="S88" s="6"/>
      <c r="T88" s="6"/>
      <c r="U88" s="6"/>
      <c r="V88" s="26"/>
      <c r="W88" s="6"/>
      <c r="X88" s="6"/>
      <c r="Y88" s="6"/>
      <c r="Z88" s="6"/>
      <c r="AA88" s="6"/>
      <c r="AB88" s="6"/>
    </row>
    <row r="89" spans="2:28" x14ac:dyDescent="0.25">
      <c r="B89" s="6"/>
      <c r="C89" s="16"/>
      <c r="D89" s="6"/>
      <c r="E89" s="6"/>
      <c r="F89" s="6"/>
      <c r="G89" s="6"/>
      <c r="H89" s="6"/>
      <c r="I89" s="6"/>
      <c r="J89" s="6"/>
      <c r="K89" s="6"/>
      <c r="L89" s="6"/>
      <c r="M89" s="6"/>
      <c r="N89" s="6"/>
      <c r="O89" s="5"/>
      <c r="P89" s="6"/>
      <c r="Q89" s="25"/>
      <c r="R89" s="6"/>
      <c r="S89" s="6"/>
      <c r="T89" s="6"/>
      <c r="U89" s="6"/>
      <c r="V89" s="26"/>
      <c r="W89" s="6"/>
      <c r="X89" s="6"/>
      <c r="Y89" s="6"/>
      <c r="Z89" s="6"/>
      <c r="AA89" s="6"/>
      <c r="AB89" s="6"/>
    </row>
    <row r="90" spans="2:28" x14ac:dyDescent="0.25">
      <c r="B90" s="6"/>
      <c r="C90" s="16"/>
      <c r="D90" s="6"/>
      <c r="E90" s="6"/>
      <c r="F90" s="6"/>
      <c r="G90" s="6"/>
      <c r="H90" s="6"/>
      <c r="I90" s="6"/>
      <c r="J90" s="6"/>
      <c r="K90" s="6"/>
      <c r="L90" s="6"/>
      <c r="M90" s="6"/>
      <c r="N90" s="6"/>
      <c r="O90" s="5"/>
      <c r="P90" s="6"/>
      <c r="Q90" s="25"/>
      <c r="R90" s="6"/>
      <c r="S90" s="6"/>
      <c r="T90" s="6"/>
      <c r="U90" s="6"/>
      <c r="V90" s="26"/>
      <c r="W90" s="6"/>
      <c r="X90" s="6"/>
      <c r="Y90" s="6"/>
      <c r="Z90" s="6"/>
      <c r="AA90" s="6"/>
      <c r="AB90" s="6"/>
    </row>
    <row r="91" spans="2:28" x14ac:dyDescent="0.25">
      <c r="B91" s="6"/>
      <c r="C91" s="16"/>
      <c r="D91" s="6"/>
      <c r="E91" s="6"/>
      <c r="F91" s="6"/>
      <c r="G91" s="6"/>
      <c r="H91" s="6"/>
      <c r="I91" s="6"/>
      <c r="J91" s="6"/>
      <c r="K91" s="6"/>
      <c r="L91" s="6"/>
      <c r="M91" s="6"/>
      <c r="N91" s="6"/>
      <c r="O91" s="5"/>
      <c r="P91" s="6"/>
      <c r="Q91" s="25"/>
      <c r="R91" s="6"/>
      <c r="S91" s="6"/>
      <c r="T91" s="6"/>
      <c r="U91" s="6"/>
      <c r="V91" s="26"/>
      <c r="W91" s="6"/>
      <c r="X91" s="6"/>
      <c r="Y91" s="6"/>
      <c r="Z91" s="6"/>
      <c r="AA91" s="6"/>
      <c r="AB91" s="6"/>
    </row>
    <row r="92" spans="2:28" x14ac:dyDescent="0.25">
      <c r="B92" s="6"/>
      <c r="C92" s="16"/>
      <c r="D92" s="6"/>
      <c r="E92" s="6"/>
      <c r="F92" s="6"/>
      <c r="G92" s="6"/>
      <c r="H92" s="6"/>
      <c r="I92" s="6"/>
      <c r="J92" s="6"/>
      <c r="K92" s="6"/>
      <c r="L92" s="6"/>
      <c r="M92" s="6"/>
      <c r="N92" s="6"/>
      <c r="O92" s="5"/>
      <c r="P92" s="6"/>
      <c r="Q92" s="25"/>
      <c r="R92" s="6"/>
      <c r="S92" s="6"/>
      <c r="T92" s="6"/>
      <c r="U92" s="6"/>
      <c r="V92" s="26"/>
      <c r="W92" s="6"/>
      <c r="X92" s="6"/>
      <c r="Y92" s="6"/>
      <c r="Z92" s="6"/>
      <c r="AA92" s="6"/>
      <c r="AB92" s="6"/>
    </row>
    <row r="93" spans="2:28" x14ac:dyDescent="0.25">
      <c r="B93" s="6"/>
      <c r="C93" s="16"/>
      <c r="D93" s="6"/>
      <c r="E93" s="6"/>
      <c r="F93" s="6"/>
      <c r="G93" s="6"/>
      <c r="H93" s="6"/>
      <c r="I93" s="6"/>
      <c r="J93" s="6"/>
      <c r="K93" s="6"/>
      <c r="L93" s="6"/>
      <c r="M93" s="6"/>
      <c r="N93" s="6"/>
      <c r="O93" s="5"/>
      <c r="P93" s="6"/>
      <c r="Q93" s="25"/>
      <c r="R93" s="6"/>
      <c r="S93" s="6"/>
      <c r="T93" s="6"/>
      <c r="U93" s="6"/>
      <c r="V93" s="26"/>
      <c r="W93" s="6"/>
      <c r="X93" s="6"/>
      <c r="Y93" s="6"/>
      <c r="Z93" s="6"/>
      <c r="AA93" s="6"/>
      <c r="AB93" s="6"/>
    </row>
    <row r="94" spans="2:28" x14ac:dyDescent="0.25">
      <c r="B94" s="6"/>
      <c r="C94" s="16"/>
      <c r="D94" s="6"/>
      <c r="E94" s="6"/>
      <c r="F94" s="6"/>
      <c r="G94" s="6"/>
      <c r="H94" s="6"/>
      <c r="I94" s="6"/>
      <c r="J94" s="6"/>
      <c r="K94" s="6"/>
      <c r="L94" s="6"/>
      <c r="M94" s="6"/>
      <c r="N94" s="6"/>
      <c r="O94" s="5"/>
      <c r="P94" s="6"/>
      <c r="Q94" s="25"/>
      <c r="R94" s="6"/>
      <c r="S94" s="6"/>
      <c r="T94" s="6"/>
      <c r="U94" s="6"/>
      <c r="V94" s="26"/>
      <c r="W94" s="6"/>
      <c r="X94" s="6"/>
      <c r="Y94" s="6"/>
      <c r="Z94" s="6"/>
      <c r="AA94" s="6"/>
      <c r="AB94" s="6"/>
    </row>
    <row r="95" spans="2:28" x14ac:dyDescent="0.25">
      <c r="B95" s="6"/>
      <c r="C95" s="16"/>
      <c r="D95" s="6"/>
      <c r="E95" s="6"/>
      <c r="F95" s="6"/>
      <c r="G95" s="6"/>
      <c r="H95" s="6"/>
      <c r="I95" s="6"/>
      <c r="J95" s="6"/>
      <c r="K95" s="6"/>
      <c r="L95" s="6"/>
      <c r="M95" s="6"/>
      <c r="N95" s="6"/>
      <c r="O95" s="5"/>
      <c r="P95" s="6"/>
      <c r="Q95" s="25"/>
      <c r="R95" s="6"/>
      <c r="S95" s="6"/>
      <c r="T95" s="6"/>
      <c r="U95" s="6"/>
      <c r="V95" s="26"/>
      <c r="W95" s="6"/>
      <c r="X95" s="6"/>
      <c r="Y95" s="6"/>
      <c r="Z95" s="6"/>
      <c r="AA95" s="6"/>
      <c r="AB95" s="6"/>
    </row>
    <row r="96" spans="2:28" x14ac:dyDescent="0.25">
      <c r="B96" s="6"/>
      <c r="C96" s="16"/>
      <c r="D96" s="6"/>
      <c r="E96" s="6"/>
      <c r="F96" s="6"/>
      <c r="G96" s="6"/>
      <c r="H96" s="6"/>
      <c r="I96" s="6"/>
      <c r="J96" s="6"/>
      <c r="K96" s="6"/>
      <c r="L96" s="6"/>
      <c r="M96" s="6"/>
      <c r="N96" s="6"/>
      <c r="O96" s="5"/>
      <c r="P96" s="6"/>
      <c r="Q96" s="25"/>
      <c r="R96" s="6"/>
      <c r="S96" s="6"/>
      <c r="T96" s="6"/>
      <c r="U96" s="6"/>
      <c r="V96" s="26"/>
      <c r="W96" s="6"/>
      <c r="X96" s="6"/>
      <c r="Y96" s="6"/>
      <c r="Z96" s="6"/>
      <c r="AA96" s="6"/>
      <c r="AB96" s="6"/>
    </row>
    <row r="97" spans="2:28" x14ac:dyDescent="0.25">
      <c r="B97" s="6"/>
      <c r="C97" s="16"/>
      <c r="D97" s="6"/>
      <c r="E97" s="6"/>
      <c r="F97" s="6"/>
      <c r="G97" s="6"/>
      <c r="H97" s="6"/>
      <c r="I97" s="6"/>
      <c r="J97" s="6"/>
      <c r="K97" s="6"/>
      <c r="L97" s="6"/>
      <c r="M97" s="6"/>
      <c r="N97" s="6"/>
      <c r="O97" s="5"/>
      <c r="P97" s="6"/>
      <c r="Q97" s="25"/>
      <c r="R97" s="6"/>
      <c r="S97" s="6"/>
      <c r="T97" s="6"/>
      <c r="U97" s="6"/>
      <c r="V97" s="26"/>
      <c r="W97" s="6"/>
      <c r="X97" s="6"/>
      <c r="Y97" s="6"/>
      <c r="Z97" s="6"/>
      <c r="AA97" s="6"/>
      <c r="AB97" s="6"/>
    </row>
    <row r="98" spans="2:28" x14ac:dyDescent="0.25">
      <c r="B98" s="6"/>
      <c r="C98" s="16"/>
      <c r="D98" s="6"/>
      <c r="E98" s="6"/>
      <c r="F98" s="6"/>
      <c r="G98" s="6"/>
      <c r="H98" s="6"/>
      <c r="I98" s="6"/>
      <c r="J98" s="6"/>
      <c r="K98" s="6"/>
      <c r="L98" s="6"/>
      <c r="M98" s="6"/>
      <c r="N98" s="6"/>
      <c r="O98" s="5"/>
      <c r="P98" s="6"/>
      <c r="Q98" s="25"/>
      <c r="R98" s="6"/>
      <c r="S98" s="6"/>
      <c r="T98" s="6"/>
      <c r="U98" s="6"/>
      <c r="V98" s="26"/>
      <c r="W98" s="6"/>
      <c r="X98" s="6"/>
      <c r="Y98" s="6"/>
      <c r="Z98" s="6"/>
      <c r="AA98" s="6"/>
      <c r="AB98" s="6"/>
    </row>
    <row r="99" spans="2:28" x14ac:dyDescent="0.25">
      <c r="B99" s="6"/>
      <c r="C99" s="16"/>
      <c r="D99" s="6"/>
      <c r="E99" s="6"/>
      <c r="F99" s="6"/>
      <c r="G99" s="6"/>
      <c r="H99" s="6"/>
      <c r="I99" s="6"/>
      <c r="J99" s="6"/>
      <c r="K99" s="6"/>
      <c r="L99" s="6"/>
      <c r="M99" s="6"/>
      <c r="N99" s="6"/>
      <c r="O99" s="5"/>
      <c r="P99" s="6"/>
      <c r="Q99" s="25"/>
      <c r="R99" s="6"/>
      <c r="S99" s="6"/>
      <c r="T99" s="6"/>
      <c r="U99" s="6"/>
      <c r="V99" s="26"/>
      <c r="W99" s="6"/>
      <c r="X99" s="6"/>
      <c r="Y99" s="6"/>
      <c r="Z99" s="6"/>
      <c r="AA99" s="6"/>
      <c r="AB99" s="6"/>
    </row>
    <row r="100" spans="2:28" x14ac:dyDescent="0.25">
      <c r="B100" s="6"/>
      <c r="C100" s="16"/>
      <c r="D100" s="6"/>
      <c r="E100" s="6"/>
      <c r="F100" s="6"/>
      <c r="G100" s="6"/>
      <c r="H100" s="6"/>
      <c r="I100" s="6"/>
      <c r="J100" s="6"/>
      <c r="K100" s="6"/>
      <c r="L100" s="6"/>
      <c r="M100" s="6"/>
      <c r="N100" s="6"/>
      <c r="O100" s="5"/>
      <c r="P100" s="6"/>
      <c r="Q100" s="25"/>
      <c r="R100" s="6"/>
      <c r="S100" s="6"/>
      <c r="T100" s="6"/>
      <c r="U100" s="6"/>
      <c r="V100" s="26"/>
      <c r="W100" s="6"/>
      <c r="X100" s="6"/>
      <c r="Y100" s="6"/>
      <c r="Z100" s="6"/>
      <c r="AA100" s="6"/>
      <c r="AB100" s="6"/>
    </row>
    <row r="101" spans="2:28" x14ac:dyDescent="0.25">
      <c r="B101" s="6"/>
      <c r="C101" s="16"/>
      <c r="D101" s="6"/>
      <c r="E101" s="6"/>
      <c r="F101" s="6"/>
      <c r="G101" s="6"/>
      <c r="H101" s="6"/>
      <c r="I101" s="6"/>
      <c r="J101" s="6"/>
      <c r="K101" s="6"/>
      <c r="L101" s="6"/>
      <c r="M101" s="6"/>
      <c r="N101" s="6"/>
      <c r="O101" s="5"/>
      <c r="P101" s="6"/>
      <c r="Q101" s="25"/>
      <c r="R101" s="6"/>
      <c r="S101" s="6"/>
      <c r="T101" s="6"/>
      <c r="U101" s="6"/>
      <c r="V101" s="26"/>
      <c r="W101" s="6"/>
      <c r="X101" s="6"/>
      <c r="Y101" s="6"/>
      <c r="Z101" s="6"/>
      <c r="AA101" s="6"/>
      <c r="AB101" s="6"/>
    </row>
    <row r="102" spans="2:28" x14ac:dyDescent="0.25">
      <c r="B102" s="6"/>
      <c r="C102" s="16"/>
      <c r="D102" s="6"/>
      <c r="E102" s="6"/>
      <c r="F102" s="6"/>
      <c r="G102" s="6"/>
      <c r="H102" s="6"/>
      <c r="I102" s="6"/>
      <c r="J102" s="6"/>
      <c r="K102" s="6"/>
      <c r="L102" s="6"/>
      <c r="M102" s="6"/>
      <c r="N102" s="6"/>
      <c r="O102" s="5"/>
      <c r="P102" s="6"/>
      <c r="Q102" s="25"/>
      <c r="R102" s="6"/>
      <c r="S102" s="6"/>
      <c r="T102" s="6"/>
      <c r="U102" s="6"/>
      <c r="V102" s="26"/>
      <c r="W102" s="6"/>
      <c r="X102" s="6"/>
      <c r="Y102" s="6"/>
    </row>
    <row r="103" spans="2:28" x14ac:dyDescent="0.25">
      <c r="B103" s="6"/>
      <c r="C103" s="16"/>
      <c r="D103" s="6"/>
      <c r="E103" s="6"/>
      <c r="F103" s="6"/>
      <c r="G103" s="6"/>
      <c r="H103" s="6"/>
      <c r="I103" s="6"/>
      <c r="J103" s="6"/>
      <c r="K103" s="6"/>
      <c r="L103" s="6"/>
      <c r="M103" s="6"/>
      <c r="N103" s="6"/>
      <c r="O103" s="5"/>
      <c r="P103" s="6"/>
      <c r="Q103" s="25"/>
      <c r="R103" s="6"/>
      <c r="S103" s="6"/>
      <c r="T103" s="6"/>
      <c r="U103" s="6"/>
      <c r="V103" s="26"/>
      <c r="W103" s="6"/>
      <c r="X103" s="6"/>
      <c r="Y103" s="6"/>
    </row>
    <row r="104" spans="2:28" x14ac:dyDescent="0.25">
      <c r="B104" s="6"/>
      <c r="C104" s="16"/>
      <c r="D104" s="6"/>
      <c r="E104" s="6"/>
      <c r="F104" s="6"/>
      <c r="G104" s="6"/>
      <c r="H104" s="6"/>
      <c r="I104" s="6"/>
      <c r="J104" s="6"/>
      <c r="K104" s="6"/>
      <c r="L104" s="6"/>
      <c r="M104" s="6"/>
      <c r="N104" s="6"/>
      <c r="O104" s="5"/>
      <c r="P104" s="6"/>
      <c r="Q104" s="25"/>
      <c r="R104" s="6"/>
      <c r="S104" s="6"/>
      <c r="T104" s="6"/>
      <c r="U104" s="6"/>
      <c r="V104" s="26"/>
      <c r="W104" s="6"/>
      <c r="X104" s="6"/>
      <c r="Y104" s="6"/>
    </row>
    <row r="105" spans="2:28" x14ac:dyDescent="0.25">
      <c r="B105" s="6"/>
      <c r="C105" s="16"/>
      <c r="D105" s="6"/>
      <c r="E105" s="6"/>
      <c r="F105" s="6"/>
      <c r="G105" s="6"/>
      <c r="H105" s="6"/>
      <c r="I105" s="6"/>
      <c r="J105" s="6"/>
      <c r="K105" s="6"/>
      <c r="L105" s="6"/>
      <c r="M105" s="6"/>
      <c r="N105" s="6"/>
      <c r="O105" s="5"/>
      <c r="P105" s="6"/>
      <c r="Q105" s="25"/>
      <c r="R105" s="6"/>
      <c r="S105" s="6"/>
      <c r="T105" s="6"/>
      <c r="U105" s="6"/>
      <c r="V105" s="26"/>
      <c r="W105" s="6"/>
      <c r="X105" s="6"/>
      <c r="Y105" s="6"/>
    </row>
    <row r="106" spans="2:28" x14ac:dyDescent="0.25">
      <c r="B106" s="6"/>
      <c r="C106" s="16"/>
      <c r="D106" s="6"/>
      <c r="E106" s="6"/>
      <c r="F106" s="6"/>
      <c r="G106" s="6"/>
      <c r="H106" s="6"/>
      <c r="I106" s="6"/>
      <c r="J106" s="6"/>
      <c r="K106" s="6"/>
      <c r="L106" s="6"/>
      <c r="M106" s="6"/>
      <c r="N106" s="6"/>
      <c r="O106" s="5"/>
      <c r="P106" s="6"/>
      <c r="Q106" s="25"/>
      <c r="R106" s="6"/>
      <c r="S106" s="6"/>
      <c r="T106" s="6"/>
      <c r="U106" s="6"/>
      <c r="V106" s="26"/>
      <c r="W106" s="6"/>
      <c r="X106" s="6"/>
      <c r="Y106" s="6"/>
    </row>
    <row r="107" spans="2:28" x14ac:dyDescent="0.25">
      <c r="B107" s="6"/>
      <c r="C107" s="16"/>
      <c r="D107" s="6"/>
      <c r="E107" s="6"/>
      <c r="F107" s="6"/>
      <c r="G107" s="6"/>
      <c r="H107" s="6"/>
      <c r="I107" s="6"/>
      <c r="J107" s="6"/>
      <c r="K107" s="6"/>
      <c r="L107" s="6"/>
      <c r="M107" s="6"/>
      <c r="N107" s="6"/>
      <c r="O107" s="5"/>
      <c r="P107" s="6"/>
      <c r="Q107" s="25"/>
      <c r="R107" s="6"/>
      <c r="S107" s="6"/>
      <c r="T107" s="6"/>
      <c r="U107" s="6"/>
      <c r="V107" s="26"/>
      <c r="W107" s="6"/>
      <c r="X107" s="6"/>
      <c r="Y107" s="6"/>
    </row>
    <row r="108" spans="2:28" x14ac:dyDescent="0.25">
      <c r="B108" s="6"/>
      <c r="C108" s="16"/>
      <c r="D108" s="6"/>
      <c r="E108" s="6"/>
      <c r="F108" s="6"/>
      <c r="G108" s="6"/>
      <c r="H108" s="6"/>
      <c r="I108" s="6"/>
      <c r="J108" s="6"/>
      <c r="K108" s="6"/>
      <c r="L108" s="6"/>
      <c r="M108" s="6"/>
      <c r="N108" s="6"/>
      <c r="O108" s="5"/>
      <c r="P108" s="6"/>
      <c r="Q108" s="25"/>
      <c r="R108" s="6"/>
      <c r="S108" s="6"/>
      <c r="T108" s="6"/>
      <c r="U108" s="6"/>
      <c r="V108" s="26"/>
      <c r="W108" s="6"/>
      <c r="X108" s="6"/>
      <c r="Y108" s="6"/>
    </row>
    <row r="109" spans="2:28" x14ac:dyDescent="0.25">
      <c r="B109" s="6"/>
      <c r="C109" s="16"/>
      <c r="D109" s="6"/>
      <c r="E109" s="6"/>
      <c r="F109" s="6"/>
      <c r="G109" s="6"/>
      <c r="H109" s="6"/>
      <c r="I109" s="6"/>
      <c r="J109" s="6"/>
      <c r="K109" s="6"/>
      <c r="L109" s="6"/>
      <c r="M109" s="6"/>
      <c r="N109" s="6"/>
      <c r="O109" s="5"/>
      <c r="P109" s="6"/>
      <c r="Q109" s="25"/>
      <c r="R109" s="6"/>
      <c r="S109" s="6"/>
      <c r="T109" s="6"/>
      <c r="U109" s="6"/>
      <c r="V109" s="26"/>
      <c r="W109" s="6"/>
      <c r="X109" s="6"/>
      <c r="Y109" s="6"/>
    </row>
    <row r="110" spans="2:28" x14ac:dyDescent="0.25">
      <c r="B110" s="6"/>
      <c r="C110" s="17"/>
      <c r="D110" s="19"/>
      <c r="E110" s="19"/>
      <c r="F110" s="19"/>
      <c r="G110" s="19"/>
      <c r="H110" s="19"/>
      <c r="I110" s="19"/>
      <c r="J110" s="19"/>
      <c r="K110" s="19"/>
      <c r="L110" s="19"/>
      <c r="M110" s="19"/>
      <c r="N110" s="19"/>
      <c r="O110" s="18"/>
      <c r="P110" s="6"/>
      <c r="Q110" s="27"/>
      <c r="R110" s="28"/>
      <c r="S110" s="28"/>
      <c r="T110" s="28"/>
      <c r="U110" s="28"/>
      <c r="V110" s="29"/>
      <c r="W110" s="6"/>
      <c r="X110" s="6"/>
      <c r="Y110" s="6"/>
    </row>
    <row r="111" spans="2:28" x14ac:dyDescent="0.25">
      <c r="B111" s="6"/>
      <c r="C111" s="6"/>
      <c r="D111" s="6"/>
      <c r="E111" s="6"/>
      <c r="F111" s="6"/>
      <c r="G111" s="6"/>
      <c r="H111" s="6"/>
      <c r="I111" s="6"/>
      <c r="J111" s="6"/>
      <c r="K111" s="6"/>
      <c r="L111" s="6"/>
      <c r="M111" s="6"/>
      <c r="N111" s="6"/>
      <c r="O111" s="6"/>
      <c r="P111" s="6"/>
      <c r="Q111" s="6"/>
      <c r="R111" s="6"/>
      <c r="S111" s="6"/>
      <c r="T111" s="6"/>
      <c r="U111" s="6"/>
      <c r="V111" s="6"/>
      <c r="W111" s="6"/>
      <c r="X111" s="6"/>
      <c r="Y111" s="6"/>
    </row>
    <row r="112" spans="2:28" x14ac:dyDescent="0.25">
      <c r="B112" s="6"/>
      <c r="C112" s="6"/>
      <c r="D112" s="6"/>
      <c r="E112" s="6"/>
      <c r="F112" s="6"/>
      <c r="G112" s="6"/>
      <c r="H112" s="6"/>
      <c r="I112" s="6"/>
      <c r="J112" s="6"/>
      <c r="K112" s="6"/>
      <c r="L112" s="6"/>
      <c r="M112" s="6"/>
      <c r="N112" s="6"/>
      <c r="O112" s="6"/>
      <c r="P112" s="6"/>
      <c r="Q112" s="6"/>
      <c r="R112" s="6"/>
      <c r="S112" s="6"/>
      <c r="T112" s="6"/>
      <c r="U112" s="6"/>
      <c r="V112" s="6"/>
      <c r="W112" s="6"/>
      <c r="X112" s="6"/>
      <c r="Y112" s="6"/>
    </row>
    <row r="113" spans="2:25" x14ac:dyDescent="0.25">
      <c r="B113" s="6"/>
      <c r="C113" s="6"/>
      <c r="D113" s="6"/>
      <c r="E113" s="6"/>
      <c r="F113" s="6"/>
      <c r="G113" s="6"/>
      <c r="H113" s="6"/>
      <c r="I113" s="6"/>
      <c r="J113" s="6"/>
      <c r="K113" s="6"/>
      <c r="L113" s="6"/>
      <c r="M113" s="6"/>
      <c r="N113" s="6"/>
      <c r="O113" s="6"/>
      <c r="P113" s="6"/>
      <c r="Q113" s="6"/>
      <c r="R113" s="6"/>
      <c r="S113" s="6"/>
      <c r="T113" s="6"/>
      <c r="U113" s="6"/>
      <c r="V113" s="6"/>
      <c r="W113" s="6"/>
      <c r="X113" s="6"/>
      <c r="Y113" s="6"/>
    </row>
  </sheetData>
  <mergeCells count="31">
    <mergeCell ref="G63:H63"/>
    <mergeCell ref="G64:H65"/>
    <mergeCell ref="I63:J63"/>
    <mergeCell ref="I64:J65"/>
    <mergeCell ref="L2:O2"/>
    <mergeCell ref="L13:M14"/>
    <mergeCell ref="J5:M5"/>
    <mergeCell ref="K63:L63"/>
    <mergeCell ref="K64:L65"/>
    <mergeCell ref="U7:U8"/>
    <mergeCell ref="R10:S10"/>
    <mergeCell ref="R11:S11"/>
    <mergeCell ref="R12:S12"/>
    <mergeCell ref="L9:M9"/>
    <mergeCell ref="L12:M12"/>
    <mergeCell ref="R13:S13"/>
    <mergeCell ref="D2:G2"/>
    <mergeCell ref="D4:G17"/>
    <mergeCell ref="S1:T1"/>
    <mergeCell ref="H1:K1"/>
    <mergeCell ref="K16:L16"/>
    <mergeCell ref="K17:L17"/>
    <mergeCell ref="R7:R8"/>
    <mergeCell ref="S7:S8"/>
    <mergeCell ref="T7:T8"/>
    <mergeCell ref="R14:S14"/>
    <mergeCell ref="S16:T17"/>
    <mergeCell ref="R2:S2"/>
    <mergeCell ref="L8:M8"/>
    <mergeCell ref="J13:K14"/>
    <mergeCell ref="J12:K12"/>
  </mergeCells>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type="column" displayEmptyCellsAs="gap" negative="1" xr2:uid="{A29080DE-1519-4C81-B897-0DCC981AA73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Financials!E21:N21</xm:f>
              <xm:sqref>X21</xm:sqref>
            </x14:sparkline>
            <x14:sparkline>
              <xm:f>Financials!E22:N22</xm:f>
              <xm:sqref>X22</xm:sqref>
            </x14:sparkline>
            <x14:sparkline>
              <xm:f>Financials!E23:N23</xm:f>
              <xm:sqref>X23</xm:sqref>
            </x14:sparkline>
            <x14:sparkline>
              <xm:f>Financials!E24:N24</xm:f>
              <xm:sqref>X24</xm:sqref>
            </x14:sparkline>
            <x14:sparkline>
              <xm:f>Financials!E25:N25</xm:f>
              <xm:sqref>X25</xm:sqref>
            </x14:sparkline>
            <x14:sparkline>
              <xm:f>Financials!E28:N28</xm:f>
              <xm:sqref>X28</xm:sqref>
            </x14:sparkline>
            <x14:sparkline>
              <xm:f>Financials!E29:N29</xm:f>
              <xm:sqref>X29</xm:sqref>
            </x14:sparkline>
            <x14:sparkline>
              <xm:f>Financials!E30:N30</xm:f>
              <xm:sqref>X30</xm:sqref>
            </x14:sparkline>
            <x14:sparkline>
              <xm:f>Financials!E31:N31</xm:f>
              <xm:sqref>X31</xm:sqref>
            </x14:sparkline>
            <x14:sparkline>
              <xm:f>Financials!E32:N32</xm:f>
              <xm:sqref>X32</xm:sqref>
            </x14:sparkline>
            <x14:sparkline>
              <xm:f>Financials!E33:N33</xm:f>
              <xm:sqref>X33</xm:sqref>
            </x14:sparkline>
            <x14:sparkline>
              <xm:f>Financials!E34:N34</xm:f>
              <xm:sqref>X34</xm:sqref>
            </x14:sparkline>
            <x14:sparkline>
              <xm:f>Financials!E35:N35</xm:f>
              <xm:sqref>X35</xm:sqref>
            </x14:sparkline>
            <x14:sparkline>
              <xm:f>Financials!E36:N36</xm:f>
              <xm:sqref>X36</xm:sqref>
            </x14:sparkline>
          </x14:sparklines>
        </x14:sparklineGroup>
        <x14:sparklineGroup displayEmptyCellsAs="gap" xr2:uid="{CFCB6899-40E7-414C-A37D-00F2B1C66BC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Financials!E40:N40</xm:f>
              <xm:sqref>X40</xm:sqref>
            </x14:sparkline>
            <x14:sparkline>
              <xm:f>Financials!E42:N42</xm:f>
              <xm:sqref>X42</xm:sqref>
            </x14:sparkline>
            <x14:sparkline>
              <xm:f>Financials!E44:N44</xm:f>
              <xm:sqref>X44</xm:sqref>
            </x14:sparkline>
            <x14:sparkline>
              <xm:f>Financials!E46:N46</xm:f>
              <xm:sqref>X46</xm:sqref>
            </x14:sparkline>
            <x14:sparkline>
              <xm:f>Financials!E48:N48</xm:f>
              <xm:sqref>X48</xm:sqref>
            </x14:sparkline>
          </x14:sparklines>
        </x14:sparklineGroup>
        <x14:sparklineGroup displayEmptyCellsAs="gap" xr2:uid="{65E6805F-D7CA-40CC-962D-E3B0E777CD2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Financials!E41:N41</xm:f>
              <xm:sqref>X41</xm:sqref>
            </x14:sparkline>
            <x14:sparkline>
              <xm:f>Financials!E43:N43</xm:f>
              <xm:sqref>X43</xm:sqref>
            </x14:sparkline>
            <x14:sparkline>
              <xm:f>Financials!E45:N45</xm:f>
              <xm:sqref>X45</xm:sqref>
            </x14:sparkline>
            <x14:sparkline>
              <xm:f>Financials!E47:N47</xm:f>
              <xm:sqref>X47</xm:sqref>
            </x14:sparkline>
            <x14:sparkline>
              <xm:f>Financials!E49:N49</xm:f>
              <xm:sqref>X49</xm:sqref>
            </x14:sparkline>
          </x14:sparklines>
        </x14:sparklineGroup>
        <x14:sparklineGroup displayEmptyCellsAs="gap" xr2:uid="{94F66E19-BE19-4E2F-9C62-BD233106470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Financials!E50:N50</xm:f>
              <xm:sqref>X50</xm:sqref>
            </x14:sparkline>
          </x14:sparklines>
        </x14:sparklineGroup>
        <x14:sparklineGroup displayEmptyCellsAs="gap" xr2:uid="{C4AD86C1-2E18-494B-94CD-09520F9A857D}">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Financials!E53:N53</xm:f>
              <xm:sqref>X53</xm:sqref>
            </x14:sparkline>
          </x14:sparklines>
        </x14:sparklineGroup>
        <x14:sparklineGroup displayEmptyCellsAs="gap" xr2:uid="{C46EF7F2-33E4-4095-AF62-E5865F92C52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Financials!E54:N54</xm:f>
              <xm:sqref>X54</xm:sqref>
            </x14:sparkline>
          </x14:sparklines>
        </x14:sparklineGroup>
        <x14:sparklineGroup displayEmptyCellsAs="gap" xr2:uid="{433500B4-57E4-4E11-A169-24FAF2AFF48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Financials!E55:N55</xm:f>
              <xm:sqref>X55</xm:sqref>
            </x14:sparkline>
          </x14:sparklines>
        </x14:sparklineGroup>
        <x14:sparklineGroup displayEmptyCellsAs="gap" xr2:uid="{0657F2EC-D237-4E03-AFF7-C85EC724BEF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Financials!E58:N58</xm:f>
              <xm:sqref>X57</xm:sqref>
            </x14:sparkline>
          </x14:sparklines>
        </x14:sparklineGroup>
        <x14:sparklineGroup displayEmptyCellsAs="gap" xr2:uid="{F1101436-E168-4F1E-9D9B-522A4C8209F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Financials!E56:N56</xm:f>
              <xm:sqref>X56</xm:sqref>
            </x14:sparkline>
          </x14:sparklines>
        </x14:sparklineGroup>
        <x14:sparklineGroup displayEmptyCellsAs="gap" xr2:uid="{241835A0-2E04-4194-B0FA-B9A90B7A317C}">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Financials!E59:N59</xm:f>
              <xm:sqref>X58</xm:sqref>
            </x14:sparkline>
          </x14:sparklines>
        </x14:sparklineGroup>
        <x14:sparklineGroup type="column" displayEmptyCellsAs="gap" negative="1" xr2:uid="{230EFFF2-7840-4358-BEBA-8AE1E607380B}">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Financials!E26:N26</xm:f>
              <xm:sqref>X26</xm:sqref>
            </x14:sparkline>
            <x14:sparkline>
              <xm:f>Financials!E27:N27</xm:f>
              <xm:sqref>X27</xm:sqref>
            </x14:sparkline>
          </x14:sparklines>
        </x14:sparklineGroup>
        <x14:sparklineGroup type="column" displayEmptyCellsAs="gap" negative="1" xr2:uid="{8867D16F-86C9-4C32-93AC-D1DD61E3F2AB}">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Financials!E37:N37</xm:f>
              <xm:sqref>X37</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13BEC-2251-41BA-979D-E851580E43EF}">
  <sheetPr codeName="Hoja6"/>
  <dimension ref="A1:S34"/>
  <sheetViews>
    <sheetView workbookViewId="0">
      <selection activeCell="E36" sqref="E36"/>
    </sheetView>
    <sheetView workbookViewId="1"/>
  </sheetViews>
  <sheetFormatPr baseColWidth="10" defaultRowHeight="15" x14ac:dyDescent="0.25"/>
  <cols>
    <col min="2" max="2" width="30" customWidth="1"/>
    <col min="3" max="3" width="33" bestFit="1" customWidth="1"/>
    <col min="4" max="4" width="7.42578125" bestFit="1" customWidth="1"/>
    <col min="5" max="5" width="11.7109375" bestFit="1" customWidth="1"/>
    <col min="6" max="6" width="10.85546875" customWidth="1"/>
    <col min="7" max="7" width="16" bestFit="1" customWidth="1"/>
    <col min="8" max="8" width="14" bestFit="1" customWidth="1"/>
    <col min="9" max="9" width="11.85546875" bestFit="1" customWidth="1"/>
    <col min="10" max="10" width="10.85546875" bestFit="1" customWidth="1"/>
    <col min="11" max="11" width="14.28515625" bestFit="1" customWidth="1"/>
    <col min="12" max="12" width="13.5703125" bestFit="1" customWidth="1"/>
    <col min="13" max="13" width="11.5703125" bestFit="1" customWidth="1"/>
    <col min="14" max="14" width="10.5703125" bestFit="1" customWidth="1"/>
    <col min="15" max="15" width="11" bestFit="1" customWidth="1"/>
    <col min="16" max="16" width="10.140625" bestFit="1" customWidth="1"/>
    <col min="17" max="17" width="11.85546875" bestFit="1" customWidth="1"/>
    <col min="18" max="18" width="16.28515625" bestFit="1" customWidth="1"/>
    <col min="19" max="19" width="18.85546875" bestFit="1" customWidth="1"/>
  </cols>
  <sheetData>
    <row r="1" spans="1:19" s="85" customFormat="1" ht="17.100000000000001" customHeight="1" x14ac:dyDescent="0.25">
      <c r="A1" s="113" t="s">
        <v>101</v>
      </c>
      <c r="B1" s="114" t="s">
        <v>102</v>
      </c>
      <c r="C1" s="115" t="s">
        <v>103</v>
      </c>
      <c r="D1" s="115" t="s">
        <v>124</v>
      </c>
      <c r="E1" s="115" t="s">
        <v>104</v>
      </c>
      <c r="F1" s="115" t="s">
        <v>105</v>
      </c>
      <c r="G1" s="116" t="s">
        <v>106</v>
      </c>
      <c r="H1" s="116" t="s">
        <v>59</v>
      </c>
      <c r="I1" s="116" t="s">
        <v>118</v>
      </c>
      <c r="J1" s="116" t="s">
        <v>107</v>
      </c>
      <c r="K1" s="116" t="s">
        <v>116</v>
      </c>
      <c r="L1" s="116" t="s">
        <v>117</v>
      </c>
      <c r="M1" s="116" t="s">
        <v>121</v>
      </c>
      <c r="N1" s="116" t="s">
        <v>119</v>
      </c>
      <c r="O1" s="116" t="s">
        <v>120</v>
      </c>
      <c r="P1" s="116" t="s">
        <v>112</v>
      </c>
      <c r="Q1" s="116" t="s">
        <v>108</v>
      </c>
      <c r="R1" s="116" t="s">
        <v>109</v>
      </c>
      <c r="S1" s="115" t="s">
        <v>110</v>
      </c>
    </row>
    <row r="2" spans="1:19" ht="17.100000000000001" customHeight="1" x14ac:dyDescent="0.25">
      <c r="A2" s="152" t="str" cm="1">
        <f t="array" ref="A2">_FV(B2,"Ticker symbol",TRUE)</f>
        <v>GOOGL</v>
      </c>
      <c r="B2" s="153" t="e" vm="2">
        <v>#VALUE!</v>
      </c>
      <c r="C2" s="154" t="str" cm="1">
        <f t="array" ref="C2">_FV(B2,"Industry")</f>
        <v>Software &amp; IT Services</v>
      </c>
      <c r="D2" s="155"/>
      <c r="E2" s="156" cm="1">
        <f t="array" ref="E2">_FV(B2,"Price")</f>
        <v>98.02</v>
      </c>
      <c r="F2" s="157">
        <v>5808</v>
      </c>
      <c r="G2" s="149">
        <f t="shared" ref="G2:G33" si="0">F2/E2</f>
        <v>59.25321362987146</v>
      </c>
      <c r="H2" s="107"/>
      <c r="I2" s="94" t="s">
        <v>91</v>
      </c>
      <c r="J2" s="94" t="s">
        <v>93</v>
      </c>
      <c r="K2" s="94"/>
      <c r="L2" s="99">
        <v>0.29499999999999998</v>
      </c>
      <c r="M2" s="99">
        <v>0.41149999999999998</v>
      </c>
      <c r="N2" s="99"/>
      <c r="O2" s="99">
        <v>0.8881</v>
      </c>
      <c r="P2" s="99">
        <v>0.25900000000000001</v>
      </c>
      <c r="Q2" s="94" t="s">
        <v>92</v>
      </c>
      <c r="R2" s="94" t="s">
        <v>89</v>
      </c>
      <c r="S2" s="117">
        <v>44633</v>
      </c>
    </row>
    <row r="3" spans="1:19" ht="17.100000000000001" hidden="1" customHeight="1" x14ac:dyDescent="0.25">
      <c r="A3" s="158" t="str" cm="1">
        <f t="array" ref="A3">_FV(B3,"Ticker symbol",TRUE)</f>
        <v>MSTR</v>
      </c>
      <c r="B3" s="86" t="e" vm="3">
        <v>#VALUE!</v>
      </c>
      <c r="C3" s="87" t="str" cm="1">
        <f t="array" ref="C3">_FV(B3,"Industry")</f>
        <v>Software &amp; IT Services</v>
      </c>
      <c r="D3" s="146"/>
      <c r="E3" s="88" cm="1">
        <f t="array" ref="E3">_FV(B3,"Price")</f>
        <v>240.03</v>
      </c>
      <c r="F3" s="159">
        <v>8499</v>
      </c>
      <c r="G3" s="150">
        <f t="shared" si="0"/>
        <v>35.408073990751156</v>
      </c>
      <c r="H3" s="110"/>
      <c r="I3" s="92" t="s">
        <v>88</v>
      </c>
      <c r="J3" s="93"/>
      <c r="K3" s="93"/>
      <c r="L3" s="93"/>
      <c r="M3" s="93"/>
      <c r="N3" s="93"/>
      <c r="O3" s="93"/>
      <c r="P3" s="93"/>
      <c r="Q3" s="93"/>
      <c r="R3" s="94" t="s">
        <v>89</v>
      </c>
      <c r="S3" s="118">
        <v>44561</v>
      </c>
    </row>
    <row r="4" spans="1:19" ht="17.100000000000001" customHeight="1" x14ac:dyDescent="0.25">
      <c r="A4" s="158" t="str" cm="1">
        <f t="array" ref="A4">_FV(B4,"Ticker symbol",TRUE)</f>
        <v>TUEM</v>
      </c>
      <c r="B4" s="86" t="e" vm="4">
        <v>#VALUE!</v>
      </c>
      <c r="C4" s="87" t="str" cm="1">
        <f t="array" ref="C4">_FV(B4,"Industry")</f>
        <v>Diversified Retail</v>
      </c>
      <c r="D4" s="146"/>
      <c r="E4" s="88" cm="1">
        <f t="array" ref="E4">_FV(B4,"Price")</f>
        <v>0.55189999999999995</v>
      </c>
      <c r="F4" s="108">
        <v>7.9</v>
      </c>
      <c r="G4" s="149">
        <f t="shared" si="0"/>
        <v>14.314187352781303</v>
      </c>
      <c r="H4" s="147"/>
      <c r="I4" s="92" t="s">
        <v>88</v>
      </c>
      <c r="J4" s="92" t="s">
        <v>94</v>
      </c>
      <c r="K4" s="95"/>
      <c r="L4" s="96">
        <v>4.0000000000000001E-3</v>
      </c>
      <c r="M4" s="96">
        <v>-0.2104</v>
      </c>
      <c r="N4" s="96"/>
      <c r="O4" s="96">
        <v>-1.0179</v>
      </c>
      <c r="P4" s="96">
        <v>3.7999999999999999E-2</v>
      </c>
      <c r="Q4" s="92" t="s">
        <v>111</v>
      </c>
      <c r="R4" s="94" t="s">
        <v>89</v>
      </c>
      <c r="S4" s="118">
        <v>44868</v>
      </c>
    </row>
    <row r="5" spans="1:19" ht="17.100000000000001" customHeight="1" x14ac:dyDescent="0.25">
      <c r="A5" s="158" t="str" cm="1">
        <f t="array" ref="A5">_FV(B5,"Ticker symbol",TRUE)</f>
        <v>NTDOY</v>
      </c>
      <c r="B5" s="86" t="e" vm="5">
        <v>#VALUE!</v>
      </c>
      <c r="C5" s="87" t="str" cm="1">
        <f t="array" ref="C5">_FV(B5,"Industry")</f>
        <v>Leisure Products</v>
      </c>
      <c r="D5" s="146"/>
      <c r="E5" s="88" cm="1">
        <f t="array" ref="E5">_FV(B5,"Price")</f>
        <v>10.74</v>
      </c>
      <c r="F5" s="108">
        <v>89</v>
      </c>
      <c r="G5" s="149">
        <f t="shared" si="0"/>
        <v>8.2867783985102417</v>
      </c>
      <c r="H5" s="107"/>
      <c r="I5" s="94" t="s">
        <v>91</v>
      </c>
      <c r="J5" s="94" t="s">
        <v>93</v>
      </c>
      <c r="K5" s="94"/>
      <c r="L5" s="99">
        <v>0.28000000000000003</v>
      </c>
      <c r="M5" s="98">
        <v>0.1</v>
      </c>
      <c r="N5" s="98"/>
      <c r="O5" s="99">
        <v>0.2</v>
      </c>
      <c r="P5" s="99">
        <v>0.25</v>
      </c>
      <c r="Q5" s="94" t="s">
        <v>92</v>
      </c>
      <c r="R5" s="100" t="s">
        <v>98</v>
      </c>
      <c r="S5" s="118">
        <v>44622</v>
      </c>
    </row>
    <row r="6" spans="1:19" ht="17.100000000000001" customHeight="1" x14ac:dyDescent="0.25">
      <c r="A6" s="158" t="str" cm="1">
        <f t="array" ref="A6">_FV(B6,"Ticker symbol",TRUE)</f>
        <v>GBUS</v>
      </c>
      <c r="B6" s="86" t="e" vm="6">
        <v>#VALUE!</v>
      </c>
      <c r="C6" s="87" t="str" cm="1">
        <f t="array" ref="C6">_FV(B6,"Industry")</f>
        <v>Homebuilding &amp; Construction Supplies</v>
      </c>
      <c r="D6" s="146"/>
      <c r="E6" s="89" cm="1">
        <f t="array" ref="E6">_FV(B6,"Price")</f>
        <v>15.5</v>
      </c>
      <c r="F6" s="108">
        <v>87</v>
      </c>
      <c r="G6" s="149">
        <f t="shared" si="0"/>
        <v>5.612903225806452</v>
      </c>
      <c r="H6" s="107"/>
      <c r="I6" s="94" t="s">
        <v>91</v>
      </c>
      <c r="J6" s="97" t="s">
        <v>90</v>
      </c>
      <c r="K6" s="97"/>
      <c r="L6" s="98">
        <v>0.16</v>
      </c>
      <c r="M6" s="99">
        <v>0.4</v>
      </c>
      <c r="N6" s="99"/>
      <c r="O6" s="99">
        <v>1</v>
      </c>
      <c r="P6" s="99">
        <v>0.42</v>
      </c>
      <c r="Q6" s="94" t="s">
        <v>92</v>
      </c>
      <c r="R6" s="94" t="s">
        <v>89</v>
      </c>
      <c r="S6" s="118">
        <v>44670</v>
      </c>
    </row>
    <row r="7" spans="1:19" ht="17.100000000000001" hidden="1" customHeight="1" x14ac:dyDescent="0.25">
      <c r="A7" s="158" t="str" cm="1">
        <f t="array" ref="A7">_FV(B7,"Ticker symbol",TRUE)</f>
        <v>327</v>
      </c>
      <c r="B7" s="86" t="e" vm="7">
        <v>#VALUE!</v>
      </c>
      <c r="C7" s="87" t="str" cm="1">
        <f t="array" ref="C7">_FV(B7,"Industry")</f>
        <v>Office Equipment</v>
      </c>
      <c r="D7" s="146"/>
      <c r="E7" s="88" cm="1">
        <f t="array" ref="E7">_FV(B7,"Price")</f>
        <v>7.22</v>
      </c>
      <c r="F7" s="108">
        <v>36</v>
      </c>
      <c r="G7" s="149">
        <f t="shared" si="0"/>
        <v>4.986149584487535</v>
      </c>
      <c r="H7" s="106"/>
      <c r="I7" s="95" t="s">
        <v>94</v>
      </c>
      <c r="J7" s="97" t="s">
        <v>90</v>
      </c>
      <c r="K7" s="97"/>
      <c r="L7" s="98">
        <v>0.16</v>
      </c>
      <c r="M7" s="99">
        <v>0.1472</v>
      </c>
      <c r="N7" s="99"/>
      <c r="O7" s="99">
        <v>0.45150000000000001</v>
      </c>
      <c r="P7" s="98">
        <v>0.17929999999999999</v>
      </c>
      <c r="Q7" s="94" t="s">
        <v>92</v>
      </c>
      <c r="R7" s="94" t="s">
        <v>89</v>
      </c>
      <c r="S7" s="118">
        <v>44199</v>
      </c>
    </row>
    <row r="8" spans="1:19" ht="17.100000000000001" customHeight="1" x14ac:dyDescent="0.25">
      <c r="A8" s="158" t="str" cm="1">
        <f t="array" ref="A8">_FV(B8,"Ticker symbol",TRUE)</f>
        <v>HEAR</v>
      </c>
      <c r="B8" s="86" t="e" vm="8">
        <v>#VALUE!</v>
      </c>
      <c r="C8" s="87" t="str" cm="1">
        <f t="array" ref="C8">_FV(B8,"Industry")</f>
        <v>Computers, Phones &amp; Household Electronics</v>
      </c>
      <c r="D8" s="146"/>
      <c r="E8" s="88" cm="1">
        <f t="array" ref="E8">_FV(B8,"Price")</f>
        <v>8.51</v>
      </c>
      <c r="F8" s="108">
        <v>41</v>
      </c>
      <c r="G8" s="149">
        <f t="shared" si="0"/>
        <v>4.8178613396004701</v>
      </c>
      <c r="H8" s="106"/>
      <c r="I8" s="97" t="s">
        <v>90</v>
      </c>
      <c r="J8" s="97" t="s">
        <v>90</v>
      </c>
      <c r="K8" s="97"/>
      <c r="L8" s="101">
        <v>4.8000000000000001E-2</v>
      </c>
      <c r="M8" s="96">
        <v>1.7399999999999999E-2</v>
      </c>
      <c r="N8" s="96"/>
      <c r="O8" s="96">
        <v>-0.54259999999999997</v>
      </c>
      <c r="P8" s="102">
        <v>0.11899999999999999</v>
      </c>
      <c r="Q8" s="94" t="s">
        <v>92</v>
      </c>
      <c r="R8" s="97" t="s">
        <v>90</v>
      </c>
      <c r="S8" s="118">
        <v>44584</v>
      </c>
    </row>
    <row r="9" spans="1:19" ht="17.100000000000001" customHeight="1" x14ac:dyDescent="0.25">
      <c r="A9" s="158" t="str" cm="1">
        <f t="array" ref="A9">_FV(B9,"Ticker symbol",TRUE)</f>
        <v>BOTB</v>
      </c>
      <c r="B9" s="86" t="e" vm="9">
        <v>#VALUE!</v>
      </c>
      <c r="C9" s="87" t="str" cm="1">
        <f t="array" ref="C9">_FV(B9,"Industry")</f>
        <v>Hotels &amp; Entertainment Services</v>
      </c>
      <c r="D9" s="146"/>
      <c r="E9" s="88" cm="1">
        <f t="array" ref="E9">_FV(B9,"Price")/100</f>
        <v>4.0999999999999996</v>
      </c>
      <c r="F9" s="108">
        <v>16</v>
      </c>
      <c r="G9" s="149">
        <f t="shared" si="0"/>
        <v>3.9024390243902443</v>
      </c>
      <c r="H9" s="106"/>
      <c r="I9" s="97" t="s">
        <v>90</v>
      </c>
      <c r="J9" s="92" t="s">
        <v>94</v>
      </c>
      <c r="K9" s="95"/>
      <c r="L9" s="98">
        <v>0.2</v>
      </c>
      <c r="M9" s="99">
        <v>1.5</v>
      </c>
      <c r="N9" s="99"/>
      <c r="O9" s="99">
        <v>1</v>
      </c>
      <c r="P9" s="99">
        <v>1.6</v>
      </c>
      <c r="Q9" s="94" t="s">
        <v>92</v>
      </c>
      <c r="R9" s="100" t="s">
        <v>98</v>
      </c>
      <c r="S9" s="118">
        <v>44714</v>
      </c>
    </row>
    <row r="10" spans="1:19" ht="17.100000000000001" customHeight="1" x14ac:dyDescent="0.25">
      <c r="A10" s="158" t="str" cm="1">
        <f t="array" ref="A10">_FV(B10,"Ticker symbol",TRUE)</f>
        <v>AQB</v>
      </c>
      <c r="B10" s="86" t="e" vm="10">
        <v>#VALUE!</v>
      </c>
      <c r="C10" s="87" t="str" cm="1">
        <f t="array" ref="C10">_FV(B10,"Industry")</f>
        <v>Biotechnology &amp; Medical Research</v>
      </c>
      <c r="D10" s="146"/>
      <c r="E10" s="88" cm="1">
        <f t="array" ref="E10">_FV(B10,"Price")</f>
        <v>0.96870000000000001</v>
      </c>
      <c r="F10" s="108">
        <v>4</v>
      </c>
      <c r="G10" s="149">
        <f t="shared" si="0"/>
        <v>4.1292453804067311</v>
      </c>
      <c r="H10" s="110"/>
      <c r="I10" s="92" t="s">
        <v>88</v>
      </c>
      <c r="J10" s="94" t="s">
        <v>93</v>
      </c>
      <c r="K10" s="94"/>
      <c r="L10" s="96">
        <v>-19.001000000000001</v>
      </c>
      <c r="M10" s="99">
        <v>8.2026000000000003</v>
      </c>
      <c r="N10" s="99"/>
      <c r="O10" s="99">
        <v>0.36109999999999998</v>
      </c>
      <c r="P10" s="96">
        <v>-0.10199999999999999</v>
      </c>
      <c r="Q10" s="94" t="s">
        <v>92</v>
      </c>
      <c r="R10" s="97" t="s">
        <v>90</v>
      </c>
      <c r="S10" s="118">
        <v>44575</v>
      </c>
    </row>
    <row r="11" spans="1:19" ht="17.100000000000001" customHeight="1" x14ac:dyDescent="0.25">
      <c r="A11" s="158" t="str" cm="1">
        <f t="array" ref="A11">_FV(B11,"Ticker symbol",TRUE)</f>
        <v>HZO</v>
      </c>
      <c r="B11" s="86" t="e" vm="11">
        <v>#VALUE!</v>
      </c>
      <c r="C11" s="87" t="str" cm="1">
        <f t="array" ref="C11">_FV(B11,"Industry")</f>
        <v>Leisure Products</v>
      </c>
      <c r="D11" s="146"/>
      <c r="E11" s="88" cm="1">
        <f t="array" ref="E11">_FV(B11,"Price")</f>
        <v>34.01</v>
      </c>
      <c r="F11" s="108">
        <v>143</v>
      </c>
      <c r="G11" s="149">
        <f t="shared" si="0"/>
        <v>4.2046456924433988</v>
      </c>
      <c r="H11" s="111"/>
      <c r="I11" s="95" t="s">
        <v>94</v>
      </c>
      <c r="J11" s="97" t="s">
        <v>90</v>
      </c>
      <c r="K11" s="97"/>
      <c r="L11" s="101">
        <v>7.4999999999999997E-2</v>
      </c>
      <c r="M11" s="99">
        <v>0.36670000000000003</v>
      </c>
      <c r="N11" s="99"/>
      <c r="O11" s="99">
        <v>1.0765</v>
      </c>
      <c r="P11" s="98">
        <v>0.20799999999999999</v>
      </c>
      <c r="Q11" s="100" t="s">
        <v>96</v>
      </c>
      <c r="R11" s="97" t="s">
        <v>90</v>
      </c>
      <c r="S11" s="118">
        <v>44584</v>
      </c>
    </row>
    <row r="12" spans="1:19" ht="17.100000000000001" customHeight="1" x14ac:dyDescent="0.25">
      <c r="A12" s="158" t="str" cm="1">
        <f t="array" ref="A12">_FV(B12,"Ticker symbol",TRUE)</f>
        <v>FLWS</v>
      </c>
      <c r="B12" s="86" t="e" vm="12">
        <v>#VALUE!</v>
      </c>
      <c r="C12" s="87" t="str" cm="1">
        <f t="array" ref="C12">_FV(B12,"Industry")</f>
        <v>Specialty Retailers</v>
      </c>
      <c r="D12" s="146"/>
      <c r="E12" s="88" cm="1">
        <f t="array" ref="E12">_FV(B12,"Price")</f>
        <v>9.36</v>
      </c>
      <c r="F12" s="108">
        <v>40</v>
      </c>
      <c r="G12" s="149">
        <f t="shared" si="0"/>
        <v>4.2735042735042734</v>
      </c>
      <c r="H12" s="111"/>
      <c r="I12" s="95" t="s">
        <v>94</v>
      </c>
      <c r="J12" s="100" t="s">
        <v>95</v>
      </c>
      <c r="K12" s="100"/>
      <c r="L12" s="101">
        <v>5.6000000000000001E-2</v>
      </c>
      <c r="M12" s="99">
        <v>0.42470000000000002</v>
      </c>
      <c r="N12" s="99"/>
      <c r="O12" s="99">
        <v>1.0111000000000001</v>
      </c>
      <c r="P12" s="98">
        <v>0.152</v>
      </c>
      <c r="Q12" s="100" t="s">
        <v>96</v>
      </c>
      <c r="R12" s="94" t="s">
        <v>89</v>
      </c>
      <c r="S12" s="118">
        <v>44868</v>
      </c>
    </row>
    <row r="13" spans="1:19" ht="17.100000000000001" customHeight="1" x14ac:dyDescent="0.25">
      <c r="A13" s="158" t="str" cm="1">
        <f t="array" ref="A13">_FV(B13,"Ticker symbol",TRUE)</f>
        <v>NGMS</v>
      </c>
      <c r="B13" s="86" t="e" vm="13">
        <v>#VALUE!</v>
      </c>
      <c r="C13" s="87" t="str" cm="1">
        <f t="array" ref="C13">_FV(B13,"Industry")</f>
        <v>Software &amp; IT Services</v>
      </c>
      <c r="D13" s="146"/>
      <c r="E13" s="88" cm="1">
        <f t="array" ref="E13">_FV(B13,"Price")</f>
        <v>12.29</v>
      </c>
      <c r="F13" s="108">
        <v>47</v>
      </c>
      <c r="G13" s="150">
        <f t="shared" si="0"/>
        <v>3.8242473555736374</v>
      </c>
      <c r="H13" s="106">
        <v>0.06</v>
      </c>
      <c r="I13" s="95" t="s">
        <v>94</v>
      </c>
      <c r="J13" s="94" t="s">
        <v>93</v>
      </c>
      <c r="K13" s="107">
        <v>1</v>
      </c>
      <c r="L13" s="101">
        <v>0.13</v>
      </c>
      <c r="M13" s="99">
        <v>0.28999999999999998</v>
      </c>
      <c r="N13" s="99"/>
      <c r="O13" s="99"/>
      <c r="P13" s="99">
        <v>0.4</v>
      </c>
      <c r="Q13" s="94" t="s">
        <v>92</v>
      </c>
      <c r="R13" s="94" t="s">
        <v>89</v>
      </c>
      <c r="S13" s="118">
        <v>44685</v>
      </c>
    </row>
    <row r="14" spans="1:19" ht="17.100000000000001" hidden="1" customHeight="1" x14ac:dyDescent="0.25">
      <c r="A14" s="158" t="str" cm="1">
        <f t="array" ref="A14">_FV(B14,"Ticker symbol",TRUE)</f>
        <v>META</v>
      </c>
      <c r="B14" s="86" t="e" vm="14">
        <v>#VALUE!</v>
      </c>
      <c r="C14" s="87" t="str" cm="1">
        <f t="array" ref="C14">_FV(B14,"Industry")</f>
        <v>Software &amp; IT Services</v>
      </c>
      <c r="D14" s="146">
        <v>0.1</v>
      </c>
      <c r="E14" s="88" cm="1">
        <f t="array" ref="E14">_FV(B14,"Price")</f>
        <v>139.37</v>
      </c>
      <c r="F14" s="108">
        <v>454</v>
      </c>
      <c r="G14" s="149">
        <f t="shared" si="0"/>
        <v>3.257515964698285</v>
      </c>
      <c r="H14" s="166">
        <v>0.08</v>
      </c>
      <c r="I14" s="95" t="s">
        <v>94</v>
      </c>
      <c r="J14" s="144" t="s">
        <v>93</v>
      </c>
      <c r="K14" s="167">
        <v>0.8</v>
      </c>
      <c r="L14" s="103">
        <v>0.3</v>
      </c>
      <c r="M14" s="103">
        <v>0.2</v>
      </c>
      <c r="N14" s="103">
        <v>0.1</v>
      </c>
      <c r="O14" s="103">
        <v>0.14000000000000001</v>
      </c>
      <c r="P14" s="103">
        <v>0.28000000000000003</v>
      </c>
      <c r="Q14" s="144" t="s">
        <v>92</v>
      </c>
      <c r="R14" s="144" t="s">
        <v>89</v>
      </c>
      <c r="S14" s="118">
        <v>44940</v>
      </c>
    </row>
    <row r="15" spans="1:19" ht="17.100000000000001" customHeight="1" x14ac:dyDescent="0.25">
      <c r="A15" s="158" t="str" cm="1">
        <f t="array" ref="A15">_FV(B15,"Ticker symbol",TRUE)</f>
        <v>SFTBF</v>
      </c>
      <c r="B15" s="86" t="e" vm="15">
        <v>#VALUE!</v>
      </c>
      <c r="C15" s="87" t="str" cm="1">
        <f t="array" ref="C15">_FV(B15,"Industry")</f>
        <v>Telecommunications Services</v>
      </c>
      <c r="D15" s="146"/>
      <c r="E15" s="88" cm="1">
        <f t="array" ref="E15">_FV(B15,"Price")</f>
        <v>46.33</v>
      </c>
      <c r="F15" s="108">
        <v>156</v>
      </c>
      <c r="G15" s="149">
        <f t="shared" si="0"/>
        <v>3.3671487157349449</v>
      </c>
      <c r="H15" s="106"/>
      <c r="I15" s="95" t="s">
        <v>94</v>
      </c>
      <c r="J15" s="93"/>
      <c r="K15" s="93"/>
      <c r="L15" s="93"/>
      <c r="M15" s="93"/>
      <c r="N15" s="93"/>
      <c r="O15" s="93"/>
      <c r="P15" s="93"/>
      <c r="Q15" s="93"/>
      <c r="R15" s="94" t="s">
        <v>89</v>
      </c>
      <c r="S15" s="118">
        <v>44694</v>
      </c>
    </row>
    <row r="16" spans="1:19" ht="17.100000000000001" customHeight="1" x14ac:dyDescent="0.25">
      <c r="A16" s="158" t="str" cm="1">
        <f t="array" ref="A16">_FV(B16,"Ticker symbol",TRUE)</f>
        <v>CRMT</v>
      </c>
      <c r="B16" s="86" t="e" vm="16">
        <v>#VALUE!</v>
      </c>
      <c r="C16" s="87" t="str" cm="1">
        <f t="array" ref="C16">_FV(B16,"Industry")</f>
        <v>Specialty Retailers</v>
      </c>
      <c r="D16" s="146"/>
      <c r="E16" s="88" cm="1">
        <f t="array" ref="E16">_FV(B16,"Price")</f>
        <v>77.42</v>
      </c>
      <c r="F16" s="108">
        <v>227</v>
      </c>
      <c r="G16" s="149">
        <f t="shared" si="0"/>
        <v>2.9320588995091708</v>
      </c>
      <c r="H16" s="106"/>
      <c r="I16" s="97" t="s">
        <v>90</v>
      </c>
      <c r="J16" s="97" t="s">
        <v>90</v>
      </c>
      <c r="K16" s="97"/>
      <c r="L16" s="101">
        <v>0.113</v>
      </c>
      <c r="M16" s="99">
        <v>0.23369999999999999</v>
      </c>
      <c r="N16" s="99"/>
      <c r="O16" s="99">
        <v>1.0283</v>
      </c>
      <c r="P16" s="102">
        <v>0.13700000000000001</v>
      </c>
      <c r="Q16" s="97" t="s">
        <v>97</v>
      </c>
      <c r="R16" s="100" t="s">
        <v>98</v>
      </c>
      <c r="S16" s="118">
        <v>44584</v>
      </c>
    </row>
    <row r="17" spans="1:19" ht="17.100000000000001" customHeight="1" x14ac:dyDescent="0.25">
      <c r="A17" s="158">
        <v>4934</v>
      </c>
      <c r="B17" s="86" t="s">
        <v>99</v>
      </c>
      <c r="C17" s="87" t="s">
        <v>100</v>
      </c>
      <c r="D17" s="146"/>
      <c r="E17" s="90">
        <v>3770</v>
      </c>
      <c r="F17" s="159">
        <v>9800</v>
      </c>
      <c r="G17" s="149">
        <f t="shared" si="0"/>
        <v>2.5994694960212201</v>
      </c>
      <c r="H17" s="106"/>
      <c r="I17" s="97" t="s">
        <v>90</v>
      </c>
      <c r="J17" s="97" t="s">
        <v>90</v>
      </c>
      <c r="K17" s="97"/>
      <c r="L17" s="101">
        <v>7.0000000000000007E-2</v>
      </c>
      <c r="M17" s="99">
        <v>0.6</v>
      </c>
      <c r="N17" s="99"/>
      <c r="O17" s="99">
        <v>2</v>
      </c>
      <c r="P17" s="99">
        <v>0.4</v>
      </c>
      <c r="Q17" s="94" t="s">
        <v>92</v>
      </c>
      <c r="R17" s="100" t="s">
        <v>98</v>
      </c>
      <c r="S17" s="118">
        <v>44681</v>
      </c>
    </row>
    <row r="18" spans="1:19" ht="17.100000000000001" hidden="1" customHeight="1" x14ac:dyDescent="0.25">
      <c r="A18" s="158" t="str" cm="1">
        <f t="array" ref="A18">_FV(B18,"Ticker symbol",TRUE)</f>
        <v>EVVTY</v>
      </c>
      <c r="B18" s="86" t="e" vm="1">
        <v>#VALUE!</v>
      </c>
      <c r="C18" s="87" t="str" cm="1">
        <f t="array" ref="C18">_FV(B18,"Industry")</f>
        <v>Hotels &amp; Entertainment Services</v>
      </c>
      <c r="D18" s="146">
        <v>0.1</v>
      </c>
      <c r="E18" s="88" cm="1">
        <f t="array" ref="E18">_FV(B18,"Price")</f>
        <v>113.26</v>
      </c>
      <c r="F18" s="108">
        <v>331</v>
      </c>
      <c r="G18" s="149">
        <f t="shared" si="0"/>
        <v>2.9224792512802402</v>
      </c>
      <c r="H18" s="168">
        <v>0.03</v>
      </c>
      <c r="I18" s="95" t="s">
        <v>94</v>
      </c>
      <c r="J18" s="94" t="s">
        <v>93</v>
      </c>
      <c r="K18" s="94" t="s">
        <v>140</v>
      </c>
      <c r="L18" s="99">
        <v>0.57999999999999996</v>
      </c>
      <c r="M18" s="99">
        <v>0.55000000000000004</v>
      </c>
      <c r="N18" s="99">
        <v>0.6</v>
      </c>
      <c r="O18" s="99">
        <v>1.24</v>
      </c>
      <c r="P18" s="98">
        <v>0.21</v>
      </c>
      <c r="Q18" s="94" t="s">
        <v>92</v>
      </c>
      <c r="R18" s="94" t="s">
        <v>89</v>
      </c>
      <c r="S18" s="118">
        <v>44940</v>
      </c>
    </row>
    <row r="19" spans="1:19" ht="17.100000000000001" customHeight="1" x14ac:dyDescent="0.25">
      <c r="A19" s="158" t="str" cm="1">
        <f t="array" ref="A19">_FV(B19,"Ticker symbol",TRUE)</f>
        <v>NVDA</v>
      </c>
      <c r="B19" s="86" t="e" vm="17">
        <v>#VALUE!</v>
      </c>
      <c r="C19" s="87" t="str" cm="1">
        <f t="array" ref="C19">_FV(B19,"Industry")</f>
        <v>Semiconductors &amp; Semiconductor Equipment</v>
      </c>
      <c r="D19" s="146"/>
      <c r="E19" s="88" cm="1">
        <f t="array" ref="E19">_FV(B19,"Price")</f>
        <v>178.39</v>
      </c>
      <c r="F19" s="108">
        <v>310</v>
      </c>
      <c r="G19" s="150">
        <f t="shared" si="0"/>
        <v>1.7377655698189363</v>
      </c>
      <c r="H19" s="110">
        <v>0.02</v>
      </c>
      <c r="I19" s="94" t="s">
        <v>91</v>
      </c>
      <c r="J19" s="94" t="s">
        <v>93</v>
      </c>
      <c r="K19" s="139">
        <v>0.65</v>
      </c>
      <c r="L19" s="99">
        <v>0.36</v>
      </c>
      <c r="M19" s="99">
        <v>0.3</v>
      </c>
      <c r="N19" s="103">
        <v>0.4</v>
      </c>
      <c r="O19" s="99">
        <v>0.42</v>
      </c>
      <c r="P19" s="99">
        <v>0.41</v>
      </c>
      <c r="Q19" s="94" t="s">
        <v>92</v>
      </c>
      <c r="R19" s="94" t="s">
        <v>89</v>
      </c>
      <c r="S19" s="118">
        <v>44687</v>
      </c>
    </row>
    <row r="20" spans="1:19" ht="17.100000000000001" customHeight="1" x14ac:dyDescent="0.25">
      <c r="A20" s="158" t="str" cm="1">
        <f t="array" ref="A20">_FV(B20,"Ticker symbol",TRUE)</f>
        <v>CRSR</v>
      </c>
      <c r="B20" s="86" t="e" vm="18">
        <v>#VALUE!</v>
      </c>
      <c r="C20" s="87" t="str" cm="1">
        <f t="array" ref="C20">_FV(B20,"Industry")</f>
        <v>Computers, Phones &amp; Household Electronics</v>
      </c>
      <c r="D20" s="146"/>
      <c r="E20" s="88" cm="1">
        <f t="array" ref="E20">_FV(B20,"Price")</f>
        <v>14.41</v>
      </c>
      <c r="F20" s="108">
        <v>26</v>
      </c>
      <c r="G20" s="149">
        <f t="shared" si="0"/>
        <v>1.8043025676613462</v>
      </c>
      <c r="H20" s="111"/>
      <c r="I20" s="95" t="s">
        <v>94</v>
      </c>
      <c r="J20" s="100" t="s">
        <v>95</v>
      </c>
      <c r="K20" s="100"/>
      <c r="L20" s="101">
        <v>5.2999999999999999E-2</v>
      </c>
      <c r="M20" s="98">
        <v>0.11849999999999999</v>
      </c>
      <c r="N20" s="98"/>
      <c r="O20" s="96">
        <v>-2.1899999999999999E-2</v>
      </c>
      <c r="P20" s="102">
        <v>0.13100000000000001</v>
      </c>
      <c r="Q20" s="100" t="s">
        <v>96</v>
      </c>
      <c r="R20" s="100" t="s">
        <v>98</v>
      </c>
      <c r="S20" s="119">
        <v>44599</v>
      </c>
    </row>
    <row r="21" spans="1:19" ht="17.100000000000001" customHeight="1" x14ac:dyDescent="0.25">
      <c r="A21" s="158" t="str" cm="1">
        <f t="array" ref="A21">_FV(B21,"Ticker symbol",TRUE)</f>
        <v>SAND</v>
      </c>
      <c r="B21" s="86" t="e" vm="19">
        <v>#VALUE!</v>
      </c>
      <c r="C21" s="87" t="str" cm="1">
        <f t="array" ref="C21">_FV(B21,"Industry")</f>
        <v>Metals &amp; Mining</v>
      </c>
      <c r="D21" s="146"/>
      <c r="E21" s="88" cm="1">
        <f t="array" ref="E21">_FV(B21,"Price")</f>
        <v>6.05</v>
      </c>
      <c r="F21" s="108">
        <v>10</v>
      </c>
      <c r="G21" s="149">
        <f t="shared" si="0"/>
        <v>1.6528925619834711</v>
      </c>
      <c r="H21" s="111"/>
      <c r="I21" s="95" t="s">
        <v>94</v>
      </c>
      <c r="J21" s="94" t="s">
        <v>93</v>
      </c>
      <c r="K21" s="94"/>
      <c r="L21" s="98">
        <v>0.24</v>
      </c>
      <c r="M21" s="99">
        <v>0.23469999999999999</v>
      </c>
      <c r="N21" s="103"/>
      <c r="O21" s="103">
        <v>0.99909999999999999</v>
      </c>
      <c r="P21" s="96">
        <v>4.7E-2</v>
      </c>
      <c r="Q21" s="94" t="s">
        <v>92</v>
      </c>
      <c r="R21" s="94" t="s">
        <v>89</v>
      </c>
      <c r="S21" s="118">
        <v>44584</v>
      </c>
    </row>
    <row r="22" spans="1:19" ht="17.100000000000001" customHeight="1" x14ac:dyDescent="0.25">
      <c r="A22" s="158" t="str" cm="1">
        <f t="array" ref="A22">_FV(B22,"Ticker symbol",TRUE)</f>
        <v>OPRA</v>
      </c>
      <c r="B22" s="86" t="e" vm="20">
        <v>#VALUE!</v>
      </c>
      <c r="C22" s="87" t="str" cm="1">
        <f t="array" ref="C22">_FV(B22,"Industry")</f>
        <v>Software &amp; IT Services</v>
      </c>
      <c r="D22" s="146"/>
      <c r="E22" s="88" cm="1">
        <f t="array" ref="E22">_FV(B22,"Price")</f>
        <v>7.01</v>
      </c>
      <c r="F22" s="108">
        <v>10</v>
      </c>
      <c r="G22" s="149">
        <f t="shared" si="0"/>
        <v>1.4265335235378032</v>
      </c>
      <c r="H22" s="107"/>
      <c r="I22" s="97" t="s">
        <v>90</v>
      </c>
      <c r="J22" s="92" t="s">
        <v>94</v>
      </c>
      <c r="K22" s="107">
        <v>0.94</v>
      </c>
      <c r="L22" s="96">
        <v>-6.3E-2</v>
      </c>
      <c r="M22" s="99">
        <v>0.13</v>
      </c>
      <c r="N22" s="143">
        <v>-0.1</v>
      </c>
      <c r="O22" s="143">
        <v>-1.72</v>
      </c>
      <c r="P22" s="96">
        <v>2.5000000000000001E-2</v>
      </c>
      <c r="Q22" s="94" t="s">
        <v>92</v>
      </c>
      <c r="R22" s="92" t="s">
        <v>123</v>
      </c>
      <c r="S22" s="118">
        <v>44694</v>
      </c>
    </row>
    <row r="23" spans="1:19" ht="17.100000000000001" customHeight="1" x14ac:dyDescent="0.25">
      <c r="A23" s="158" t="str" cm="1">
        <f t="array" ref="A23">_FV(B23,"Ticker symbol",TRUE)</f>
        <v>CROX</v>
      </c>
      <c r="B23" s="86" t="e" vm="21">
        <v>#VALUE!</v>
      </c>
      <c r="C23" s="87" t="str" cm="1">
        <f t="array" ref="C23">_FV(B23,"Industry")</f>
        <v>Textiles &amp; Apparel</v>
      </c>
      <c r="D23" s="146"/>
      <c r="E23" s="88" cm="1">
        <f t="array" ref="E23">_FV(B23,"Price")</f>
        <v>122.4</v>
      </c>
      <c r="F23" s="108">
        <v>180</v>
      </c>
      <c r="G23" s="150">
        <f t="shared" si="0"/>
        <v>1.4705882352941175</v>
      </c>
      <c r="H23" s="107">
        <v>0.11</v>
      </c>
      <c r="I23" s="94" t="s">
        <v>91</v>
      </c>
      <c r="J23" s="94" t="s">
        <v>93</v>
      </c>
      <c r="K23" s="139">
        <v>0.6</v>
      </c>
      <c r="L23" s="99">
        <v>0.3</v>
      </c>
      <c r="M23" s="98">
        <v>0.08</v>
      </c>
      <c r="N23" s="99">
        <v>0.25</v>
      </c>
      <c r="O23" s="99">
        <v>0.2</v>
      </c>
      <c r="P23" s="99">
        <v>0.3</v>
      </c>
      <c r="Q23" s="92" t="s">
        <v>111</v>
      </c>
      <c r="R23" s="94" t="s">
        <v>89</v>
      </c>
      <c r="S23" s="118">
        <v>44689</v>
      </c>
    </row>
    <row r="24" spans="1:19" ht="17.100000000000001" customHeight="1" x14ac:dyDescent="0.25">
      <c r="A24" s="158" t="str" cm="1">
        <f t="array" ref="A24">_FV(B24,"Ticker symbol",TRUE)</f>
        <v>ATHM</v>
      </c>
      <c r="B24" s="86" t="e" vm="22">
        <v>#VALUE!</v>
      </c>
      <c r="C24" s="87" t="str" cm="1">
        <f t="array" ref="C24">_FV(B24,"Industry")</f>
        <v>Media &amp; Publishing</v>
      </c>
      <c r="D24" s="146"/>
      <c r="E24" s="88" cm="1">
        <f t="array" ref="E24">_FV(B24,"Price")</f>
        <v>37.57</v>
      </c>
      <c r="F24" s="108">
        <v>49</v>
      </c>
      <c r="G24" s="149">
        <f t="shared" si="0"/>
        <v>1.3042321000798509</v>
      </c>
      <c r="H24" s="110"/>
      <c r="I24" s="92" t="s">
        <v>88</v>
      </c>
      <c r="J24" s="97" t="s">
        <v>90</v>
      </c>
      <c r="K24" s="107">
        <v>0.85</v>
      </c>
      <c r="L24" s="99">
        <v>0.35399999999999998</v>
      </c>
      <c r="M24" s="96">
        <v>0</v>
      </c>
      <c r="N24" s="96">
        <v>0.03</v>
      </c>
      <c r="O24" s="96">
        <v>-0.04</v>
      </c>
      <c r="P24" s="102">
        <v>0.16700000000000001</v>
      </c>
      <c r="Q24" s="94" t="s">
        <v>92</v>
      </c>
      <c r="R24" s="92" t="s">
        <v>123</v>
      </c>
      <c r="S24" s="118">
        <v>44694</v>
      </c>
    </row>
    <row r="25" spans="1:19" ht="17.100000000000001" customHeight="1" x14ac:dyDescent="0.25">
      <c r="A25" s="158" t="str" cm="1">
        <f t="array" ref="A25">_FV(B25,"Ticker symbol",TRUE)</f>
        <v>DNP</v>
      </c>
      <c r="B25" s="86" t="e" vm="23">
        <v>#VALUE!</v>
      </c>
      <c r="C25" s="87" t="str" cm="1">
        <f t="array" ref="C25">_FV(B25,"Industry")</f>
        <v>Food &amp; Drug Retailing</v>
      </c>
      <c r="D25" s="146"/>
      <c r="E25" s="91" cm="1">
        <f t="array" ref="E25">_FV(B25,"Price")</f>
        <v>363.9</v>
      </c>
      <c r="F25" s="108">
        <v>492</v>
      </c>
      <c r="G25" s="149">
        <f t="shared" si="0"/>
        <v>1.3520197856553999</v>
      </c>
      <c r="H25" s="107"/>
      <c r="I25" s="94" t="s">
        <v>91</v>
      </c>
      <c r="J25" s="94" t="s">
        <v>93</v>
      </c>
      <c r="K25" s="94"/>
      <c r="L25" s="101">
        <v>0.06</v>
      </c>
      <c r="M25" s="99">
        <v>0.3</v>
      </c>
      <c r="N25" s="103"/>
      <c r="O25" s="103">
        <v>0.25</v>
      </c>
      <c r="P25" s="98">
        <v>0.22</v>
      </c>
      <c r="Q25" s="100" t="s">
        <v>96</v>
      </c>
      <c r="R25" s="100" t="s">
        <v>98</v>
      </c>
      <c r="S25" s="118">
        <v>44631</v>
      </c>
    </row>
    <row r="26" spans="1:19" ht="17.100000000000001" customHeight="1" x14ac:dyDescent="0.25">
      <c r="A26" s="158" t="str" cm="1">
        <f t="array" ref="A26">_FV(B26,"Ticker symbol",TRUE)</f>
        <v>XPEL</v>
      </c>
      <c r="B26" s="86" t="e" vm="24">
        <v>#VALUE!</v>
      </c>
      <c r="C26" s="87" t="str" cm="1">
        <f t="array" ref="C26">_FV(B26,"Industry")</f>
        <v>Automobiles &amp; Auto Parts</v>
      </c>
      <c r="D26" s="146"/>
      <c r="E26" s="88" cm="1">
        <f t="array" ref="E26">_FV(B26,"Price")</f>
        <v>71.61</v>
      </c>
      <c r="F26" s="108">
        <v>98</v>
      </c>
      <c r="G26" s="150">
        <f t="shared" si="0"/>
        <v>1.3685239491691106</v>
      </c>
      <c r="H26" s="110">
        <v>0.01</v>
      </c>
      <c r="I26" s="94" t="s">
        <v>91</v>
      </c>
      <c r="J26" s="94" t="s">
        <v>93</v>
      </c>
      <c r="K26" s="101">
        <v>0.35</v>
      </c>
      <c r="L26" s="101">
        <v>0.12</v>
      </c>
      <c r="M26" s="99">
        <v>0.3</v>
      </c>
      <c r="N26" s="99">
        <v>0.3</v>
      </c>
      <c r="O26" s="99">
        <v>0.5</v>
      </c>
      <c r="P26" s="112">
        <v>0.49</v>
      </c>
      <c r="Q26" s="100" t="s">
        <v>96</v>
      </c>
      <c r="R26" s="94" t="s">
        <v>89</v>
      </c>
      <c r="S26" s="118">
        <v>44685</v>
      </c>
    </row>
    <row r="27" spans="1:19" ht="17.100000000000001" customHeight="1" x14ac:dyDescent="0.25">
      <c r="A27" s="158" t="str" cm="1">
        <f t="array" ref="A27">_FV(B27,"Ticker symbol",TRUE)</f>
        <v>1830</v>
      </c>
      <c r="B27" s="86" t="e" vm="25">
        <v>#VALUE!</v>
      </c>
      <c r="C27" s="87" t="str" cm="1">
        <f t="array" ref="C27">_FV(B27,"Industry")</f>
        <v>Personal &amp; Household Products &amp; Services</v>
      </c>
      <c r="D27" s="146"/>
      <c r="E27" s="88" cm="1">
        <f t="array" ref="E27">_FV(B27,"Price")</f>
        <v>4.5199999999999996</v>
      </c>
      <c r="F27" s="108">
        <v>6</v>
      </c>
      <c r="G27" s="149">
        <f t="shared" si="0"/>
        <v>1.3274336283185841</v>
      </c>
      <c r="H27" s="110"/>
      <c r="I27" s="92" t="s">
        <v>88</v>
      </c>
      <c r="J27" s="92" t="s">
        <v>94</v>
      </c>
      <c r="K27" s="95"/>
      <c r="L27" s="99">
        <v>0.26</v>
      </c>
      <c r="M27" s="99">
        <v>0.3</v>
      </c>
      <c r="N27" s="99"/>
      <c r="O27" s="99">
        <v>0.25</v>
      </c>
      <c r="P27" s="99">
        <v>0.32</v>
      </c>
      <c r="Q27" s="94" t="s">
        <v>92</v>
      </c>
      <c r="R27" s="100" t="s">
        <v>98</v>
      </c>
      <c r="S27" s="118">
        <v>44671</v>
      </c>
    </row>
    <row r="28" spans="1:19" ht="17.100000000000001" customHeight="1" x14ac:dyDescent="0.25">
      <c r="A28" s="158" t="str" cm="1">
        <f t="array" ref="A28">_FV(B28,"Ticker symbol",TRUE)</f>
        <v>SPGI</v>
      </c>
      <c r="B28" s="86" t="e" vm="26">
        <v>#VALUE!</v>
      </c>
      <c r="C28" s="87" t="str" cm="1">
        <f t="array" ref="C28">_FV(B28,"Industry")</f>
        <v>Professional &amp; Commercial Services</v>
      </c>
      <c r="D28" s="146"/>
      <c r="E28" s="88" cm="1">
        <f t="array" ref="E28">_FV(B28,"Price")</f>
        <v>368.05</v>
      </c>
      <c r="F28" s="108">
        <v>471</v>
      </c>
      <c r="G28" s="150">
        <f t="shared" si="0"/>
        <v>1.2797174296970519</v>
      </c>
      <c r="H28" s="107">
        <v>0.03</v>
      </c>
      <c r="I28" s="94" t="s">
        <v>91</v>
      </c>
      <c r="J28" s="94" t="s">
        <v>93</v>
      </c>
      <c r="K28" s="139">
        <v>0.73</v>
      </c>
      <c r="L28" s="99">
        <v>0.36</v>
      </c>
      <c r="M28" s="98">
        <v>0.1</v>
      </c>
      <c r="N28" s="103">
        <v>0.24</v>
      </c>
      <c r="O28" s="103">
        <v>0.2</v>
      </c>
      <c r="P28" s="99">
        <v>0.36</v>
      </c>
      <c r="Q28" s="94" t="s">
        <v>92</v>
      </c>
      <c r="R28" s="97"/>
      <c r="S28" s="118">
        <v>44694</v>
      </c>
    </row>
    <row r="29" spans="1:19" ht="17.100000000000001" customHeight="1" x14ac:dyDescent="0.25">
      <c r="A29" s="158" t="str" cm="1">
        <f t="array" ref="A29">_FV(B29,"Ticker symbol",TRUE)</f>
        <v>FLEX</v>
      </c>
      <c r="B29" s="86" t="e" vm="27">
        <v>#VALUE!</v>
      </c>
      <c r="C29" s="87" t="str" cm="1">
        <f t="array" ref="C29">_FV(B29,"Industry")</f>
        <v>Electronic Equipment &amp; Parts</v>
      </c>
      <c r="D29" s="146"/>
      <c r="E29" s="88" cm="1">
        <f t="array" ref="E29">_FV(B29,"Price")</f>
        <v>24.24</v>
      </c>
      <c r="F29" s="108">
        <v>29</v>
      </c>
      <c r="G29" s="151">
        <f t="shared" si="0"/>
        <v>1.1963696369636965</v>
      </c>
      <c r="H29" s="106"/>
      <c r="I29" s="97" t="s">
        <v>90</v>
      </c>
      <c r="J29" s="97" t="s">
        <v>90</v>
      </c>
      <c r="K29" s="97"/>
      <c r="L29" s="145">
        <v>2.5000000000000001E-2</v>
      </c>
      <c r="M29" s="145">
        <v>-3.5000000000000001E-3</v>
      </c>
      <c r="N29" s="96"/>
      <c r="O29" s="99">
        <v>5.9993999999999996</v>
      </c>
      <c r="P29" s="142">
        <v>9.2999999999999999E-2</v>
      </c>
      <c r="Q29" s="97" t="s">
        <v>97</v>
      </c>
      <c r="R29" s="100" t="s">
        <v>98</v>
      </c>
      <c r="S29" s="120">
        <v>44584</v>
      </c>
    </row>
    <row r="30" spans="1:19" ht="17.100000000000001" customHeight="1" x14ac:dyDescent="0.25">
      <c r="A30" s="158" t="str" cm="1">
        <f t="array" ref="A30">_FV(B30,"Ticker symbol",TRUE)</f>
        <v>MTCH</v>
      </c>
      <c r="B30" s="86" t="e" vm="28">
        <v>#VALUE!</v>
      </c>
      <c r="C30" s="87" t="str" cm="1">
        <f t="array" ref="C30">_FV(B30,"Industry")</f>
        <v>Software &amp; IT Services</v>
      </c>
      <c r="D30" s="146"/>
      <c r="E30" s="88" cm="1">
        <f t="array" ref="E30">_FV(B30,"Price")</f>
        <v>50.42</v>
      </c>
      <c r="F30" s="108">
        <v>46</v>
      </c>
      <c r="G30" s="151">
        <f t="shared" si="0"/>
        <v>0.91233637445458149</v>
      </c>
      <c r="H30" s="107"/>
      <c r="I30" s="94" t="s">
        <v>91</v>
      </c>
      <c r="J30" s="94" t="s">
        <v>93</v>
      </c>
      <c r="K30" s="94"/>
      <c r="L30" s="101">
        <v>9.2999999999999999E-2</v>
      </c>
      <c r="M30" s="109">
        <v>0.24759999999999999</v>
      </c>
      <c r="N30" s="99"/>
      <c r="O30" s="103">
        <v>1.1601999999999999</v>
      </c>
      <c r="P30" s="102">
        <v>0.108</v>
      </c>
      <c r="Q30" s="100" t="s">
        <v>96</v>
      </c>
      <c r="R30" s="97" t="s">
        <v>90</v>
      </c>
      <c r="S30" s="120">
        <v>44631</v>
      </c>
    </row>
    <row r="31" spans="1:19" ht="17.100000000000001" customHeight="1" x14ac:dyDescent="0.25">
      <c r="A31" s="158" t="str" cm="1">
        <f t="array" ref="A31">_FV(B31,"Ticker symbol",TRUE)</f>
        <v>GMWKF</v>
      </c>
      <c r="B31" s="86" t="e" vm="29">
        <v>#VALUE!</v>
      </c>
      <c r="C31" s="87" t="str" cm="1">
        <f t="array" ref="C31">_FV(B31,"Industry")</f>
        <v>Leisure Products</v>
      </c>
      <c r="D31" s="146"/>
      <c r="E31" s="88" cm="1">
        <f t="array" ref="E31">_FV(B31,"Price")</f>
        <v>112.075</v>
      </c>
      <c r="F31" s="108">
        <v>101</v>
      </c>
      <c r="G31" s="151">
        <f t="shared" si="0"/>
        <v>0.90118224403301361</v>
      </c>
      <c r="H31" s="140"/>
      <c r="I31" s="94" t="s">
        <v>91</v>
      </c>
      <c r="J31" s="94" t="s">
        <v>93</v>
      </c>
      <c r="K31" s="94"/>
      <c r="L31" s="99">
        <v>0.33</v>
      </c>
      <c r="M31" s="99">
        <v>0.3</v>
      </c>
      <c r="N31" s="99"/>
      <c r="O31" s="103">
        <v>0.6</v>
      </c>
      <c r="P31" s="99">
        <v>0.52</v>
      </c>
      <c r="Q31" s="94" t="s">
        <v>92</v>
      </c>
      <c r="R31" s="94" t="s">
        <v>89</v>
      </c>
      <c r="S31" s="120">
        <v>44583</v>
      </c>
    </row>
    <row r="32" spans="1:19" ht="17.100000000000001" customHeight="1" x14ac:dyDescent="0.25">
      <c r="A32" s="158" t="str" cm="1">
        <f t="array" ref="A32">_FV(B32,"Ticker symbol",TRUE)</f>
        <v>MAD</v>
      </c>
      <c r="B32" s="86" t="e" vm="30">
        <v>#VALUE!</v>
      </c>
      <c r="C32" s="87" t="str" cm="1">
        <f t="array" ref="C32">_FV(B32,"Industry")</f>
        <v>Professional &amp; Commercial Services</v>
      </c>
      <c r="D32" s="146"/>
      <c r="E32" s="88" cm="1">
        <f t="array" ref="E32">_FV(B32,"Price")</f>
        <v>3.98</v>
      </c>
      <c r="F32" s="108">
        <v>3</v>
      </c>
      <c r="G32" s="151">
        <f t="shared" si="0"/>
        <v>0.75376884422110557</v>
      </c>
      <c r="H32" s="140"/>
      <c r="I32" s="94" t="s">
        <v>91</v>
      </c>
      <c r="J32" s="97" t="s">
        <v>90</v>
      </c>
      <c r="K32" s="97"/>
      <c r="L32" s="96">
        <v>0.03</v>
      </c>
      <c r="M32" s="99">
        <v>0.3</v>
      </c>
      <c r="N32" s="99"/>
      <c r="O32" s="103">
        <v>0.2</v>
      </c>
      <c r="P32" s="109">
        <v>0.25</v>
      </c>
      <c r="Q32" s="97" t="s">
        <v>97</v>
      </c>
      <c r="R32" s="148" t="s">
        <v>89</v>
      </c>
      <c r="S32" s="120">
        <v>44653</v>
      </c>
    </row>
    <row r="33" spans="1:19" ht="17.100000000000001" customHeight="1" x14ac:dyDescent="0.25">
      <c r="A33" s="160" t="str" cm="1">
        <f t="array" ref="A33">_FV(B33,"Ticker symbol",TRUE)</f>
        <v>DOCS</v>
      </c>
      <c r="B33" s="127" t="e" vm="31">
        <v>#VALUE!</v>
      </c>
      <c r="C33" s="127" t="str" cm="1">
        <f t="array" ref="C33">_FV(B33,"Industry")</f>
        <v>Textiles &amp; Apparel</v>
      </c>
      <c r="D33" s="161"/>
      <c r="E33" s="128" cm="1">
        <f t="array" ref="E33">_FV(B33,"Price")/100</f>
        <v>1.3959999999999999</v>
      </c>
      <c r="F33" s="129"/>
      <c r="G33" s="151">
        <f t="shared" si="0"/>
        <v>0</v>
      </c>
      <c r="H33" s="111"/>
      <c r="I33" s="95" t="s">
        <v>94</v>
      </c>
      <c r="J33" s="94" t="s">
        <v>93</v>
      </c>
      <c r="K33" s="94"/>
      <c r="L33" s="94"/>
      <c r="M33" s="130"/>
      <c r="N33" s="130"/>
      <c r="O33" s="131"/>
      <c r="P33" s="130"/>
      <c r="Q33" s="130"/>
      <c r="R33" s="132"/>
      <c r="S33" s="119">
        <v>44677</v>
      </c>
    </row>
    <row r="34" spans="1:19" ht="15.75" x14ac:dyDescent="0.25">
      <c r="A34" s="122" t="s">
        <v>122</v>
      </c>
      <c r="B34" s="123">
        <f>SUBTOTAL(103,Tabla1[Nombre])</f>
        <v>28</v>
      </c>
      <c r="C34" s="123"/>
      <c r="D34" s="169">
        <f>AVERAGE(Tabla1[IR])</f>
        <v>0.1</v>
      </c>
      <c r="E34" s="124"/>
      <c r="F34" s="125"/>
      <c r="G34" s="126">
        <f>MEDIAN(G2:G33)</f>
        <v>2.76097437365073</v>
      </c>
      <c r="H34" s="133">
        <f>SUBTOTAL(101,Tabla1[FCF Yield])</f>
        <v>4.5999999999999999E-2</v>
      </c>
      <c r="I34" s="136"/>
      <c r="J34" s="134"/>
      <c r="K34" s="141">
        <f>SUBTOTAL(101,Tabla1[M. Bruto])</f>
        <v>0.73142857142857132</v>
      </c>
      <c r="L34" s="137">
        <f>SUBTOTAL(101,Tabla1[M. Neto])</f>
        <v>-0.57876923076923092</v>
      </c>
      <c r="M34" s="135">
        <f>SUBTOTAL(101,Tabla1[Δ Rev.])</f>
        <v>0.57859615384615393</v>
      </c>
      <c r="N34" s="135">
        <f>SUBTOTAL(101,Tabla1[Δ FCF])</f>
        <v>0.18666666666666668</v>
      </c>
      <c r="O34" s="135">
        <f>SUBTOTAL(101,Tabla1[Δ EPS])</f>
        <v>0.64005599999999996</v>
      </c>
      <c r="P34" s="137">
        <f>SUBTOTAL(101,Tabla1[CFROIC])</f>
        <v>0.28161538461538466</v>
      </c>
      <c r="Q34" s="136"/>
      <c r="R34" s="138"/>
      <c r="S34" s="121">
        <f>SUBTOTAL(105,Tabla1[Last Modified])</f>
        <v>44575</v>
      </c>
    </row>
  </sheetData>
  <conditionalFormatting sqref="G35:G36 G1:G33 G38:G1048576">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C78D3-4F4A-4EFD-9AC2-10B5A7065E61}">
  <sheetPr codeName="Hoja3"/>
  <dimension ref="A1:O117"/>
  <sheetViews>
    <sheetView workbookViewId="0">
      <selection activeCell="G10" sqref="G10"/>
    </sheetView>
    <sheetView workbookViewId="1">
      <selection activeCell="B2" sqref="B2"/>
    </sheetView>
  </sheetViews>
  <sheetFormatPr baseColWidth="10" defaultColWidth="9.140625" defaultRowHeight="15" x14ac:dyDescent="0.25"/>
  <cols>
    <col min="1" max="1" width="17.7109375" bestFit="1" customWidth="1"/>
    <col min="2" max="2" width="12" bestFit="1" customWidth="1"/>
  </cols>
  <sheetData>
    <row r="1" spans="1:15" ht="15.75" x14ac:dyDescent="0.25">
      <c r="A1" s="191" t="s">
        <v>505</v>
      </c>
      <c r="B1" s="192"/>
      <c r="C1" s="192"/>
      <c r="D1" s="192"/>
      <c r="E1" s="192"/>
      <c r="F1" s="192"/>
      <c r="G1" s="192"/>
      <c r="H1" s="193"/>
      <c r="I1" s="222" t="s">
        <v>506</v>
      </c>
      <c r="J1" s="223"/>
      <c r="K1" s="224"/>
    </row>
    <row r="2" spans="1:15" x14ac:dyDescent="0.25">
      <c r="A2" s="197" t="s">
        <v>18</v>
      </c>
      <c r="B2" s="198">
        <v>1000000</v>
      </c>
      <c r="H2" s="194"/>
      <c r="I2" s="197"/>
      <c r="K2" s="194"/>
    </row>
    <row r="3" spans="1:15" x14ac:dyDescent="0.25">
      <c r="A3" s="197" t="s">
        <v>39</v>
      </c>
      <c r="B3">
        <v>24</v>
      </c>
      <c r="H3" s="194"/>
      <c r="I3" s="197"/>
      <c r="K3" s="194"/>
    </row>
    <row r="4" spans="1:15" x14ac:dyDescent="0.25">
      <c r="A4" s="197"/>
      <c r="B4" s="78"/>
      <c r="H4" s="194"/>
      <c r="I4" s="197"/>
      <c r="K4" s="194"/>
    </row>
    <row r="5" spans="1:15" x14ac:dyDescent="0.25">
      <c r="H5" s="194"/>
      <c r="I5" s="197"/>
      <c r="K5" s="194"/>
    </row>
    <row r="6" spans="1:15" x14ac:dyDescent="0.25">
      <c r="A6" s="197"/>
      <c r="B6" s="199"/>
      <c r="H6" s="194"/>
      <c r="I6" s="197"/>
      <c r="K6" s="194"/>
      <c r="O6" s="78"/>
    </row>
    <row r="7" spans="1:15" x14ac:dyDescent="0.25">
      <c r="H7" s="194"/>
      <c r="I7" s="197"/>
      <c r="K7" s="194"/>
    </row>
    <row r="8" spans="1:15" x14ac:dyDescent="0.25">
      <c r="A8" s="197"/>
      <c r="H8" s="194"/>
      <c r="I8" s="197"/>
      <c r="K8" s="194"/>
    </row>
    <row r="9" spans="1:15" x14ac:dyDescent="0.25">
      <c r="A9" s="197"/>
      <c r="H9" s="194"/>
      <c r="I9" s="197"/>
      <c r="K9" s="194"/>
    </row>
    <row r="10" spans="1:15" x14ac:dyDescent="0.25">
      <c r="A10" s="197"/>
      <c r="H10" s="194"/>
      <c r="I10" s="197"/>
      <c r="K10" s="194"/>
    </row>
    <row r="11" spans="1:15" x14ac:dyDescent="0.25">
      <c r="A11" s="197"/>
      <c r="H11" s="194"/>
      <c r="I11" s="197"/>
      <c r="K11" s="194"/>
    </row>
    <row r="12" spans="1:15" x14ac:dyDescent="0.25">
      <c r="A12" s="197"/>
      <c r="H12" s="194"/>
      <c r="I12" s="197"/>
      <c r="K12" s="194"/>
    </row>
    <row r="13" spans="1:15" x14ac:dyDescent="0.25">
      <c r="A13" s="197"/>
      <c r="H13" s="194"/>
      <c r="I13" s="197"/>
      <c r="K13" s="194"/>
    </row>
    <row r="14" spans="1:15" x14ac:dyDescent="0.25">
      <c r="A14" s="197"/>
      <c r="H14" s="194"/>
      <c r="I14" s="197"/>
      <c r="K14" s="194"/>
    </row>
    <row r="15" spans="1:15" x14ac:dyDescent="0.25">
      <c r="A15" s="197"/>
      <c r="H15" s="194"/>
      <c r="I15" s="197"/>
      <c r="K15" s="194"/>
    </row>
    <row r="16" spans="1:15" x14ac:dyDescent="0.25">
      <c r="A16" s="200"/>
      <c r="B16" s="195"/>
      <c r="C16" s="195"/>
      <c r="D16" s="195"/>
      <c r="E16" s="195"/>
      <c r="F16" s="195"/>
      <c r="G16" s="195"/>
      <c r="H16" s="196"/>
      <c r="I16" s="200"/>
      <c r="J16" s="195"/>
      <c r="K16" s="196"/>
    </row>
    <row r="17" spans="1:1" ht="15.75" x14ac:dyDescent="0.25">
      <c r="A17" s="191" t="s">
        <v>503</v>
      </c>
    </row>
    <row r="18" spans="1:1" x14ac:dyDescent="0.25">
      <c r="A18" s="202" t="s">
        <v>504</v>
      </c>
    </row>
    <row r="19" spans="1:1" x14ac:dyDescent="0.25">
      <c r="A19" s="194" t="str" cm="1">
        <f t="array" ref="A19:A50">Tabla1[Ticker]</f>
        <v>GOOGL</v>
      </c>
    </row>
    <row r="20" spans="1:1" x14ac:dyDescent="0.25">
      <c r="A20" s="194" t="str">
        <v>MSTR</v>
      </c>
    </row>
    <row r="21" spans="1:1" x14ac:dyDescent="0.25">
      <c r="A21" s="194" t="str">
        <v>TUEM</v>
      </c>
    </row>
    <row r="22" spans="1:1" x14ac:dyDescent="0.25">
      <c r="A22" s="194" t="str">
        <v>NTDOY</v>
      </c>
    </row>
    <row r="23" spans="1:1" x14ac:dyDescent="0.25">
      <c r="A23" s="194" t="str">
        <v>GBUS</v>
      </c>
    </row>
    <row r="24" spans="1:1" x14ac:dyDescent="0.25">
      <c r="A24" s="194" t="str">
        <v>327</v>
      </c>
    </row>
    <row r="25" spans="1:1" x14ac:dyDescent="0.25">
      <c r="A25" s="194" t="str">
        <v>HEAR</v>
      </c>
    </row>
    <row r="26" spans="1:1" x14ac:dyDescent="0.25">
      <c r="A26" s="194" t="str">
        <v>BOTB</v>
      </c>
    </row>
    <row r="27" spans="1:1" x14ac:dyDescent="0.25">
      <c r="A27" s="194" t="str">
        <v>AQB</v>
      </c>
    </row>
    <row r="28" spans="1:1" x14ac:dyDescent="0.25">
      <c r="A28" s="194" t="str">
        <v>HZO</v>
      </c>
    </row>
    <row r="29" spans="1:1" x14ac:dyDescent="0.25">
      <c r="A29" s="194" t="str">
        <v>FLWS</v>
      </c>
    </row>
    <row r="30" spans="1:1" x14ac:dyDescent="0.25">
      <c r="A30" s="194" t="str">
        <v>NGMS</v>
      </c>
    </row>
    <row r="31" spans="1:1" x14ac:dyDescent="0.25">
      <c r="A31" s="194" t="str">
        <v>META</v>
      </c>
    </row>
    <row r="32" spans="1:1" x14ac:dyDescent="0.25">
      <c r="A32" s="194" t="str">
        <v>SFTBF</v>
      </c>
    </row>
    <row r="33" spans="1:1" x14ac:dyDescent="0.25">
      <c r="A33" s="194" t="str">
        <v>CRMT</v>
      </c>
    </row>
    <row r="34" spans="1:1" x14ac:dyDescent="0.25">
      <c r="A34" s="201">
        <v>4934</v>
      </c>
    </row>
    <row r="35" spans="1:1" x14ac:dyDescent="0.25">
      <c r="A35" s="194" t="str">
        <v>EVVTY</v>
      </c>
    </row>
    <row r="36" spans="1:1" x14ac:dyDescent="0.25">
      <c r="A36" s="194" t="str">
        <v>NVDA</v>
      </c>
    </row>
    <row r="37" spans="1:1" x14ac:dyDescent="0.25">
      <c r="A37" s="194" t="str">
        <v>CRSR</v>
      </c>
    </row>
    <row r="38" spans="1:1" x14ac:dyDescent="0.25">
      <c r="A38" s="194" t="str">
        <v>SAND</v>
      </c>
    </row>
    <row r="39" spans="1:1" x14ac:dyDescent="0.25">
      <c r="A39" s="194" t="str">
        <v>OPRA</v>
      </c>
    </row>
    <row r="40" spans="1:1" x14ac:dyDescent="0.25">
      <c r="A40" s="194" t="str">
        <v>CROX</v>
      </c>
    </row>
    <row r="41" spans="1:1" x14ac:dyDescent="0.25">
      <c r="A41" s="194" t="str">
        <v>ATHM</v>
      </c>
    </row>
    <row r="42" spans="1:1" x14ac:dyDescent="0.25">
      <c r="A42" s="194" t="str">
        <v>DNP</v>
      </c>
    </row>
    <row r="43" spans="1:1" x14ac:dyDescent="0.25">
      <c r="A43" s="194" t="str">
        <v>XPEL</v>
      </c>
    </row>
    <row r="44" spans="1:1" x14ac:dyDescent="0.25">
      <c r="A44" s="194" t="str">
        <v>1830</v>
      </c>
    </row>
    <row r="45" spans="1:1" x14ac:dyDescent="0.25">
      <c r="A45" s="194" t="str">
        <v>SPGI</v>
      </c>
    </row>
    <row r="46" spans="1:1" x14ac:dyDescent="0.25">
      <c r="A46" s="194" t="str">
        <v>FLEX</v>
      </c>
    </row>
    <row r="47" spans="1:1" x14ac:dyDescent="0.25">
      <c r="A47" s="194" t="str">
        <v>MTCH</v>
      </c>
    </row>
    <row r="48" spans="1:1" x14ac:dyDescent="0.25">
      <c r="A48" s="194" t="str">
        <v>GMWKF</v>
      </c>
    </row>
    <row r="49" spans="1:1" x14ac:dyDescent="0.25">
      <c r="A49" s="194" t="str">
        <v>MAD</v>
      </c>
    </row>
    <row r="50" spans="1:1" x14ac:dyDescent="0.25">
      <c r="A50" s="194" t="str">
        <v>DOCS</v>
      </c>
    </row>
    <row r="51" spans="1:1" x14ac:dyDescent="0.25">
      <c r="A51" s="194"/>
    </row>
    <row r="52" spans="1:1" x14ac:dyDescent="0.25">
      <c r="A52" s="194"/>
    </row>
    <row r="53" spans="1:1" x14ac:dyDescent="0.25">
      <c r="A53" s="194"/>
    </row>
    <row r="54" spans="1:1" x14ac:dyDescent="0.25">
      <c r="A54" s="194"/>
    </row>
    <row r="55" spans="1:1" x14ac:dyDescent="0.25">
      <c r="A55" s="194"/>
    </row>
    <row r="56" spans="1:1" x14ac:dyDescent="0.25">
      <c r="A56" s="194"/>
    </row>
    <row r="57" spans="1:1" x14ac:dyDescent="0.25">
      <c r="A57" s="194"/>
    </row>
    <row r="58" spans="1:1" x14ac:dyDescent="0.25">
      <c r="A58" s="194"/>
    </row>
    <row r="59" spans="1:1" x14ac:dyDescent="0.25">
      <c r="A59" s="194"/>
    </row>
    <row r="60" spans="1:1" x14ac:dyDescent="0.25">
      <c r="A60" s="194"/>
    </row>
    <row r="61" spans="1:1" x14ac:dyDescent="0.25">
      <c r="A61" s="194"/>
    </row>
    <row r="62" spans="1:1" x14ac:dyDescent="0.25">
      <c r="A62" s="194"/>
    </row>
    <row r="63" spans="1:1" x14ac:dyDescent="0.25">
      <c r="A63" s="194"/>
    </row>
    <row r="64" spans="1:1" x14ac:dyDescent="0.25">
      <c r="A64" s="194"/>
    </row>
    <row r="65" spans="1:1" x14ac:dyDescent="0.25">
      <c r="A65" s="194"/>
    </row>
    <row r="66" spans="1:1" x14ac:dyDescent="0.25">
      <c r="A66" s="194"/>
    </row>
    <row r="67" spans="1:1" x14ac:dyDescent="0.25">
      <c r="A67" s="194"/>
    </row>
    <row r="68" spans="1:1" x14ac:dyDescent="0.25">
      <c r="A68" s="194"/>
    </row>
    <row r="69" spans="1:1" x14ac:dyDescent="0.25">
      <c r="A69" s="194"/>
    </row>
    <row r="70" spans="1:1" x14ac:dyDescent="0.25">
      <c r="A70" s="194"/>
    </row>
    <row r="71" spans="1:1" x14ac:dyDescent="0.25">
      <c r="A71" s="194"/>
    </row>
    <row r="72" spans="1:1" x14ac:dyDescent="0.25">
      <c r="A72" s="194"/>
    </row>
    <row r="73" spans="1:1" x14ac:dyDescent="0.25">
      <c r="A73" s="194"/>
    </row>
    <row r="74" spans="1:1" x14ac:dyDescent="0.25">
      <c r="A74" s="194"/>
    </row>
    <row r="75" spans="1:1" x14ac:dyDescent="0.25">
      <c r="A75" s="194"/>
    </row>
    <row r="76" spans="1:1" x14ac:dyDescent="0.25">
      <c r="A76" s="194"/>
    </row>
    <row r="77" spans="1:1" x14ac:dyDescent="0.25">
      <c r="A77" s="194"/>
    </row>
    <row r="78" spans="1:1" x14ac:dyDescent="0.25">
      <c r="A78" s="194"/>
    </row>
    <row r="79" spans="1:1" x14ac:dyDescent="0.25">
      <c r="A79" s="194"/>
    </row>
    <row r="80" spans="1:1" x14ac:dyDescent="0.25">
      <c r="A80" s="194"/>
    </row>
    <row r="81" spans="1:1" x14ac:dyDescent="0.25">
      <c r="A81" s="194"/>
    </row>
    <row r="82" spans="1:1" x14ac:dyDescent="0.25">
      <c r="A82" s="194"/>
    </row>
    <row r="83" spans="1:1" x14ac:dyDescent="0.25">
      <c r="A83" s="194"/>
    </row>
    <row r="84" spans="1:1" x14ac:dyDescent="0.25">
      <c r="A84" s="194"/>
    </row>
    <row r="85" spans="1:1" x14ac:dyDescent="0.25">
      <c r="A85" s="194"/>
    </row>
    <row r="86" spans="1:1" x14ac:dyDescent="0.25">
      <c r="A86" s="194"/>
    </row>
    <row r="87" spans="1:1" x14ac:dyDescent="0.25">
      <c r="A87" s="194"/>
    </row>
    <row r="88" spans="1:1" x14ac:dyDescent="0.25">
      <c r="A88" s="194"/>
    </row>
    <row r="89" spans="1:1" x14ac:dyDescent="0.25">
      <c r="A89" s="194"/>
    </row>
    <row r="90" spans="1:1" x14ac:dyDescent="0.25">
      <c r="A90" s="194"/>
    </row>
    <row r="91" spans="1:1" x14ac:dyDescent="0.25">
      <c r="A91" s="194"/>
    </row>
    <row r="92" spans="1:1" x14ac:dyDescent="0.25">
      <c r="A92" s="194"/>
    </row>
    <row r="93" spans="1:1" x14ac:dyDescent="0.25">
      <c r="A93" s="194"/>
    </row>
    <row r="94" spans="1:1" x14ac:dyDescent="0.25">
      <c r="A94" s="194"/>
    </row>
    <row r="95" spans="1:1" x14ac:dyDescent="0.25">
      <c r="A95" s="194"/>
    </row>
    <row r="96" spans="1:1" x14ac:dyDescent="0.25">
      <c r="A96" s="194"/>
    </row>
    <row r="97" spans="1:1" x14ac:dyDescent="0.25">
      <c r="A97" s="194"/>
    </row>
    <row r="98" spans="1:1" x14ac:dyDescent="0.25">
      <c r="A98" s="194"/>
    </row>
    <row r="99" spans="1:1" x14ac:dyDescent="0.25">
      <c r="A99" s="194"/>
    </row>
    <row r="100" spans="1:1" x14ac:dyDescent="0.25">
      <c r="A100" s="194"/>
    </row>
    <row r="101" spans="1:1" x14ac:dyDescent="0.25">
      <c r="A101" s="194"/>
    </row>
    <row r="102" spans="1:1" x14ac:dyDescent="0.25">
      <c r="A102" s="194"/>
    </row>
    <row r="103" spans="1:1" x14ac:dyDescent="0.25">
      <c r="A103" s="194"/>
    </row>
    <row r="104" spans="1:1" x14ac:dyDescent="0.25">
      <c r="A104" s="194"/>
    </row>
    <row r="105" spans="1:1" x14ac:dyDescent="0.25">
      <c r="A105" s="194"/>
    </row>
    <row r="106" spans="1:1" x14ac:dyDescent="0.25">
      <c r="A106" s="194"/>
    </row>
    <row r="107" spans="1:1" x14ac:dyDescent="0.25">
      <c r="A107" s="194"/>
    </row>
    <row r="108" spans="1:1" x14ac:dyDescent="0.25">
      <c r="A108" s="194"/>
    </row>
    <row r="109" spans="1:1" x14ac:dyDescent="0.25">
      <c r="A109" s="194"/>
    </row>
    <row r="110" spans="1:1" x14ac:dyDescent="0.25">
      <c r="A110" s="194"/>
    </row>
    <row r="111" spans="1:1" x14ac:dyDescent="0.25">
      <c r="A111" s="194"/>
    </row>
    <row r="112" spans="1:1" x14ac:dyDescent="0.25">
      <c r="A112" s="194"/>
    </row>
    <row r="113" spans="1:1" x14ac:dyDescent="0.25">
      <c r="A113" s="194"/>
    </row>
    <row r="114" spans="1:1" x14ac:dyDescent="0.25">
      <c r="A114" s="194"/>
    </row>
    <row r="115" spans="1:1" x14ac:dyDescent="0.25">
      <c r="A115" s="194"/>
    </row>
    <row r="116" spans="1:1" x14ac:dyDescent="0.25">
      <c r="A116" s="194"/>
    </row>
    <row r="117" spans="1:1" x14ac:dyDescent="0.25">
      <c r="A117" s="194"/>
    </row>
  </sheetData>
  <mergeCells count="1">
    <mergeCell ref="I1:K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n_pages">
                <anchor moveWithCells="1" sizeWithCells="1">
                  <from>
                    <xdr:col>8</xdr:col>
                    <xdr:colOff>152400</xdr:colOff>
                    <xdr:row>1</xdr:row>
                    <xdr:rowOff>95250</xdr:rowOff>
                  </from>
                  <to>
                    <xdr:col>10</xdr:col>
                    <xdr:colOff>466725</xdr:colOff>
                    <xdr:row>3</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save_file">
                <anchor moveWithCells="1" sizeWithCells="1">
                  <from>
                    <xdr:col>8</xdr:col>
                    <xdr:colOff>142875</xdr:colOff>
                    <xdr:row>3</xdr:row>
                    <xdr:rowOff>152400</xdr:rowOff>
                  </from>
                  <to>
                    <xdr:col>10</xdr:col>
                    <xdr:colOff>466725</xdr:colOff>
                    <xdr:row>5</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C85A4-8D84-4CA7-BE38-47A095E79884}">
  <sheetPr codeName="Hoja9"/>
  <dimension ref="A1:H86"/>
  <sheetViews>
    <sheetView tabSelected="1" topLeftCell="A10" workbookViewId="0">
      <selection activeCell="E37" sqref="E37"/>
    </sheetView>
    <sheetView workbookViewId="1">
      <selection sqref="A1:H86"/>
    </sheetView>
  </sheetViews>
  <sheetFormatPr baseColWidth="10" defaultRowHeight="15" x14ac:dyDescent="0.25"/>
  <cols>
    <col min="1" max="1" width="56.7109375" bestFit="1" customWidth="1"/>
    <col min="2" max="3" width="12" bestFit="1" customWidth="1"/>
    <col min="4" max="8" width="11.5703125" bestFit="1" customWidth="1"/>
  </cols>
  <sheetData>
    <row r="1" spans="1:8" x14ac:dyDescent="0.25">
      <c r="A1" s="225"/>
      <c r="B1" s="225"/>
      <c r="C1" s="225"/>
      <c r="D1" s="225"/>
      <c r="E1" s="225"/>
      <c r="F1" s="225"/>
      <c r="G1" s="225"/>
      <c r="H1" s="225"/>
    </row>
    <row r="2" spans="1:8" x14ac:dyDescent="0.25">
      <c r="A2" s="226" t="s">
        <v>141</v>
      </c>
      <c r="B2" s="226" t="s">
        <v>142</v>
      </c>
      <c r="C2" s="227">
        <v>44561</v>
      </c>
      <c r="D2" s="227">
        <v>44196</v>
      </c>
      <c r="E2" s="227">
        <v>43830</v>
      </c>
      <c r="F2" s="227">
        <v>43465</v>
      </c>
      <c r="G2" s="227">
        <v>43100</v>
      </c>
      <c r="H2" s="227">
        <v>42735</v>
      </c>
    </row>
    <row r="3" spans="1:8" x14ac:dyDescent="0.25">
      <c r="A3" s="170"/>
      <c r="B3" s="170"/>
      <c r="C3" s="170"/>
      <c r="D3" s="170"/>
      <c r="E3" s="170"/>
      <c r="F3" s="170"/>
      <c r="G3" s="170"/>
      <c r="H3" s="170"/>
    </row>
    <row r="4" spans="1:8" x14ac:dyDescent="0.25">
      <c r="A4" s="228" t="s">
        <v>143</v>
      </c>
      <c r="B4" s="248">
        <v>282113</v>
      </c>
      <c r="C4" s="248">
        <v>257637</v>
      </c>
      <c r="D4" s="248">
        <v>182527</v>
      </c>
      <c r="E4" s="248">
        <v>161857</v>
      </c>
      <c r="F4" s="248">
        <v>136819</v>
      </c>
      <c r="G4" s="248">
        <v>110855</v>
      </c>
      <c r="H4" s="175"/>
    </row>
    <row r="5" spans="1:8" x14ac:dyDescent="0.25">
      <c r="A5" s="228" t="s">
        <v>508</v>
      </c>
      <c r="B5" s="240"/>
      <c r="C5" s="240"/>
      <c r="D5" s="240"/>
      <c r="E5" s="240"/>
      <c r="F5" s="240"/>
      <c r="G5" s="240"/>
      <c r="H5" s="240"/>
    </row>
    <row r="6" spans="1:8" x14ac:dyDescent="0.25">
      <c r="A6" s="228" t="s">
        <v>509</v>
      </c>
      <c r="B6" s="240"/>
      <c r="C6" s="240"/>
      <c r="D6" s="240"/>
      <c r="E6" s="240"/>
      <c r="F6" s="240"/>
      <c r="G6" s="240"/>
      <c r="H6" s="240"/>
    </row>
    <row r="7" spans="1:8" x14ac:dyDescent="0.25">
      <c r="A7" s="228" t="s">
        <v>510</v>
      </c>
      <c r="B7" s="240"/>
      <c r="C7" s="240"/>
      <c r="D7" s="240"/>
      <c r="E7" s="240"/>
      <c r="F7" s="240"/>
      <c r="G7" s="240"/>
      <c r="H7" s="240"/>
    </row>
    <row r="8" spans="1:8" x14ac:dyDescent="0.25">
      <c r="A8" s="228" t="s">
        <v>511</v>
      </c>
      <c r="B8" s="240"/>
      <c r="C8" s="240"/>
      <c r="D8" s="240"/>
      <c r="E8" s="240"/>
      <c r="F8" s="240"/>
      <c r="G8" s="240"/>
      <c r="H8" s="240"/>
    </row>
    <row r="9" spans="1:8" x14ac:dyDescent="0.25">
      <c r="A9" s="228" t="s">
        <v>512</v>
      </c>
      <c r="B9" s="240"/>
      <c r="C9" s="240"/>
      <c r="D9" s="240"/>
      <c r="E9" s="240"/>
      <c r="F9" s="240"/>
      <c r="G9" s="240"/>
      <c r="H9" s="240"/>
    </row>
    <row r="10" spans="1:8" x14ac:dyDescent="0.25">
      <c r="A10" s="228" t="s">
        <v>513</v>
      </c>
      <c r="B10" s="240"/>
      <c r="C10" s="240"/>
      <c r="D10" s="240"/>
      <c r="E10" s="240"/>
      <c r="F10" s="240"/>
      <c r="G10" s="240"/>
      <c r="H10" s="240"/>
    </row>
    <row r="11" spans="1:8" x14ac:dyDescent="0.25">
      <c r="A11" s="230" t="s">
        <v>150</v>
      </c>
      <c r="B11" s="245">
        <v>282113</v>
      </c>
      <c r="C11" s="245">
        <v>257637</v>
      </c>
      <c r="D11" s="245">
        <v>182527</v>
      </c>
      <c r="E11" s="245">
        <v>161857</v>
      </c>
      <c r="F11" s="245">
        <v>136819</v>
      </c>
      <c r="G11" s="245">
        <v>110855</v>
      </c>
      <c r="H11" s="175"/>
    </row>
    <row r="12" spans="1:8" x14ac:dyDescent="0.25">
      <c r="A12" s="232" t="s">
        <v>151</v>
      </c>
      <c r="B12" s="235"/>
      <c r="C12" s="234" t="s">
        <v>535</v>
      </c>
      <c r="D12" s="234" t="s">
        <v>536</v>
      </c>
      <c r="E12" s="234" t="s">
        <v>537</v>
      </c>
      <c r="F12" s="234" t="s">
        <v>538</v>
      </c>
      <c r="G12" s="175"/>
      <c r="H12" s="175"/>
    </row>
    <row r="13" spans="1:8" x14ac:dyDescent="0.25">
      <c r="A13" s="228" t="s">
        <v>156</v>
      </c>
      <c r="B13" s="246">
        <v>-123849</v>
      </c>
      <c r="C13" s="246">
        <v>-110939</v>
      </c>
      <c r="D13" s="246">
        <v>-84732</v>
      </c>
      <c r="E13" s="246">
        <v>-71896</v>
      </c>
      <c r="F13" s="246">
        <v>-59549</v>
      </c>
      <c r="G13" s="246">
        <v>-45583</v>
      </c>
      <c r="H13" s="175"/>
    </row>
    <row r="14" spans="1:8" x14ac:dyDescent="0.25">
      <c r="A14" s="228" t="s">
        <v>514</v>
      </c>
      <c r="B14" s="240"/>
      <c r="C14" s="240"/>
      <c r="D14" s="240"/>
      <c r="E14" s="240"/>
      <c r="F14" s="240"/>
      <c r="G14" s="240"/>
      <c r="H14" s="240"/>
    </row>
    <row r="15" spans="1:8" x14ac:dyDescent="0.25">
      <c r="A15" s="228" t="s">
        <v>515</v>
      </c>
      <c r="B15" s="240"/>
      <c r="C15" s="240"/>
      <c r="D15" s="240"/>
      <c r="E15" s="240"/>
      <c r="F15" s="240"/>
      <c r="G15" s="240"/>
      <c r="H15" s="240"/>
    </row>
    <row r="16" spans="1:8" ht="15.75" thickBot="1" x14ac:dyDescent="0.3">
      <c r="A16" s="228" t="s">
        <v>516</v>
      </c>
      <c r="B16" s="240"/>
      <c r="C16" s="240"/>
      <c r="D16" s="240"/>
      <c r="E16" s="240"/>
      <c r="F16" s="240"/>
      <c r="G16" s="240"/>
      <c r="H16" s="240"/>
    </row>
    <row r="17" spans="1:8" ht="15.75" thickTop="1" x14ac:dyDescent="0.25">
      <c r="A17" s="237" t="s">
        <v>2</v>
      </c>
      <c r="B17" s="247">
        <v>158264</v>
      </c>
      <c r="C17" s="247">
        <v>146698</v>
      </c>
      <c r="D17" s="247">
        <v>97795</v>
      </c>
      <c r="E17" s="247">
        <v>89961</v>
      </c>
      <c r="F17" s="247">
        <v>77270</v>
      </c>
      <c r="G17" s="247">
        <v>65272</v>
      </c>
      <c r="H17" s="184"/>
    </row>
    <row r="18" spans="1:8" x14ac:dyDescent="0.25">
      <c r="A18" s="232" t="s">
        <v>151</v>
      </c>
      <c r="B18" s="235"/>
      <c r="C18" s="234" t="s">
        <v>539</v>
      </c>
      <c r="D18" s="234" t="s">
        <v>540</v>
      </c>
      <c r="E18" s="234" t="s">
        <v>541</v>
      </c>
      <c r="F18" s="234" t="s">
        <v>542</v>
      </c>
      <c r="G18" s="175"/>
      <c r="H18" s="175"/>
    </row>
    <row r="19" spans="1:8" x14ac:dyDescent="0.25">
      <c r="A19" s="232" t="s">
        <v>173</v>
      </c>
      <c r="B19" s="234" t="s">
        <v>543</v>
      </c>
      <c r="C19" s="234" t="s">
        <v>544</v>
      </c>
      <c r="D19" s="234" t="s">
        <v>545</v>
      </c>
      <c r="E19" s="234" t="s">
        <v>546</v>
      </c>
      <c r="F19" s="234" t="s">
        <v>547</v>
      </c>
      <c r="G19" s="234" t="s">
        <v>548</v>
      </c>
      <c r="H19" s="175"/>
    </row>
    <row r="20" spans="1:8" x14ac:dyDescent="0.25">
      <c r="A20" s="228" t="s">
        <v>180</v>
      </c>
      <c r="B20" s="246">
        <v>-41756</v>
      </c>
      <c r="C20" s="246">
        <v>-36422</v>
      </c>
      <c r="D20" s="246">
        <v>-28998</v>
      </c>
      <c r="E20" s="246">
        <v>-28015</v>
      </c>
      <c r="F20" s="246">
        <v>-23256</v>
      </c>
      <c r="G20" s="246">
        <v>-19733</v>
      </c>
      <c r="H20" s="175"/>
    </row>
    <row r="21" spans="1:8" x14ac:dyDescent="0.25">
      <c r="A21" s="228" t="s">
        <v>517</v>
      </c>
      <c r="B21" s="240">
        <v>1</v>
      </c>
      <c r="C21" s="240"/>
      <c r="D21" s="240"/>
      <c r="E21" s="240"/>
      <c r="F21" s="240"/>
      <c r="G21" s="240"/>
      <c r="H21" s="240"/>
    </row>
    <row r="22" spans="1:8" x14ac:dyDescent="0.25">
      <c r="A22" s="228" t="s">
        <v>518</v>
      </c>
      <c r="B22" s="240">
        <v>5</v>
      </c>
      <c r="C22" s="240"/>
      <c r="D22" s="240">
        <v>3</v>
      </c>
      <c r="E22" s="240"/>
      <c r="F22" s="240"/>
      <c r="G22" s="240"/>
      <c r="H22" s="240"/>
    </row>
    <row r="23" spans="1:8" x14ac:dyDescent="0.25">
      <c r="A23" s="228" t="s">
        <v>380</v>
      </c>
      <c r="B23" s="240"/>
      <c r="C23" s="240">
        <v>2</v>
      </c>
      <c r="D23" s="240">
        <v>3</v>
      </c>
      <c r="E23" s="240"/>
      <c r="F23" s="240"/>
      <c r="G23" s="240"/>
      <c r="H23" s="240"/>
    </row>
    <row r="24" spans="1:8" x14ac:dyDescent="0.25">
      <c r="A24" s="228" t="s">
        <v>519</v>
      </c>
      <c r="B24" s="240"/>
      <c r="C24" s="240">
        <v>1</v>
      </c>
      <c r="D24" s="240"/>
      <c r="E24" s="240"/>
      <c r="F24" s="240"/>
      <c r="G24" s="240"/>
      <c r="H24" s="240"/>
    </row>
    <row r="25" spans="1:8" x14ac:dyDescent="0.25">
      <c r="A25" s="228" t="s">
        <v>187</v>
      </c>
      <c r="B25" s="246">
        <v>-37941</v>
      </c>
      <c r="C25" s="246">
        <v>-31562</v>
      </c>
      <c r="D25" s="246">
        <v>-27573</v>
      </c>
      <c r="E25" s="246">
        <v>-26018</v>
      </c>
      <c r="F25" s="246">
        <v>-21419</v>
      </c>
      <c r="G25" s="246">
        <v>-16625</v>
      </c>
      <c r="H25" s="175"/>
    </row>
    <row r="26" spans="1:8" x14ac:dyDescent="0.25">
      <c r="A26" s="228" t="s">
        <v>381</v>
      </c>
      <c r="B26" s="240"/>
      <c r="C26" s="240"/>
      <c r="D26" s="240"/>
      <c r="E26" s="240"/>
      <c r="F26" s="240"/>
      <c r="G26" s="240"/>
      <c r="H26" s="240"/>
    </row>
    <row r="27" spans="1:8" x14ac:dyDescent="0.25">
      <c r="A27" s="228" t="s">
        <v>382</v>
      </c>
      <c r="B27" s="240"/>
      <c r="C27" s="240"/>
      <c r="D27" s="240"/>
      <c r="E27" s="240"/>
      <c r="F27" s="240"/>
      <c r="G27" s="240"/>
      <c r="H27" s="240"/>
    </row>
    <row r="28" spans="1:8" x14ac:dyDescent="0.25">
      <c r="A28" s="228" t="s">
        <v>520</v>
      </c>
      <c r="B28" s="240"/>
      <c r="C28" s="240"/>
      <c r="D28" s="240"/>
      <c r="E28" s="240"/>
      <c r="F28" s="240"/>
      <c r="G28" s="240"/>
      <c r="H28" s="240"/>
    </row>
    <row r="29" spans="1:8" ht="15.75" thickBot="1" x14ac:dyDescent="0.3">
      <c r="A29" s="228" t="s">
        <v>521</v>
      </c>
      <c r="B29" s="240"/>
      <c r="C29" s="240"/>
      <c r="D29" s="240"/>
      <c r="E29" s="240"/>
      <c r="F29" s="240"/>
      <c r="G29" s="240"/>
      <c r="H29" s="240"/>
    </row>
    <row r="30" spans="1:8" ht="15.75" thickTop="1" x14ac:dyDescent="0.25">
      <c r="A30" s="237" t="s">
        <v>194</v>
      </c>
      <c r="B30" s="249">
        <v>-79697</v>
      </c>
      <c r="C30" s="249">
        <v>-67984</v>
      </c>
      <c r="D30" s="249">
        <v>-56571</v>
      </c>
      <c r="E30" s="249">
        <v>-54033</v>
      </c>
      <c r="F30" s="249">
        <v>-44675</v>
      </c>
      <c r="G30" s="249">
        <v>-36358</v>
      </c>
      <c r="H30" s="184"/>
    </row>
    <row r="31" spans="1:8" x14ac:dyDescent="0.25">
      <c r="A31" s="230" t="s">
        <v>4</v>
      </c>
      <c r="B31" s="245">
        <v>78567</v>
      </c>
      <c r="C31" s="245">
        <v>78714</v>
      </c>
      <c r="D31" s="245">
        <v>41224</v>
      </c>
      <c r="E31" s="245">
        <v>35928</v>
      </c>
      <c r="F31" s="245">
        <v>32595</v>
      </c>
      <c r="G31" s="245">
        <v>28914</v>
      </c>
      <c r="H31" s="175"/>
    </row>
    <row r="32" spans="1:8" x14ac:dyDescent="0.25">
      <c r="A32" s="232" t="s">
        <v>151</v>
      </c>
      <c r="B32" s="235"/>
      <c r="C32" s="234" t="s">
        <v>549</v>
      </c>
      <c r="D32" s="234" t="s">
        <v>550</v>
      </c>
      <c r="E32" s="234" t="s">
        <v>551</v>
      </c>
      <c r="F32" s="234" t="s">
        <v>552</v>
      </c>
      <c r="G32" s="175"/>
      <c r="H32" s="175"/>
    </row>
    <row r="33" spans="1:8" x14ac:dyDescent="0.25">
      <c r="A33" s="232" t="s">
        <v>211</v>
      </c>
      <c r="B33" s="234" t="s">
        <v>553</v>
      </c>
      <c r="C33" s="234" t="s">
        <v>554</v>
      </c>
      <c r="D33" s="234" t="s">
        <v>555</v>
      </c>
      <c r="E33" s="234" t="s">
        <v>556</v>
      </c>
      <c r="F33" s="234" t="s">
        <v>557</v>
      </c>
      <c r="G33" s="234" t="s">
        <v>558</v>
      </c>
      <c r="H33" s="175"/>
    </row>
    <row r="34" spans="1:8" x14ac:dyDescent="0.25">
      <c r="A34" s="228" t="s">
        <v>218</v>
      </c>
      <c r="B34" s="236">
        <v>-384</v>
      </c>
      <c r="C34" s="236">
        <v>-346</v>
      </c>
      <c r="D34" s="236">
        <v>-135</v>
      </c>
      <c r="E34" s="236">
        <v>-100</v>
      </c>
      <c r="F34" s="236">
        <v>-114</v>
      </c>
      <c r="G34" s="236">
        <v>-109</v>
      </c>
      <c r="H34" s="175"/>
    </row>
    <row r="35" spans="1:8" x14ac:dyDescent="0.25">
      <c r="A35" s="228" t="s">
        <v>225</v>
      </c>
      <c r="B35" s="229">
        <v>1893</v>
      </c>
      <c r="C35" s="229">
        <v>1499</v>
      </c>
      <c r="D35" s="229">
        <v>1865</v>
      </c>
      <c r="E35" s="229">
        <v>2427</v>
      </c>
      <c r="F35" s="229">
        <v>1878</v>
      </c>
      <c r="G35" s="229">
        <v>1312</v>
      </c>
      <c r="H35" s="175"/>
    </row>
    <row r="36" spans="1:8" x14ac:dyDescent="0.25">
      <c r="A36" s="228" t="s">
        <v>522</v>
      </c>
      <c r="B36" s="240"/>
      <c r="C36" s="240"/>
      <c r="D36" s="240"/>
      <c r="E36" s="240"/>
      <c r="F36" s="240"/>
      <c r="G36" s="240"/>
      <c r="H36" s="240"/>
    </row>
    <row r="37" spans="1:8" x14ac:dyDescent="0.25">
      <c r="A37" s="228" t="s">
        <v>232</v>
      </c>
      <c r="B37" s="236">
        <v>-632</v>
      </c>
      <c r="C37" s="236">
        <v>-240</v>
      </c>
      <c r="D37" s="236">
        <v>-344</v>
      </c>
      <c r="E37" s="229">
        <v>103</v>
      </c>
      <c r="F37" s="236">
        <v>-80</v>
      </c>
      <c r="G37" s="236">
        <v>-121</v>
      </c>
      <c r="H37" s="175"/>
    </row>
    <row r="38" spans="1:8" ht="15.75" thickBot="1" x14ac:dyDescent="0.3">
      <c r="A38" s="228" t="s">
        <v>239</v>
      </c>
      <c r="B38" s="229">
        <v>682</v>
      </c>
      <c r="C38" s="236">
        <v>-1589</v>
      </c>
      <c r="D38" s="236">
        <v>-344</v>
      </c>
      <c r="E38" s="236">
        <v>-224</v>
      </c>
      <c r="F38" s="236">
        <v>-825</v>
      </c>
      <c r="G38" s="229">
        <v>126</v>
      </c>
      <c r="H38" s="175"/>
    </row>
    <row r="39" spans="1:8" ht="15.75" thickTop="1" x14ac:dyDescent="0.25">
      <c r="A39" s="237" t="s">
        <v>245</v>
      </c>
      <c r="B39" s="247">
        <v>80126</v>
      </c>
      <c r="C39" s="247">
        <v>78038</v>
      </c>
      <c r="D39" s="247">
        <v>42266</v>
      </c>
      <c r="E39" s="247">
        <v>38134</v>
      </c>
      <c r="F39" s="247">
        <v>33454</v>
      </c>
      <c r="G39" s="247">
        <v>30122</v>
      </c>
      <c r="H39" s="184"/>
    </row>
    <row r="40" spans="1:8" x14ac:dyDescent="0.25">
      <c r="A40" s="228" t="s">
        <v>523</v>
      </c>
      <c r="B40" s="240"/>
      <c r="C40" s="240"/>
      <c r="D40" s="240"/>
      <c r="E40" s="240"/>
      <c r="F40" s="240"/>
      <c r="G40" s="240"/>
      <c r="H40" s="240"/>
    </row>
    <row r="41" spans="1:8" x14ac:dyDescent="0.25">
      <c r="A41" s="228" t="s">
        <v>524</v>
      </c>
      <c r="B41" s="240"/>
      <c r="C41" s="240"/>
      <c r="D41" s="240"/>
      <c r="E41" s="240"/>
      <c r="F41" s="240"/>
      <c r="G41" s="240"/>
      <c r="H41" s="240"/>
    </row>
    <row r="42" spans="1:8" x14ac:dyDescent="0.25">
      <c r="A42" s="228" t="s">
        <v>252</v>
      </c>
      <c r="B42" s="236">
        <v>-1543</v>
      </c>
      <c r="C42" s="248">
        <v>12696</v>
      </c>
      <c r="D42" s="229">
        <v>5816</v>
      </c>
      <c r="E42" s="229">
        <v>3188</v>
      </c>
      <c r="F42" s="229">
        <v>6530</v>
      </c>
      <c r="G42" s="236">
        <v>-193</v>
      </c>
      <c r="H42" s="175"/>
    </row>
    <row r="43" spans="1:8" x14ac:dyDescent="0.25">
      <c r="A43" s="228" t="s">
        <v>259</v>
      </c>
      <c r="B43" s="240"/>
      <c r="C43" s="240"/>
      <c r="D43" s="240"/>
      <c r="E43" s="240"/>
      <c r="F43" s="240"/>
      <c r="G43" s="240"/>
      <c r="H43" s="240"/>
    </row>
    <row r="44" spans="1:8" x14ac:dyDescent="0.25">
      <c r="A44" s="228" t="s">
        <v>260</v>
      </c>
      <c r="B44" s="240"/>
      <c r="C44" s="240"/>
      <c r="D44" s="240"/>
      <c r="E44" s="240"/>
      <c r="F44" s="240"/>
      <c r="G44" s="240"/>
      <c r="H44" s="240"/>
    </row>
    <row r="45" spans="1:8" x14ac:dyDescent="0.25">
      <c r="A45" s="228" t="s">
        <v>261</v>
      </c>
      <c r="B45" s="240"/>
      <c r="C45" s="240"/>
      <c r="D45" s="240"/>
      <c r="E45" s="240"/>
      <c r="F45" s="240"/>
      <c r="G45" s="240"/>
      <c r="H45" s="240"/>
    </row>
    <row r="46" spans="1:8" x14ac:dyDescent="0.25">
      <c r="A46" s="228" t="s">
        <v>525</v>
      </c>
      <c r="B46" s="240"/>
      <c r="C46" s="240"/>
      <c r="D46" s="240"/>
      <c r="E46" s="240"/>
      <c r="F46" s="240"/>
      <c r="G46" s="240"/>
      <c r="H46" s="240"/>
    </row>
    <row r="47" spans="1:8" x14ac:dyDescent="0.25">
      <c r="A47" s="228" t="s">
        <v>262</v>
      </c>
      <c r="B47" s="240"/>
      <c r="C47" s="240"/>
      <c r="D47" s="240"/>
      <c r="E47" s="236">
        <v>-1697</v>
      </c>
      <c r="F47" s="236">
        <v>-5071</v>
      </c>
      <c r="G47" s="236">
        <v>-2736</v>
      </c>
      <c r="H47" s="240"/>
    </row>
    <row r="48" spans="1:8" ht="15.75" thickBot="1" x14ac:dyDescent="0.3">
      <c r="A48" s="228" t="s">
        <v>266</v>
      </c>
      <c r="B48" s="240"/>
      <c r="C48" s="240"/>
      <c r="D48" s="240"/>
      <c r="E48" s="240"/>
      <c r="F48" s="240"/>
      <c r="G48" s="240"/>
      <c r="H48" s="240"/>
    </row>
    <row r="49" spans="1:8" ht="15.75" thickTop="1" x14ac:dyDescent="0.25">
      <c r="A49" s="237" t="s">
        <v>267</v>
      </c>
      <c r="B49" s="247">
        <v>78583</v>
      </c>
      <c r="C49" s="247">
        <v>90734</v>
      </c>
      <c r="D49" s="247">
        <v>48082</v>
      </c>
      <c r="E49" s="247">
        <v>39625</v>
      </c>
      <c r="F49" s="247">
        <v>34913</v>
      </c>
      <c r="G49" s="247">
        <v>27193</v>
      </c>
      <c r="H49" s="184"/>
    </row>
    <row r="50" spans="1:8" ht="15.75" thickBot="1" x14ac:dyDescent="0.3">
      <c r="A50" s="228" t="s">
        <v>274</v>
      </c>
      <c r="B50" s="246">
        <v>-11593</v>
      </c>
      <c r="C50" s="246">
        <v>-14701</v>
      </c>
      <c r="D50" s="236">
        <v>-7813</v>
      </c>
      <c r="E50" s="236">
        <v>-5282</v>
      </c>
      <c r="F50" s="236">
        <v>-4177</v>
      </c>
      <c r="G50" s="246">
        <v>-14531</v>
      </c>
      <c r="H50" s="175"/>
    </row>
    <row r="51" spans="1:8" ht="15.75" thickTop="1" x14ac:dyDescent="0.25">
      <c r="A51" s="237" t="s">
        <v>281</v>
      </c>
      <c r="B51" s="247">
        <v>66990</v>
      </c>
      <c r="C51" s="247">
        <v>76033</v>
      </c>
      <c r="D51" s="247">
        <v>40269</v>
      </c>
      <c r="E51" s="247">
        <v>34343</v>
      </c>
      <c r="F51" s="247">
        <v>30736</v>
      </c>
      <c r="G51" s="247">
        <v>12662</v>
      </c>
      <c r="H51" s="184"/>
    </row>
    <row r="52" spans="1:8" x14ac:dyDescent="0.25">
      <c r="A52" s="228" t="s">
        <v>288</v>
      </c>
      <c r="B52" s="240"/>
      <c r="C52" s="240"/>
      <c r="D52" s="240"/>
      <c r="E52" s="240"/>
      <c r="F52" s="240"/>
      <c r="G52" s="240"/>
      <c r="H52" s="240"/>
    </row>
    <row r="53" spans="1:8" ht="15.75" thickBot="1" x14ac:dyDescent="0.3">
      <c r="A53" s="228" t="s">
        <v>526</v>
      </c>
      <c r="B53" s="240"/>
      <c r="C53" s="240"/>
      <c r="D53" s="240"/>
      <c r="E53" s="240"/>
      <c r="F53" s="240"/>
      <c r="G53" s="240"/>
      <c r="H53" s="240"/>
    </row>
    <row r="54" spans="1:8" ht="15.75" thickTop="1" x14ac:dyDescent="0.25">
      <c r="A54" s="237" t="s">
        <v>289</v>
      </c>
      <c r="B54" s="247">
        <v>66990</v>
      </c>
      <c r="C54" s="247">
        <v>76033</v>
      </c>
      <c r="D54" s="247">
        <v>40269</v>
      </c>
      <c r="E54" s="247">
        <v>34343</v>
      </c>
      <c r="F54" s="247">
        <v>30736</v>
      </c>
      <c r="G54" s="247">
        <v>12662</v>
      </c>
      <c r="H54" s="184"/>
    </row>
    <row r="55" spans="1:8" x14ac:dyDescent="0.25">
      <c r="A55" s="228" t="s">
        <v>138</v>
      </c>
      <c r="B55" s="240"/>
      <c r="C55" s="240"/>
      <c r="D55" s="240"/>
      <c r="E55" s="240"/>
      <c r="F55" s="240"/>
      <c r="G55" s="240"/>
      <c r="H55" s="240"/>
    </row>
    <row r="56" spans="1:8" x14ac:dyDescent="0.25">
      <c r="A56" s="230" t="s">
        <v>5</v>
      </c>
      <c r="B56" s="245">
        <v>66990</v>
      </c>
      <c r="C56" s="245">
        <v>76033</v>
      </c>
      <c r="D56" s="245">
        <v>40269</v>
      </c>
      <c r="E56" s="245">
        <v>34343</v>
      </c>
      <c r="F56" s="245">
        <v>30736</v>
      </c>
      <c r="G56" s="245">
        <v>12662</v>
      </c>
      <c r="H56" s="175"/>
    </row>
    <row r="57" spans="1:8" x14ac:dyDescent="0.25">
      <c r="A57" s="228" t="s">
        <v>507</v>
      </c>
      <c r="B57" s="240"/>
      <c r="C57" s="240"/>
      <c r="D57" s="240"/>
      <c r="E57" s="240"/>
      <c r="F57" s="240"/>
      <c r="G57" s="240"/>
      <c r="H57" s="240"/>
    </row>
    <row r="58" spans="1:8" x14ac:dyDescent="0.25">
      <c r="A58" s="230" t="s">
        <v>290</v>
      </c>
      <c r="B58" s="245">
        <v>66990</v>
      </c>
      <c r="C58" s="245">
        <v>76033</v>
      </c>
      <c r="D58" s="245">
        <v>40269</v>
      </c>
      <c r="E58" s="245">
        <v>34343</v>
      </c>
      <c r="F58" s="245">
        <v>30736</v>
      </c>
      <c r="G58" s="245">
        <v>12662</v>
      </c>
      <c r="H58" s="175"/>
    </row>
    <row r="59" spans="1:8" x14ac:dyDescent="0.25">
      <c r="A59" s="232" t="s">
        <v>291</v>
      </c>
      <c r="B59" s="234" t="s">
        <v>559</v>
      </c>
      <c r="C59" s="234" t="s">
        <v>560</v>
      </c>
      <c r="D59" s="234" t="s">
        <v>561</v>
      </c>
      <c r="E59" s="234" t="s">
        <v>562</v>
      </c>
      <c r="F59" s="234" t="s">
        <v>563</v>
      </c>
      <c r="G59" s="234" t="s">
        <v>564</v>
      </c>
      <c r="H59" s="175"/>
    </row>
    <row r="60" spans="1:8" x14ac:dyDescent="0.25">
      <c r="A60" s="230" t="s">
        <v>298</v>
      </c>
      <c r="B60" s="245">
        <v>66990</v>
      </c>
      <c r="C60" s="245">
        <v>76033</v>
      </c>
      <c r="D60" s="245">
        <v>40269</v>
      </c>
      <c r="E60" s="245">
        <v>34343</v>
      </c>
      <c r="F60" s="245">
        <v>30736</v>
      </c>
      <c r="G60" s="245">
        <v>12662</v>
      </c>
      <c r="H60" s="175"/>
    </row>
    <row r="61" spans="1:8" x14ac:dyDescent="0.25">
      <c r="A61" s="232" t="s">
        <v>299</v>
      </c>
      <c r="B61" s="234" t="s">
        <v>559</v>
      </c>
      <c r="C61" s="234" t="s">
        <v>560</v>
      </c>
      <c r="D61" s="234" t="s">
        <v>561</v>
      </c>
      <c r="E61" s="234" t="s">
        <v>562</v>
      </c>
      <c r="F61" s="234" t="s">
        <v>563</v>
      </c>
      <c r="G61" s="234" t="s">
        <v>564</v>
      </c>
      <c r="H61" s="175"/>
    </row>
    <row r="62" spans="1:8" x14ac:dyDescent="0.25">
      <c r="A62" s="232" t="s">
        <v>300</v>
      </c>
      <c r="B62" s="170"/>
      <c r="C62" s="170"/>
      <c r="D62" s="170"/>
      <c r="E62" s="170"/>
      <c r="F62" s="170"/>
      <c r="G62" s="170"/>
      <c r="H62" s="170"/>
    </row>
    <row r="63" spans="1:8" x14ac:dyDescent="0.25">
      <c r="A63" s="228" t="s">
        <v>301</v>
      </c>
      <c r="B63" s="229">
        <v>5.04</v>
      </c>
      <c r="C63" s="229">
        <v>5.61</v>
      </c>
      <c r="D63" s="229">
        <v>2.93</v>
      </c>
      <c r="E63" s="229">
        <v>2.46</v>
      </c>
      <c r="F63" s="229">
        <v>2.19</v>
      </c>
      <c r="G63" s="229">
        <v>0.9</v>
      </c>
      <c r="H63" s="175"/>
    </row>
    <row r="64" spans="1:8" x14ac:dyDescent="0.25">
      <c r="A64" s="241" t="s">
        <v>151</v>
      </c>
      <c r="B64" s="244"/>
      <c r="C64" s="243" t="s">
        <v>565</v>
      </c>
      <c r="D64" s="243" t="s">
        <v>566</v>
      </c>
      <c r="E64" s="243" t="s">
        <v>567</v>
      </c>
      <c r="F64" s="243" t="s">
        <v>568</v>
      </c>
      <c r="G64" s="175"/>
      <c r="H64" s="175"/>
    </row>
    <row r="65" spans="1:8" x14ac:dyDescent="0.25">
      <c r="A65" s="228" t="s">
        <v>312</v>
      </c>
      <c r="B65" s="248">
        <v>13284.23</v>
      </c>
      <c r="C65" s="248">
        <v>13553.48</v>
      </c>
      <c r="D65" s="248">
        <v>13740.56</v>
      </c>
      <c r="E65" s="248">
        <v>13971.12</v>
      </c>
      <c r="F65" s="248">
        <v>14065.7</v>
      </c>
      <c r="G65" s="248">
        <v>14071.68</v>
      </c>
      <c r="H65" s="175"/>
    </row>
    <row r="66" spans="1:8" x14ac:dyDescent="0.25">
      <c r="A66" s="241" t="s">
        <v>151</v>
      </c>
      <c r="B66" s="244"/>
      <c r="C66" s="242" t="s">
        <v>569</v>
      </c>
      <c r="D66" s="242" t="s">
        <v>570</v>
      </c>
      <c r="E66" s="242" t="s">
        <v>571</v>
      </c>
      <c r="F66" s="242" t="s">
        <v>572</v>
      </c>
      <c r="G66" s="175"/>
      <c r="H66" s="175"/>
    </row>
    <row r="67" spans="1:8" x14ac:dyDescent="0.25">
      <c r="A67" s="228" t="s">
        <v>323</v>
      </c>
      <c r="B67" s="248">
        <v>13152</v>
      </c>
      <c r="C67" s="248">
        <v>13353</v>
      </c>
      <c r="D67" s="248">
        <v>13616.32</v>
      </c>
      <c r="E67" s="248">
        <v>13851.92</v>
      </c>
      <c r="F67" s="248">
        <v>13902.8</v>
      </c>
      <c r="G67" s="248">
        <v>13858.02</v>
      </c>
      <c r="H67" s="175"/>
    </row>
    <row r="68" spans="1:8" x14ac:dyDescent="0.25">
      <c r="A68" s="241" t="s">
        <v>151</v>
      </c>
      <c r="B68" s="244"/>
      <c r="C68" s="242" t="s">
        <v>573</v>
      </c>
      <c r="D68" s="242" t="s">
        <v>570</v>
      </c>
      <c r="E68" s="242" t="s">
        <v>574</v>
      </c>
      <c r="F68" s="243" t="s">
        <v>575</v>
      </c>
      <c r="G68" s="175"/>
      <c r="H68" s="175"/>
    </row>
    <row r="69" spans="1:8" x14ac:dyDescent="0.25">
      <c r="A69" s="228" t="s">
        <v>527</v>
      </c>
      <c r="B69" s="240"/>
      <c r="C69" s="240"/>
      <c r="D69" s="240"/>
      <c r="E69" s="240"/>
      <c r="F69" s="240"/>
      <c r="G69" s="240"/>
      <c r="H69" s="240"/>
    </row>
    <row r="70" spans="1:8" x14ac:dyDescent="0.25">
      <c r="A70" s="241" t="s">
        <v>151</v>
      </c>
      <c r="B70" s="244"/>
      <c r="C70" s="244"/>
      <c r="D70" s="244"/>
      <c r="E70" s="244"/>
      <c r="F70" s="244"/>
      <c r="G70" s="244"/>
      <c r="H70" s="244"/>
    </row>
    <row r="71" spans="1:8" x14ac:dyDescent="0.25">
      <c r="A71" s="228" t="s">
        <v>528</v>
      </c>
      <c r="B71" s="240"/>
      <c r="C71" s="240"/>
      <c r="D71" s="240"/>
      <c r="E71" s="240"/>
      <c r="F71" s="240"/>
      <c r="G71" s="240"/>
      <c r="H71" s="240"/>
    </row>
    <row r="72" spans="1:8" x14ac:dyDescent="0.25">
      <c r="A72" s="228" t="s">
        <v>529</v>
      </c>
      <c r="B72" s="240"/>
      <c r="C72" s="240"/>
      <c r="D72" s="240"/>
      <c r="E72" s="240"/>
      <c r="F72" s="240"/>
      <c r="G72" s="240"/>
      <c r="H72" s="240"/>
    </row>
    <row r="73" spans="1:8" x14ac:dyDescent="0.25">
      <c r="A73" s="228" t="s">
        <v>333</v>
      </c>
      <c r="B73" s="229">
        <v>5.09</v>
      </c>
      <c r="C73" s="229">
        <v>5.69</v>
      </c>
      <c r="D73" s="229">
        <v>2.96</v>
      </c>
      <c r="E73" s="229">
        <v>2.48</v>
      </c>
      <c r="F73" s="229">
        <v>2.21</v>
      </c>
      <c r="G73" s="229">
        <v>0.91</v>
      </c>
      <c r="H73" s="175"/>
    </row>
    <row r="74" spans="1:8" x14ac:dyDescent="0.25">
      <c r="A74" s="228" t="s">
        <v>530</v>
      </c>
      <c r="B74" s="240"/>
      <c r="C74" s="240"/>
      <c r="D74" s="240"/>
      <c r="E74" s="240"/>
      <c r="F74" s="240"/>
      <c r="G74" s="240"/>
      <c r="H74" s="240"/>
    </row>
    <row r="75" spans="1:8" x14ac:dyDescent="0.25">
      <c r="A75" s="228" t="s">
        <v>531</v>
      </c>
      <c r="B75" s="240"/>
      <c r="C75" s="240"/>
      <c r="D75" s="240"/>
      <c r="E75" s="240"/>
      <c r="F75" s="240"/>
      <c r="G75" s="240"/>
      <c r="H75" s="240"/>
    </row>
    <row r="76" spans="1:8" x14ac:dyDescent="0.25">
      <c r="A76" s="241" t="s">
        <v>151</v>
      </c>
      <c r="B76" s="244"/>
      <c r="C76" s="244"/>
      <c r="D76" s="244"/>
      <c r="E76" s="244"/>
      <c r="F76" s="244"/>
      <c r="G76" s="244"/>
      <c r="H76" s="244"/>
    </row>
    <row r="77" spans="1:8" x14ac:dyDescent="0.25">
      <c r="A77" s="228" t="s">
        <v>3</v>
      </c>
      <c r="B77" s="248">
        <v>93733</v>
      </c>
      <c r="C77" s="248">
        <v>91144</v>
      </c>
      <c r="D77" s="248">
        <v>54903</v>
      </c>
      <c r="E77" s="248">
        <v>47579</v>
      </c>
      <c r="F77" s="248">
        <v>41624</v>
      </c>
      <c r="G77" s="248">
        <v>35813</v>
      </c>
      <c r="H77" s="175"/>
    </row>
    <row r="78" spans="1:8" x14ac:dyDescent="0.25">
      <c r="A78" s="241" t="s">
        <v>151</v>
      </c>
      <c r="B78" s="244"/>
      <c r="C78" s="243" t="s">
        <v>576</v>
      </c>
      <c r="D78" s="243" t="s">
        <v>577</v>
      </c>
      <c r="E78" s="243" t="s">
        <v>578</v>
      </c>
      <c r="F78" s="243" t="s">
        <v>579</v>
      </c>
      <c r="G78" s="175"/>
      <c r="H78" s="175"/>
    </row>
    <row r="79" spans="1:8" x14ac:dyDescent="0.25">
      <c r="A79" s="228" t="s">
        <v>350</v>
      </c>
      <c r="B79" s="240"/>
      <c r="C79" s="248">
        <v>94569</v>
      </c>
      <c r="D79" s="248">
        <v>57789</v>
      </c>
      <c r="E79" s="240"/>
      <c r="F79" s="240"/>
      <c r="G79" s="248">
        <v>36913</v>
      </c>
      <c r="H79" s="175"/>
    </row>
    <row r="80" spans="1:8" x14ac:dyDescent="0.25">
      <c r="A80" s="228" t="s">
        <v>354</v>
      </c>
      <c r="B80" s="248">
        <v>37941</v>
      </c>
      <c r="C80" s="248">
        <v>31562</v>
      </c>
      <c r="D80" s="248">
        <v>27573</v>
      </c>
      <c r="E80" s="248">
        <v>26018</v>
      </c>
      <c r="F80" s="248">
        <v>21419</v>
      </c>
      <c r="G80" s="248">
        <v>16625</v>
      </c>
      <c r="H80" s="175"/>
    </row>
    <row r="81" spans="1:8" x14ac:dyDescent="0.25">
      <c r="A81" s="228" t="s">
        <v>361</v>
      </c>
      <c r="B81" s="248">
        <v>26988</v>
      </c>
      <c r="C81" s="248">
        <v>22912</v>
      </c>
      <c r="D81" s="248">
        <v>17946</v>
      </c>
      <c r="E81" s="248">
        <v>18464</v>
      </c>
      <c r="F81" s="248">
        <v>16333</v>
      </c>
      <c r="G81" s="248">
        <v>12893</v>
      </c>
      <c r="H81" s="175"/>
    </row>
    <row r="82" spans="1:8" x14ac:dyDescent="0.25">
      <c r="A82" s="228" t="s">
        <v>368</v>
      </c>
      <c r="B82" s="248">
        <v>14768</v>
      </c>
      <c r="C82" s="248">
        <v>13510</v>
      </c>
      <c r="D82" s="248">
        <v>11052</v>
      </c>
      <c r="E82" s="229">
        <v>9551</v>
      </c>
      <c r="F82" s="229">
        <v>6923</v>
      </c>
      <c r="G82" s="229">
        <v>6840</v>
      </c>
      <c r="H82" s="175"/>
    </row>
    <row r="83" spans="1:8" x14ac:dyDescent="0.25">
      <c r="A83" s="228" t="s">
        <v>375</v>
      </c>
      <c r="B83" s="229" t="s">
        <v>580</v>
      </c>
      <c r="C83" s="229" t="s">
        <v>579</v>
      </c>
      <c r="D83" s="229" t="s">
        <v>579</v>
      </c>
      <c r="E83" s="229" t="s">
        <v>581</v>
      </c>
      <c r="F83" s="229" t="s">
        <v>582</v>
      </c>
      <c r="G83" s="229" t="s">
        <v>583</v>
      </c>
      <c r="H83" s="175"/>
    </row>
    <row r="84" spans="1:8" x14ac:dyDescent="0.25">
      <c r="A84" s="228" t="s">
        <v>532</v>
      </c>
      <c r="B84" s="240"/>
      <c r="C84" s="240"/>
      <c r="D84" s="240"/>
      <c r="E84" s="240"/>
      <c r="F84" s="240"/>
      <c r="G84" s="240"/>
      <c r="H84" s="240"/>
    </row>
    <row r="85" spans="1:8" x14ac:dyDescent="0.25">
      <c r="A85" s="228" t="s">
        <v>533</v>
      </c>
      <c r="B85" s="240"/>
      <c r="C85" s="240"/>
      <c r="D85" s="240"/>
      <c r="E85" s="240"/>
      <c r="F85" s="240"/>
      <c r="G85" s="240"/>
      <c r="H85" s="240"/>
    </row>
    <row r="86" spans="1:8" x14ac:dyDescent="0.25">
      <c r="A86" s="228" t="s">
        <v>534</v>
      </c>
      <c r="B86" s="240"/>
      <c r="C86" s="240"/>
      <c r="D86" s="240"/>
      <c r="E86" s="240"/>
      <c r="F86" s="240"/>
      <c r="G86" s="240"/>
      <c r="H86" s="240"/>
    </row>
  </sheetData>
  <mergeCells count="1">
    <mergeCell ref="A1:H1"/>
  </mergeCells>
  <hyperlinks>
    <hyperlink ref="H4" r:id="rId1" display="https://app.tikr.com/account/subs?ref=q5ht48" xr:uid="{20C4BB2D-1267-4CA6-8D77-8DD2FAF0E816}"/>
    <hyperlink ref="H11" r:id="rId2" display="https://app.tikr.com/account/subs?ref=q5ht48" xr:uid="{E1200E28-ED84-49A6-9A57-5266B9190AD2}"/>
    <hyperlink ref="G12" r:id="rId3" display="https://app.tikr.com/account/subs?ref=q5ht48" xr:uid="{B55BFC04-03EE-4871-B4CA-FE11BC339AF8}"/>
    <hyperlink ref="H12" r:id="rId4" display="https://app.tikr.com/account/subs?ref=q5ht48" xr:uid="{1A1D30A8-7E93-4978-AC47-9CAD9EF7E7C4}"/>
    <hyperlink ref="H13" r:id="rId5" display="https://app.tikr.com/account/subs?ref=q5ht48" xr:uid="{68049BC5-F719-45EB-B8B9-2722BB7849BA}"/>
    <hyperlink ref="H17" r:id="rId6" display="https://app.tikr.com/account/subs?ref=q5ht48" xr:uid="{76AE813E-7B08-4AC9-A383-944FD19C7876}"/>
    <hyperlink ref="G18" r:id="rId7" display="https://app.tikr.com/account/subs?ref=q5ht48" xr:uid="{166B1024-AC75-4C1B-B7EA-60FDA3C46571}"/>
    <hyperlink ref="H18" r:id="rId8" display="https://app.tikr.com/account/subs?ref=q5ht48" xr:uid="{A96B0130-9C4F-4B7C-AF33-BF1CFD716E59}"/>
    <hyperlink ref="H19" r:id="rId9" display="https://app.tikr.com/account/subs?ref=q5ht48" xr:uid="{AAA9A53E-94E4-46FA-B4F3-E7AACE04AC47}"/>
    <hyperlink ref="H20" r:id="rId10" display="https://app.tikr.com/account/subs?ref=q5ht48" xr:uid="{D1166938-DAD4-4C11-8FC4-910EFEFCD148}"/>
    <hyperlink ref="H25" r:id="rId11" display="https://app.tikr.com/account/subs?ref=q5ht48" xr:uid="{35456960-8BD3-4BC2-9360-0F91643D58C1}"/>
    <hyperlink ref="H30" r:id="rId12" display="https://app.tikr.com/account/subs?ref=q5ht48" xr:uid="{80149C96-3D47-4AE2-8F85-AB78E5F356B4}"/>
    <hyperlink ref="H31" r:id="rId13" display="https://app.tikr.com/account/subs?ref=q5ht48" xr:uid="{B6D6F996-A7D3-4F63-A665-76E0DD275CBF}"/>
    <hyperlink ref="G32" r:id="rId14" display="https://app.tikr.com/account/subs?ref=q5ht48" xr:uid="{981025D9-A9EC-4146-A0F0-1DD8A8FB3B84}"/>
    <hyperlink ref="H32" r:id="rId15" display="https://app.tikr.com/account/subs?ref=q5ht48" xr:uid="{3D71F5A9-6F2E-42B9-BCE0-43AD1F93B875}"/>
    <hyperlink ref="H33" r:id="rId16" display="https://app.tikr.com/account/subs?ref=q5ht48" xr:uid="{7BAC32FD-5AE8-4A98-A722-22E9AFF6A6F0}"/>
    <hyperlink ref="H34" r:id="rId17" display="https://app.tikr.com/account/subs?ref=q5ht48" xr:uid="{1D7792AE-5FE5-4C18-8660-D4DCCAFB2C63}"/>
    <hyperlink ref="H35" r:id="rId18" display="https://app.tikr.com/account/subs?ref=q5ht48" xr:uid="{A9C4C1D4-8DFC-4A6E-9F15-656CB45E4A81}"/>
    <hyperlink ref="H37" r:id="rId19" display="https://app.tikr.com/account/subs?ref=q5ht48" xr:uid="{8161E3C0-FDDD-473E-9FEC-35A3B527BB51}"/>
    <hyperlink ref="H38" r:id="rId20" display="https://app.tikr.com/account/subs?ref=q5ht48" xr:uid="{5B3399D3-8D85-4C24-90BA-4BAA6D48E706}"/>
    <hyperlink ref="H39" r:id="rId21" display="https://app.tikr.com/account/subs?ref=q5ht48" xr:uid="{15302F72-7332-4666-B52F-3553E6DF7E23}"/>
    <hyperlink ref="H42" r:id="rId22" display="https://app.tikr.com/account/subs?ref=q5ht48" xr:uid="{BC399175-B223-4FBE-B8FB-DD18ED65D23A}"/>
    <hyperlink ref="H49" r:id="rId23" display="https://app.tikr.com/account/subs?ref=q5ht48" xr:uid="{C405893C-6C3E-4C32-ABF0-897E571E9A94}"/>
    <hyperlink ref="H50" r:id="rId24" display="https://app.tikr.com/account/subs?ref=q5ht48" xr:uid="{E35A0773-D492-4CB8-90C3-E9716312A969}"/>
    <hyperlink ref="H51" r:id="rId25" display="https://app.tikr.com/account/subs?ref=q5ht48" xr:uid="{57BD75F1-9A4D-4AE1-8E71-33B8BC3B3B78}"/>
    <hyperlink ref="H54" r:id="rId26" display="https://app.tikr.com/account/subs?ref=q5ht48" xr:uid="{DFF9A96B-78DD-4A83-932B-E9806E18E129}"/>
    <hyperlink ref="H56" r:id="rId27" display="https://app.tikr.com/account/subs?ref=q5ht48" xr:uid="{787F4177-E681-4CDB-91E9-39FF9281CEF8}"/>
    <hyperlink ref="H58" r:id="rId28" display="https://app.tikr.com/account/subs?ref=q5ht48" xr:uid="{33E69352-B2BE-4C8B-B4EF-1E85B69EB1A8}"/>
    <hyperlink ref="H59" r:id="rId29" display="https://app.tikr.com/account/subs?ref=q5ht48" xr:uid="{20EB7952-C86F-4FC7-90B0-B2242699134F}"/>
    <hyperlink ref="H60" r:id="rId30" display="https://app.tikr.com/account/subs?ref=q5ht48" xr:uid="{0228BF2F-FD1F-4BE4-A55C-E438897FDF95}"/>
    <hyperlink ref="H61" r:id="rId31" display="https://app.tikr.com/account/subs?ref=q5ht48" xr:uid="{E01CD516-F865-4E59-A643-B7588D93168B}"/>
    <hyperlink ref="H63" r:id="rId32" display="https://app.tikr.com/account/subs?ref=q5ht48" xr:uid="{F99A6A29-7E92-41A4-9CB5-BA9806DBB9B2}"/>
    <hyperlink ref="G64" r:id="rId33" display="https://app.tikr.com/account/subs?ref=q5ht48" xr:uid="{10C80DCD-7BC2-438A-851F-FD85EBE13669}"/>
    <hyperlink ref="H64" r:id="rId34" display="https://app.tikr.com/account/subs?ref=q5ht48" xr:uid="{0B95779B-7164-4D45-9243-B2804EBC0CD5}"/>
    <hyperlink ref="H65" r:id="rId35" display="https://app.tikr.com/account/subs?ref=q5ht48" xr:uid="{1FD92A50-971D-4D14-BA38-BA71469ED7F1}"/>
    <hyperlink ref="G66" r:id="rId36" display="https://app.tikr.com/account/subs?ref=q5ht48" xr:uid="{A072D225-4F64-4934-8A2C-D3188397DC49}"/>
    <hyperlink ref="H66" r:id="rId37" display="https://app.tikr.com/account/subs?ref=q5ht48" xr:uid="{2F757429-C460-4FE4-A372-4F5D1008B9EA}"/>
    <hyperlink ref="H67" r:id="rId38" display="https://app.tikr.com/account/subs?ref=q5ht48" xr:uid="{05F261C2-4CC0-46E2-B30F-E952FED5C2C9}"/>
    <hyperlink ref="G68" r:id="rId39" display="https://app.tikr.com/account/subs?ref=q5ht48" xr:uid="{5F23D92D-91DE-4E33-8B57-EB6E3282EE0F}"/>
    <hyperlink ref="H68" r:id="rId40" display="https://app.tikr.com/account/subs?ref=q5ht48" xr:uid="{DD16B112-EFB8-4D9C-BA02-E63B576531F6}"/>
    <hyperlink ref="H73" r:id="rId41" display="https://app.tikr.com/account/subs?ref=q5ht48" xr:uid="{246A48C0-22FB-40EC-8C1F-19619040D147}"/>
    <hyperlink ref="H77" r:id="rId42" display="https://app.tikr.com/account/subs?ref=q5ht48" xr:uid="{5FF9C7F5-ECF1-46B8-9BD6-172377721F32}"/>
    <hyperlink ref="G78" r:id="rId43" display="https://app.tikr.com/account/subs?ref=q5ht48" xr:uid="{D8D98896-8593-402E-B704-C8FA43B3DE3A}"/>
    <hyperlink ref="H78" r:id="rId44" display="https://app.tikr.com/account/subs?ref=q5ht48" xr:uid="{A943BCB8-D759-4AFC-A7CC-D48126C895C7}"/>
    <hyperlink ref="H79" r:id="rId45" display="https://app.tikr.com/account/subs?ref=q5ht48" xr:uid="{D57EADD9-245E-469A-ACC1-C7B42AFB1895}"/>
    <hyperlink ref="H80" r:id="rId46" display="https://app.tikr.com/account/subs?ref=q5ht48" xr:uid="{A255E1F4-BD88-4329-8AE1-80DD4938B232}"/>
    <hyperlink ref="H81" r:id="rId47" display="https://app.tikr.com/account/subs?ref=q5ht48" xr:uid="{195FB715-5CFD-43E5-82DD-54A7A1244085}"/>
    <hyperlink ref="H82" r:id="rId48" display="https://app.tikr.com/account/subs?ref=q5ht48" xr:uid="{A8A7877C-65D3-45B1-97E7-4B1D788B45A1}"/>
    <hyperlink ref="H83" r:id="rId49" display="https://app.tikr.com/account/subs?ref=q5ht48" xr:uid="{0B58BCA3-3527-4B33-BBC3-D441FEFE078F}"/>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0DC97-9CE4-40F0-95BD-8510166401E5}">
  <sheetPr codeName="Hoja10"/>
  <dimension ref="A1:H82"/>
  <sheetViews>
    <sheetView workbookViewId="0">
      <selection activeCell="B68" sqref="B68"/>
    </sheetView>
    <sheetView workbookViewId="1">
      <selection sqref="A1:H82"/>
    </sheetView>
  </sheetViews>
  <sheetFormatPr baseColWidth="10" defaultRowHeight="15" x14ac:dyDescent="0.25"/>
  <cols>
    <col min="1" max="1" width="45.7109375" bestFit="1" customWidth="1"/>
  </cols>
  <sheetData>
    <row r="1" spans="1:8" x14ac:dyDescent="0.25">
      <c r="A1" s="225"/>
      <c r="B1" s="225"/>
      <c r="C1" s="225"/>
      <c r="D1" s="225"/>
      <c r="E1" s="225"/>
      <c r="F1" s="225"/>
      <c r="G1" s="225"/>
      <c r="H1" s="225"/>
    </row>
    <row r="2" spans="1:8" x14ac:dyDescent="0.25">
      <c r="A2" s="226" t="s">
        <v>383</v>
      </c>
      <c r="B2" s="226" t="s">
        <v>142</v>
      </c>
      <c r="C2" s="227">
        <v>44561</v>
      </c>
      <c r="D2" s="227">
        <v>44196</v>
      </c>
      <c r="E2" s="227">
        <v>43830</v>
      </c>
      <c r="F2" s="227">
        <v>43465</v>
      </c>
      <c r="G2" s="227">
        <v>43100</v>
      </c>
      <c r="H2" s="227">
        <v>42735</v>
      </c>
    </row>
    <row r="3" spans="1:8" x14ac:dyDescent="0.25">
      <c r="A3" s="170"/>
      <c r="B3" s="170"/>
      <c r="C3" s="170"/>
      <c r="D3" s="170"/>
      <c r="E3" s="170"/>
      <c r="F3" s="170"/>
      <c r="G3" s="170"/>
      <c r="H3" s="170"/>
    </row>
    <row r="4" spans="1:8" x14ac:dyDescent="0.25">
      <c r="A4" s="228" t="s">
        <v>384</v>
      </c>
      <c r="B4" s="248">
        <v>21984</v>
      </c>
      <c r="C4" s="248">
        <v>20945</v>
      </c>
      <c r="D4" s="248">
        <v>26465</v>
      </c>
      <c r="E4" s="248">
        <v>18498</v>
      </c>
      <c r="F4" s="248">
        <v>16701</v>
      </c>
      <c r="G4" s="248">
        <v>10715</v>
      </c>
      <c r="H4" s="175"/>
    </row>
    <row r="5" spans="1:8" x14ac:dyDescent="0.25">
      <c r="A5" s="228" t="s">
        <v>385</v>
      </c>
      <c r="B5" s="248">
        <v>94275</v>
      </c>
      <c r="C5" s="248">
        <v>118704</v>
      </c>
      <c r="D5" s="248">
        <v>110229</v>
      </c>
      <c r="E5" s="248">
        <v>101177</v>
      </c>
      <c r="F5" s="248">
        <v>92439</v>
      </c>
      <c r="G5" s="248">
        <v>91156</v>
      </c>
      <c r="H5" s="175"/>
    </row>
    <row r="6" spans="1:8" x14ac:dyDescent="0.25">
      <c r="A6" s="228" t="s">
        <v>386</v>
      </c>
      <c r="B6" s="240"/>
      <c r="C6" s="240"/>
      <c r="D6" s="240"/>
      <c r="E6" s="240"/>
      <c r="F6" s="240"/>
      <c r="G6" s="240"/>
      <c r="H6" s="240"/>
    </row>
    <row r="7" spans="1:8" x14ac:dyDescent="0.25">
      <c r="A7" s="230" t="s">
        <v>387</v>
      </c>
      <c r="B7" s="245">
        <v>116259</v>
      </c>
      <c r="C7" s="245">
        <v>139649</v>
      </c>
      <c r="D7" s="245">
        <v>136694</v>
      </c>
      <c r="E7" s="245">
        <v>119675</v>
      </c>
      <c r="F7" s="245">
        <v>109140</v>
      </c>
      <c r="G7" s="245">
        <v>101871</v>
      </c>
      <c r="H7" s="175"/>
    </row>
    <row r="8" spans="1:8" x14ac:dyDescent="0.25">
      <c r="A8" s="228" t="s">
        <v>139</v>
      </c>
      <c r="B8" s="248">
        <v>34697</v>
      </c>
      <c r="C8" s="248">
        <v>39304</v>
      </c>
      <c r="D8" s="248">
        <v>30930</v>
      </c>
      <c r="E8" s="248">
        <v>25326</v>
      </c>
      <c r="F8" s="248">
        <v>20838</v>
      </c>
      <c r="G8" s="248">
        <v>18336</v>
      </c>
      <c r="H8" s="175"/>
    </row>
    <row r="9" spans="1:8" x14ac:dyDescent="0.25">
      <c r="A9" s="228" t="s">
        <v>388</v>
      </c>
      <c r="B9" s="229">
        <v>1479</v>
      </c>
      <c r="C9" s="229">
        <v>966</v>
      </c>
      <c r="D9" s="229">
        <v>454</v>
      </c>
      <c r="E9" s="229">
        <v>2166</v>
      </c>
      <c r="F9" s="229">
        <v>355</v>
      </c>
      <c r="G9" s="229">
        <v>369</v>
      </c>
      <c r="H9" s="175"/>
    </row>
    <row r="10" spans="1:8" x14ac:dyDescent="0.25">
      <c r="A10" s="228" t="s">
        <v>389</v>
      </c>
      <c r="B10" s="240"/>
      <c r="C10" s="240"/>
      <c r="D10" s="240"/>
      <c r="E10" s="240"/>
      <c r="F10" s="240"/>
      <c r="G10" s="240"/>
      <c r="H10" s="175"/>
    </row>
    <row r="11" spans="1:8" x14ac:dyDescent="0.25">
      <c r="A11" s="230" t="s">
        <v>390</v>
      </c>
      <c r="B11" s="245">
        <v>36176</v>
      </c>
      <c r="C11" s="245">
        <v>40270</v>
      </c>
      <c r="D11" s="245">
        <v>31384</v>
      </c>
      <c r="E11" s="245">
        <v>27492</v>
      </c>
      <c r="F11" s="245">
        <v>21193</v>
      </c>
      <c r="G11" s="245">
        <v>18705</v>
      </c>
      <c r="H11" s="175"/>
    </row>
    <row r="12" spans="1:8" x14ac:dyDescent="0.25">
      <c r="A12" s="228" t="s">
        <v>127</v>
      </c>
      <c r="B12" s="229">
        <v>3156</v>
      </c>
      <c r="C12" s="229">
        <v>1170</v>
      </c>
      <c r="D12" s="229">
        <v>728</v>
      </c>
      <c r="E12" s="229">
        <v>999</v>
      </c>
      <c r="F12" s="229">
        <v>1107</v>
      </c>
      <c r="G12" s="229">
        <v>749</v>
      </c>
      <c r="H12" s="175"/>
    </row>
    <row r="13" spans="1:8" x14ac:dyDescent="0.25">
      <c r="A13" s="228" t="s">
        <v>391</v>
      </c>
      <c r="B13" s="240"/>
      <c r="C13" s="240"/>
      <c r="D13" s="240"/>
      <c r="E13" s="240"/>
      <c r="F13" s="240"/>
      <c r="G13" s="240"/>
      <c r="H13" s="240"/>
    </row>
    <row r="14" spans="1:8" x14ac:dyDescent="0.25">
      <c r="A14" s="228" t="s">
        <v>392</v>
      </c>
      <c r="B14" s="240"/>
      <c r="C14" s="240"/>
      <c r="D14" s="240"/>
      <c r="E14" s="240"/>
      <c r="F14" s="240"/>
      <c r="G14" s="240"/>
      <c r="H14" s="240"/>
    </row>
    <row r="15" spans="1:8" x14ac:dyDescent="0.25">
      <c r="A15" s="228" t="s">
        <v>393</v>
      </c>
      <c r="B15" s="240"/>
      <c r="C15" s="240"/>
      <c r="D15" s="240"/>
      <c r="E15" s="240"/>
      <c r="F15" s="240"/>
      <c r="G15" s="240"/>
      <c r="H15" s="240"/>
    </row>
    <row r="16" spans="1:8" x14ac:dyDescent="0.25">
      <c r="A16" s="228" t="s">
        <v>394</v>
      </c>
      <c r="B16" s="240"/>
      <c r="C16" s="240"/>
      <c r="D16" s="240"/>
      <c r="E16" s="240"/>
      <c r="F16" s="240"/>
      <c r="G16" s="240"/>
      <c r="H16" s="240"/>
    </row>
    <row r="17" spans="1:8" x14ac:dyDescent="0.25">
      <c r="A17" s="228" t="s">
        <v>395</v>
      </c>
      <c r="B17" s="240"/>
      <c r="C17" s="240"/>
      <c r="D17" s="240"/>
      <c r="E17" s="240"/>
      <c r="F17" s="240"/>
      <c r="G17" s="240"/>
      <c r="H17" s="240"/>
    </row>
    <row r="18" spans="1:8" x14ac:dyDescent="0.25">
      <c r="A18" s="228" t="s">
        <v>396</v>
      </c>
      <c r="B18" s="240"/>
      <c r="C18" s="240"/>
      <c r="D18" s="240"/>
      <c r="E18" s="240"/>
      <c r="F18" s="229">
        <v>327</v>
      </c>
      <c r="G18" s="229">
        <v>15</v>
      </c>
      <c r="H18" s="240"/>
    </row>
    <row r="19" spans="1:8" x14ac:dyDescent="0.25">
      <c r="A19" s="228" t="s">
        <v>128</v>
      </c>
      <c r="B19" s="248">
        <v>10518</v>
      </c>
      <c r="C19" s="229">
        <v>7054</v>
      </c>
      <c r="D19" s="229">
        <v>5490</v>
      </c>
      <c r="E19" s="229">
        <v>4412</v>
      </c>
      <c r="F19" s="229">
        <v>3909</v>
      </c>
      <c r="G19" s="229">
        <v>2968</v>
      </c>
      <c r="H19" s="175"/>
    </row>
    <row r="20" spans="1:8" x14ac:dyDescent="0.25">
      <c r="A20" s="230" t="s">
        <v>129</v>
      </c>
      <c r="B20" s="245">
        <v>166109</v>
      </c>
      <c r="C20" s="245">
        <v>188143</v>
      </c>
      <c r="D20" s="245">
        <v>174296</v>
      </c>
      <c r="E20" s="245">
        <v>152578</v>
      </c>
      <c r="F20" s="245">
        <v>135676</v>
      </c>
      <c r="G20" s="245">
        <v>124308</v>
      </c>
      <c r="H20" s="175"/>
    </row>
    <row r="21" spans="1:8" x14ac:dyDescent="0.25">
      <c r="A21" s="228" t="s">
        <v>397</v>
      </c>
      <c r="B21" s="248">
        <v>177552</v>
      </c>
      <c r="C21" s="248">
        <v>159972</v>
      </c>
      <c r="D21" s="248">
        <v>138673</v>
      </c>
      <c r="E21" s="248">
        <v>115148</v>
      </c>
      <c r="F21" s="248">
        <v>82507</v>
      </c>
      <c r="G21" s="248">
        <v>59647</v>
      </c>
      <c r="H21" s="175"/>
    </row>
    <row r="22" spans="1:8" x14ac:dyDescent="0.25">
      <c r="A22" s="228" t="s">
        <v>398</v>
      </c>
      <c r="B22" s="246">
        <v>-55512</v>
      </c>
      <c r="C22" s="246">
        <v>-49414</v>
      </c>
      <c r="D22" s="246">
        <v>-41713</v>
      </c>
      <c r="E22" s="246">
        <v>-30561</v>
      </c>
      <c r="F22" s="246">
        <v>-22788</v>
      </c>
      <c r="G22" s="246">
        <v>-17264</v>
      </c>
      <c r="H22" s="175"/>
    </row>
    <row r="23" spans="1:8" x14ac:dyDescent="0.25">
      <c r="A23" s="230" t="s">
        <v>399</v>
      </c>
      <c r="B23" s="245">
        <v>122040</v>
      </c>
      <c r="C23" s="245">
        <v>110558</v>
      </c>
      <c r="D23" s="245">
        <v>96960</v>
      </c>
      <c r="E23" s="245">
        <v>84587</v>
      </c>
      <c r="F23" s="245">
        <v>59719</v>
      </c>
      <c r="G23" s="245">
        <v>42383</v>
      </c>
      <c r="H23" s="175"/>
    </row>
    <row r="24" spans="1:8" x14ac:dyDescent="0.25">
      <c r="A24" s="228" t="s">
        <v>400</v>
      </c>
      <c r="B24" s="248">
        <v>30419</v>
      </c>
      <c r="C24" s="248">
        <v>29549</v>
      </c>
      <c r="D24" s="248">
        <v>20703</v>
      </c>
      <c r="E24" s="248">
        <v>13078</v>
      </c>
      <c r="F24" s="248">
        <v>13859</v>
      </c>
      <c r="G24" s="229">
        <v>7813</v>
      </c>
      <c r="H24" s="175"/>
    </row>
    <row r="25" spans="1:8" x14ac:dyDescent="0.25">
      <c r="A25" s="228" t="s">
        <v>130</v>
      </c>
      <c r="B25" s="248">
        <v>28834</v>
      </c>
      <c r="C25" s="248">
        <v>22956</v>
      </c>
      <c r="D25" s="248">
        <v>21175</v>
      </c>
      <c r="E25" s="248">
        <v>20624</v>
      </c>
      <c r="F25" s="248">
        <v>17888</v>
      </c>
      <c r="G25" s="248">
        <v>16747</v>
      </c>
      <c r="H25" s="175"/>
    </row>
    <row r="26" spans="1:8" x14ac:dyDescent="0.25">
      <c r="A26" s="228" t="s">
        <v>401</v>
      </c>
      <c r="B26" s="229">
        <v>2192</v>
      </c>
      <c r="C26" s="229">
        <v>1417</v>
      </c>
      <c r="D26" s="229">
        <v>1445</v>
      </c>
      <c r="E26" s="229">
        <v>1979</v>
      </c>
      <c r="F26" s="229">
        <v>2220</v>
      </c>
      <c r="G26" s="229">
        <v>2692</v>
      </c>
      <c r="H26" s="175"/>
    </row>
    <row r="27" spans="1:8" x14ac:dyDescent="0.25">
      <c r="A27" s="228" t="s">
        <v>402</v>
      </c>
      <c r="B27" s="240"/>
      <c r="C27" s="240"/>
      <c r="D27" s="240"/>
      <c r="E27" s="240"/>
      <c r="F27" s="240"/>
      <c r="G27" s="240"/>
      <c r="H27" s="240"/>
    </row>
    <row r="28" spans="1:8" x14ac:dyDescent="0.25">
      <c r="A28" s="228" t="s">
        <v>403</v>
      </c>
      <c r="B28" s="240"/>
      <c r="C28" s="240"/>
      <c r="D28" s="240"/>
      <c r="E28" s="240"/>
      <c r="F28" s="240"/>
      <c r="G28" s="240"/>
      <c r="H28" s="240"/>
    </row>
    <row r="29" spans="1:8" x14ac:dyDescent="0.25">
      <c r="A29" s="228" t="s">
        <v>404</v>
      </c>
      <c r="B29" s="240"/>
      <c r="C29" s="240"/>
      <c r="D29" s="240"/>
      <c r="E29" s="240"/>
      <c r="F29" s="240"/>
      <c r="G29" s="240"/>
      <c r="H29" s="240"/>
    </row>
    <row r="30" spans="1:8" x14ac:dyDescent="0.25">
      <c r="A30" s="228" t="s">
        <v>405</v>
      </c>
      <c r="B30" s="240"/>
      <c r="C30" s="240"/>
      <c r="D30" s="240"/>
      <c r="E30" s="240"/>
      <c r="F30" s="240"/>
      <c r="G30" s="240"/>
      <c r="H30" s="240"/>
    </row>
    <row r="31" spans="1:8" x14ac:dyDescent="0.25">
      <c r="A31" s="228" t="s">
        <v>406</v>
      </c>
      <c r="B31" s="229">
        <v>2991</v>
      </c>
      <c r="C31" s="229">
        <v>1284</v>
      </c>
      <c r="D31" s="229">
        <v>1084</v>
      </c>
      <c r="E31" s="229">
        <v>721</v>
      </c>
      <c r="F31" s="229">
        <v>737</v>
      </c>
      <c r="G31" s="229">
        <v>680</v>
      </c>
      <c r="H31" s="175"/>
    </row>
    <row r="32" spans="1:8" x14ac:dyDescent="0.25">
      <c r="A32" s="228" t="s">
        <v>407</v>
      </c>
      <c r="B32" s="240"/>
      <c r="C32" s="240"/>
      <c r="D32" s="240"/>
      <c r="E32" s="240"/>
      <c r="F32" s="240"/>
      <c r="G32" s="240"/>
      <c r="H32" s="240"/>
    </row>
    <row r="33" spans="1:8" ht="15.75" thickBot="1" x14ac:dyDescent="0.3">
      <c r="A33" s="228" t="s">
        <v>408</v>
      </c>
      <c r="B33" s="229">
        <v>5670</v>
      </c>
      <c r="C33" s="229">
        <v>5361</v>
      </c>
      <c r="D33" s="229">
        <v>3953</v>
      </c>
      <c r="E33" s="229">
        <v>2342</v>
      </c>
      <c r="F33" s="229">
        <v>2693</v>
      </c>
      <c r="G33" s="229">
        <v>2672</v>
      </c>
      <c r="H33" s="175"/>
    </row>
    <row r="34" spans="1:8" ht="15.75" thickTop="1" x14ac:dyDescent="0.25">
      <c r="A34" s="237" t="s">
        <v>131</v>
      </c>
      <c r="B34" s="247">
        <v>358255</v>
      </c>
      <c r="C34" s="247">
        <v>359268</v>
      </c>
      <c r="D34" s="247">
        <v>319616</v>
      </c>
      <c r="E34" s="247">
        <v>275909</v>
      </c>
      <c r="F34" s="247">
        <v>232792</v>
      </c>
      <c r="G34" s="247">
        <v>197295</v>
      </c>
      <c r="H34" s="184"/>
    </row>
    <row r="35" spans="1:8" x14ac:dyDescent="0.25">
      <c r="A35" s="228" t="s">
        <v>132</v>
      </c>
      <c r="B35" s="229">
        <v>6303</v>
      </c>
      <c r="C35" s="229">
        <v>6037</v>
      </c>
      <c r="D35" s="229">
        <v>5589</v>
      </c>
      <c r="E35" s="229">
        <v>5561</v>
      </c>
      <c r="F35" s="229">
        <v>4378</v>
      </c>
      <c r="G35" s="229">
        <v>3137</v>
      </c>
      <c r="H35" s="175"/>
    </row>
    <row r="36" spans="1:8" x14ac:dyDescent="0.25">
      <c r="A36" s="228" t="s">
        <v>409</v>
      </c>
      <c r="B36" s="248">
        <v>30243</v>
      </c>
      <c r="C36" s="248">
        <v>26707</v>
      </c>
      <c r="D36" s="248">
        <v>20445</v>
      </c>
      <c r="E36" s="248">
        <v>16187</v>
      </c>
      <c r="F36" s="248">
        <v>12630</v>
      </c>
      <c r="G36" s="248">
        <v>10395</v>
      </c>
      <c r="H36" s="175"/>
    </row>
    <row r="37" spans="1:8" x14ac:dyDescent="0.25">
      <c r="A37" s="228" t="s">
        <v>410</v>
      </c>
      <c r="B37" s="240"/>
      <c r="C37" s="240"/>
      <c r="D37" s="240"/>
      <c r="E37" s="240"/>
      <c r="F37" s="240"/>
      <c r="G37" s="240"/>
      <c r="H37" s="240"/>
    </row>
    <row r="38" spans="1:8" x14ac:dyDescent="0.25">
      <c r="A38" s="228" t="s">
        <v>411</v>
      </c>
      <c r="B38" s="240"/>
      <c r="C38" s="240"/>
      <c r="D38" s="229">
        <v>999</v>
      </c>
      <c r="E38" s="240"/>
      <c r="F38" s="240"/>
      <c r="G38" s="240"/>
      <c r="H38" s="240"/>
    </row>
    <row r="39" spans="1:8" x14ac:dyDescent="0.25">
      <c r="A39" s="228" t="s">
        <v>412</v>
      </c>
      <c r="B39" s="229">
        <v>2699</v>
      </c>
      <c r="C39" s="229">
        <v>2302</v>
      </c>
      <c r="D39" s="229">
        <v>1795</v>
      </c>
      <c r="E39" s="229">
        <v>1314</v>
      </c>
      <c r="F39" s="240"/>
      <c r="G39" s="240"/>
      <c r="H39" s="240"/>
    </row>
    <row r="40" spans="1:8" x14ac:dyDescent="0.25">
      <c r="A40" s="228" t="s">
        <v>413</v>
      </c>
      <c r="B40" s="240"/>
      <c r="C40" s="240"/>
      <c r="D40" s="240"/>
      <c r="E40" s="240"/>
      <c r="F40" s="240"/>
      <c r="G40" s="240"/>
      <c r="H40" s="240"/>
    </row>
    <row r="41" spans="1:8" x14ac:dyDescent="0.25">
      <c r="A41" s="228" t="s">
        <v>414</v>
      </c>
      <c r="B41" s="240"/>
      <c r="C41" s="240"/>
      <c r="D41" s="240"/>
      <c r="E41" s="240"/>
      <c r="F41" s="240"/>
      <c r="G41" s="240"/>
      <c r="H41" s="240"/>
    </row>
    <row r="42" spans="1:8" x14ac:dyDescent="0.25">
      <c r="A42" s="228" t="s">
        <v>415</v>
      </c>
      <c r="B42" s="229">
        <v>1025</v>
      </c>
      <c r="C42" s="229">
        <v>808</v>
      </c>
      <c r="D42" s="229">
        <v>1485</v>
      </c>
      <c r="E42" s="229">
        <v>274</v>
      </c>
      <c r="F42" s="229">
        <v>69</v>
      </c>
      <c r="G42" s="229">
        <v>881</v>
      </c>
      <c r="H42" s="175"/>
    </row>
    <row r="43" spans="1:8" x14ac:dyDescent="0.25">
      <c r="A43" s="228" t="s">
        <v>416</v>
      </c>
      <c r="B43" s="229">
        <v>3585</v>
      </c>
      <c r="C43" s="229">
        <v>3288</v>
      </c>
      <c r="D43" s="229">
        <v>2543</v>
      </c>
      <c r="E43" s="229">
        <v>1908</v>
      </c>
      <c r="F43" s="229">
        <v>1784</v>
      </c>
      <c r="G43" s="229">
        <v>1432</v>
      </c>
      <c r="H43" s="175"/>
    </row>
    <row r="44" spans="1:8" x14ac:dyDescent="0.25">
      <c r="A44" s="228" t="s">
        <v>417</v>
      </c>
      <c r="B44" s="240"/>
      <c r="C44" s="240"/>
      <c r="D44" s="240"/>
      <c r="E44" s="240"/>
      <c r="F44" s="240"/>
      <c r="G44" s="240"/>
      <c r="H44" s="240"/>
    </row>
    <row r="45" spans="1:8" x14ac:dyDescent="0.25">
      <c r="A45" s="228" t="s">
        <v>133</v>
      </c>
      <c r="B45" s="248">
        <v>22124</v>
      </c>
      <c r="C45" s="248">
        <v>25112</v>
      </c>
      <c r="D45" s="248">
        <v>23978</v>
      </c>
      <c r="E45" s="248">
        <v>19977</v>
      </c>
      <c r="F45" s="248">
        <v>15759</v>
      </c>
      <c r="G45" s="229">
        <v>8338</v>
      </c>
      <c r="H45" s="175"/>
    </row>
    <row r="46" spans="1:8" x14ac:dyDescent="0.25">
      <c r="A46" s="230" t="s">
        <v>134</v>
      </c>
      <c r="B46" s="245">
        <v>65979</v>
      </c>
      <c r="C46" s="245">
        <v>64254</v>
      </c>
      <c r="D46" s="245">
        <v>56834</v>
      </c>
      <c r="E46" s="245">
        <v>45221</v>
      </c>
      <c r="F46" s="245">
        <v>34620</v>
      </c>
      <c r="G46" s="245">
        <v>24183</v>
      </c>
      <c r="H46" s="175"/>
    </row>
    <row r="47" spans="1:8" x14ac:dyDescent="0.25">
      <c r="A47" s="228" t="s">
        <v>10</v>
      </c>
      <c r="B47" s="248">
        <v>12854</v>
      </c>
      <c r="C47" s="248">
        <v>12844</v>
      </c>
      <c r="D47" s="248">
        <v>12832</v>
      </c>
      <c r="E47" s="229">
        <v>3958</v>
      </c>
      <c r="F47" s="229">
        <v>3950</v>
      </c>
      <c r="G47" s="229">
        <v>3943</v>
      </c>
      <c r="H47" s="175"/>
    </row>
    <row r="48" spans="1:8" x14ac:dyDescent="0.25">
      <c r="A48" s="228" t="s">
        <v>418</v>
      </c>
      <c r="B48" s="248">
        <v>13783</v>
      </c>
      <c r="C48" s="248">
        <v>13362</v>
      </c>
      <c r="D48" s="248">
        <v>12246</v>
      </c>
      <c r="E48" s="248">
        <v>10810</v>
      </c>
      <c r="F48" s="229">
        <v>62</v>
      </c>
      <c r="G48" s="229">
        <v>26</v>
      </c>
      <c r="H48" s="240"/>
    </row>
    <row r="49" spans="1:8" x14ac:dyDescent="0.25">
      <c r="A49" s="228" t="s">
        <v>419</v>
      </c>
      <c r="B49" s="240"/>
      <c r="C49" s="240"/>
      <c r="D49" s="240"/>
      <c r="E49" s="240"/>
      <c r="F49" s="240"/>
      <c r="G49" s="240"/>
      <c r="H49" s="240"/>
    </row>
    <row r="50" spans="1:8" x14ac:dyDescent="0.25">
      <c r="A50" s="228" t="s">
        <v>420</v>
      </c>
      <c r="B50" s="240"/>
      <c r="C50" s="240"/>
      <c r="D50" s="240"/>
      <c r="E50" s="240"/>
      <c r="F50" s="240"/>
      <c r="G50" s="240"/>
      <c r="H50" s="240"/>
    </row>
    <row r="51" spans="1:8" x14ac:dyDescent="0.25">
      <c r="A51" s="228" t="s">
        <v>421</v>
      </c>
      <c r="B51" s="229">
        <v>594</v>
      </c>
      <c r="C51" s="229">
        <v>535</v>
      </c>
      <c r="D51" s="229">
        <v>481</v>
      </c>
      <c r="E51" s="229">
        <v>358</v>
      </c>
      <c r="F51" s="229">
        <v>396</v>
      </c>
      <c r="G51" s="229">
        <v>340</v>
      </c>
      <c r="H51" s="175"/>
    </row>
    <row r="52" spans="1:8" x14ac:dyDescent="0.25">
      <c r="A52" s="228" t="s">
        <v>422</v>
      </c>
      <c r="B52" s="240"/>
      <c r="C52" s="240"/>
      <c r="D52" s="240"/>
      <c r="E52" s="240"/>
      <c r="F52" s="240"/>
      <c r="G52" s="240"/>
      <c r="H52" s="240"/>
    </row>
    <row r="53" spans="1:8" x14ac:dyDescent="0.25">
      <c r="A53" s="228" t="s">
        <v>423</v>
      </c>
      <c r="B53" s="229">
        <v>476</v>
      </c>
      <c r="C53" s="229">
        <v>5257</v>
      </c>
      <c r="D53" s="229">
        <v>3561</v>
      </c>
      <c r="E53" s="229">
        <v>1701</v>
      </c>
      <c r="F53" s="229">
        <v>1264</v>
      </c>
      <c r="G53" s="229">
        <v>430</v>
      </c>
      <c r="H53" s="175"/>
    </row>
    <row r="54" spans="1:8" ht="15.75" thickBot="1" x14ac:dyDescent="0.3">
      <c r="A54" s="228" t="s">
        <v>424</v>
      </c>
      <c r="B54" s="248">
        <v>10943</v>
      </c>
      <c r="C54" s="248">
        <v>11381</v>
      </c>
      <c r="D54" s="248">
        <v>11118</v>
      </c>
      <c r="E54" s="248">
        <v>12419</v>
      </c>
      <c r="F54" s="248">
        <v>14872</v>
      </c>
      <c r="G54" s="248">
        <v>15871</v>
      </c>
      <c r="H54" s="175"/>
    </row>
    <row r="55" spans="1:8" ht="15.75" thickTop="1" x14ac:dyDescent="0.25">
      <c r="A55" s="237" t="s">
        <v>135</v>
      </c>
      <c r="B55" s="247">
        <v>104629</v>
      </c>
      <c r="C55" s="247">
        <v>107633</v>
      </c>
      <c r="D55" s="247">
        <v>97072</v>
      </c>
      <c r="E55" s="247">
        <v>74467</v>
      </c>
      <c r="F55" s="247">
        <v>55164</v>
      </c>
      <c r="G55" s="247">
        <v>44793</v>
      </c>
      <c r="H55" s="184"/>
    </row>
    <row r="56" spans="1:8" x14ac:dyDescent="0.25">
      <c r="A56" s="228" t="s">
        <v>425</v>
      </c>
      <c r="B56" s="240"/>
      <c r="C56" s="240"/>
      <c r="D56" s="240"/>
      <c r="E56" s="240"/>
      <c r="F56" s="240"/>
      <c r="G56" s="240"/>
      <c r="H56" s="240"/>
    </row>
    <row r="57" spans="1:8" x14ac:dyDescent="0.25">
      <c r="A57" s="228" t="s">
        <v>426</v>
      </c>
      <c r="B57" s="240"/>
      <c r="C57" s="240"/>
      <c r="D57" s="240"/>
      <c r="E57" s="240"/>
      <c r="F57" s="240"/>
      <c r="G57" s="240"/>
      <c r="H57" s="240"/>
    </row>
    <row r="58" spans="1:8" x14ac:dyDescent="0.25">
      <c r="A58" s="228" t="s">
        <v>427</v>
      </c>
      <c r="B58" s="240"/>
      <c r="C58" s="240"/>
      <c r="D58" s="240"/>
      <c r="E58" s="240"/>
      <c r="F58" s="240"/>
      <c r="G58" s="240"/>
      <c r="H58" s="240"/>
    </row>
    <row r="59" spans="1:8" x14ac:dyDescent="0.25">
      <c r="A59" s="228" t="s">
        <v>428</v>
      </c>
      <c r="B59" s="240"/>
      <c r="C59" s="240"/>
      <c r="D59" s="240"/>
      <c r="E59" s="240"/>
      <c r="F59" s="240"/>
      <c r="G59" s="240"/>
      <c r="H59" s="240"/>
    </row>
    <row r="60" spans="1:8" x14ac:dyDescent="0.25">
      <c r="A60" s="230" t="s">
        <v>429</v>
      </c>
      <c r="B60" s="255"/>
      <c r="C60" s="255"/>
      <c r="D60" s="255"/>
      <c r="E60" s="255"/>
      <c r="F60" s="255"/>
      <c r="G60" s="255"/>
      <c r="H60" s="255"/>
    </row>
    <row r="61" spans="1:8" x14ac:dyDescent="0.25">
      <c r="A61" s="228" t="s">
        <v>136</v>
      </c>
      <c r="B61" s="248">
        <v>66258</v>
      </c>
      <c r="C61" s="248">
        <v>61774</v>
      </c>
      <c r="D61" s="248">
        <v>58510</v>
      </c>
      <c r="E61" s="248">
        <v>50552</v>
      </c>
      <c r="F61" s="248">
        <v>45049</v>
      </c>
      <c r="G61" s="248">
        <v>40247</v>
      </c>
      <c r="H61" s="175"/>
    </row>
    <row r="62" spans="1:8" x14ac:dyDescent="0.25">
      <c r="A62" s="228" t="s">
        <v>430</v>
      </c>
      <c r="B62" s="240"/>
      <c r="C62" s="240"/>
      <c r="D62" s="240"/>
      <c r="E62" s="240"/>
      <c r="F62" s="240"/>
      <c r="G62" s="240"/>
      <c r="H62" s="240"/>
    </row>
    <row r="63" spans="1:8" x14ac:dyDescent="0.25">
      <c r="A63" s="228" t="s">
        <v>137</v>
      </c>
      <c r="B63" s="248">
        <v>196220</v>
      </c>
      <c r="C63" s="248">
        <v>191484</v>
      </c>
      <c r="D63" s="248">
        <v>163401</v>
      </c>
      <c r="E63" s="248">
        <v>152122</v>
      </c>
      <c r="F63" s="248">
        <v>134885</v>
      </c>
      <c r="G63" s="248">
        <v>113247</v>
      </c>
      <c r="H63" s="175"/>
    </row>
    <row r="64" spans="1:8" x14ac:dyDescent="0.25">
      <c r="A64" s="228" t="s">
        <v>431</v>
      </c>
      <c r="B64" s="240"/>
      <c r="C64" s="240"/>
      <c r="D64" s="240"/>
      <c r="E64" s="240"/>
      <c r="F64" s="240"/>
      <c r="G64" s="240"/>
      <c r="H64" s="240"/>
    </row>
    <row r="65" spans="1:8" x14ac:dyDescent="0.25">
      <c r="A65" s="228" t="s">
        <v>432</v>
      </c>
      <c r="B65" s="236">
        <v>-8852</v>
      </c>
      <c r="C65" s="236">
        <v>-1623</v>
      </c>
      <c r="D65" s="229">
        <v>633</v>
      </c>
      <c r="E65" s="236">
        <v>-1232</v>
      </c>
      <c r="F65" s="236">
        <v>-2306</v>
      </c>
      <c r="G65" s="236">
        <v>-992</v>
      </c>
      <c r="H65" s="175"/>
    </row>
    <row r="66" spans="1:8" x14ac:dyDescent="0.25">
      <c r="A66" s="230" t="s">
        <v>433</v>
      </c>
      <c r="B66" s="245">
        <v>253626</v>
      </c>
      <c r="C66" s="245">
        <v>251635</v>
      </c>
      <c r="D66" s="245">
        <v>222544</v>
      </c>
      <c r="E66" s="245">
        <v>201442</v>
      </c>
      <c r="F66" s="245">
        <v>177628</v>
      </c>
      <c r="G66" s="245">
        <v>152502</v>
      </c>
      <c r="H66" s="175"/>
    </row>
    <row r="67" spans="1:8" ht="15.75" thickBot="1" x14ac:dyDescent="0.3">
      <c r="A67" s="228" t="s">
        <v>138</v>
      </c>
      <c r="B67" s="240"/>
      <c r="C67" s="240"/>
      <c r="D67" s="240"/>
      <c r="E67" s="240"/>
      <c r="F67" s="240"/>
      <c r="G67" s="240"/>
      <c r="H67" s="240"/>
    </row>
    <row r="68" spans="1:8" ht="16.5" thickTop="1" thickBot="1" x14ac:dyDescent="0.3">
      <c r="A68" s="237" t="s">
        <v>434</v>
      </c>
      <c r="B68" s="247">
        <v>253626</v>
      </c>
      <c r="C68" s="247">
        <v>251635</v>
      </c>
      <c r="D68" s="247">
        <v>222544</v>
      </c>
      <c r="E68" s="247">
        <v>201442</v>
      </c>
      <c r="F68" s="247">
        <v>177628</v>
      </c>
      <c r="G68" s="247">
        <v>152502</v>
      </c>
      <c r="H68" s="184"/>
    </row>
    <row r="69" spans="1:8" ht="15.75" thickTop="1" x14ac:dyDescent="0.25">
      <c r="A69" s="237" t="s">
        <v>435</v>
      </c>
      <c r="B69" s="247">
        <v>358255</v>
      </c>
      <c r="C69" s="247">
        <v>359268</v>
      </c>
      <c r="D69" s="247">
        <v>319616</v>
      </c>
      <c r="E69" s="247">
        <v>275909</v>
      </c>
      <c r="F69" s="247">
        <v>232792</v>
      </c>
      <c r="G69" s="247">
        <v>197295</v>
      </c>
      <c r="H69" s="184"/>
    </row>
    <row r="70" spans="1:8" x14ac:dyDescent="0.25">
      <c r="A70" s="232" t="s">
        <v>300</v>
      </c>
      <c r="B70" s="170"/>
      <c r="C70" s="170"/>
      <c r="D70" s="170"/>
      <c r="E70" s="170"/>
      <c r="F70" s="170"/>
      <c r="G70" s="170"/>
      <c r="H70" s="170"/>
    </row>
    <row r="71" spans="1:8" x14ac:dyDescent="0.25">
      <c r="A71" s="228" t="s">
        <v>436</v>
      </c>
      <c r="B71" s="248">
        <v>12943</v>
      </c>
      <c r="C71" s="248">
        <v>13219.43</v>
      </c>
      <c r="D71" s="248">
        <v>13482.73</v>
      </c>
      <c r="E71" s="248">
        <v>13745.72</v>
      </c>
      <c r="F71" s="248">
        <v>13903.73</v>
      </c>
      <c r="G71" s="248">
        <v>13905.95</v>
      </c>
      <c r="H71" s="175"/>
    </row>
    <row r="72" spans="1:8" x14ac:dyDescent="0.25">
      <c r="A72" s="228" t="s">
        <v>437</v>
      </c>
      <c r="B72" s="229">
        <v>19.55</v>
      </c>
      <c r="C72" s="229">
        <v>19</v>
      </c>
      <c r="D72" s="229">
        <v>16.48</v>
      </c>
      <c r="E72" s="229">
        <v>14.63</v>
      </c>
      <c r="F72" s="229">
        <v>12.77</v>
      </c>
      <c r="G72" s="229">
        <v>10.97</v>
      </c>
      <c r="H72" s="175"/>
    </row>
    <row r="73" spans="1:8" x14ac:dyDescent="0.25">
      <c r="A73" s="228" t="s">
        <v>438</v>
      </c>
      <c r="B73" s="248">
        <v>222600</v>
      </c>
      <c r="C73" s="248">
        <v>227262</v>
      </c>
      <c r="D73" s="248">
        <v>199924</v>
      </c>
      <c r="E73" s="248">
        <v>178839</v>
      </c>
      <c r="F73" s="248">
        <v>157520</v>
      </c>
      <c r="G73" s="248">
        <v>133063</v>
      </c>
      <c r="H73" s="175"/>
    </row>
    <row r="74" spans="1:8" x14ac:dyDescent="0.25">
      <c r="A74" s="228" t="s">
        <v>439</v>
      </c>
      <c r="B74" s="229">
        <v>17.16</v>
      </c>
      <c r="C74" s="229">
        <v>17.16</v>
      </c>
      <c r="D74" s="229">
        <v>14.8</v>
      </c>
      <c r="E74" s="229">
        <v>12.99</v>
      </c>
      <c r="F74" s="229">
        <v>11.32</v>
      </c>
      <c r="G74" s="229">
        <v>9.58</v>
      </c>
      <c r="H74" s="175"/>
    </row>
    <row r="75" spans="1:8" x14ac:dyDescent="0.25">
      <c r="A75" s="228" t="s">
        <v>13</v>
      </c>
      <c r="B75" s="248">
        <v>29336</v>
      </c>
      <c r="C75" s="248">
        <v>28508</v>
      </c>
      <c r="D75" s="248">
        <v>27872</v>
      </c>
      <c r="E75" s="248">
        <v>16082</v>
      </c>
      <c r="F75" s="229">
        <v>4012</v>
      </c>
      <c r="G75" s="229">
        <v>3969</v>
      </c>
      <c r="H75" s="175"/>
    </row>
    <row r="76" spans="1:8" x14ac:dyDescent="0.25">
      <c r="A76" s="228" t="s">
        <v>14</v>
      </c>
      <c r="B76" s="246">
        <v>-86923</v>
      </c>
      <c r="C76" s="246">
        <v>-111141</v>
      </c>
      <c r="D76" s="246">
        <v>-108822</v>
      </c>
      <c r="E76" s="246">
        <v>-103593</v>
      </c>
      <c r="F76" s="246">
        <v>-105128</v>
      </c>
      <c r="G76" s="246">
        <v>-97902</v>
      </c>
      <c r="H76" s="175"/>
    </row>
    <row r="77" spans="1:8" x14ac:dyDescent="0.25">
      <c r="A77" s="228" t="s">
        <v>440</v>
      </c>
      <c r="B77" s="240"/>
      <c r="C77" s="240"/>
      <c r="D77" s="240"/>
      <c r="E77" s="240"/>
      <c r="F77" s="240"/>
      <c r="G77" s="240"/>
      <c r="H77" s="240"/>
    </row>
    <row r="78" spans="1:8" x14ac:dyDescent="0.25">
      <c r="A78" s="228" t="s">
        <v>441</v>
      </c>
      <c r="B78" s="175"/>
      <c r="C78" s="175"/>
      <c r="D78" s="175"/>
      <c r="E78" s="175"/>
      <c r="F78" s="175"/>
      <c r="G78" s="175"/>
      <c r="H78" s="175"/>
    </row>
    <row r="79" spans="1:8" x14ac:dyDescent="0.25">
      <c r="A79" s="228" t="s">
        <v>442</v>
      </c>
      <c r="B79" s="175"/>
      <c r="C79" s="175"/>
      <c r="D79" s="175"/>
      <c r="E79" s="175"/>
      <c r="F79" s="175"/>
      <c r="G79" s="175"/>
      <c r="H79" s="175"/>
    </row>
    <row r="80" spans="1:8" x14ac:dyDescent="0.25">
      <c r="A80" s="228" t="s">
        <v>443</v>
      </c>
      <c r="B80" s="240"/>
      <c r="C80" s="240"/>
      <c r="D80" s="240"/>
      <c r="E80" s="240"/>
      <c r="F80" s="240"/>
      <c r="G80" s="240"/>
      <c r="H80" s="240"/>
    </row>
    <row r="81" spans="1:8" x14ac:dyDescent="0.25">
      <c r="A81" s="228" t="s">
        <v>444</v>
      </c>
      <c r="B81" s="175"/>
      <c r="C81" s="175"/>
      <c r="D81" s="175"/>
      <c r="E81" s="175"/>
      <c r="F81" s="175"/>
      <c r="G81" s="175"/>
      <c r="H81" s="175"/>
    </row>
    <row r="82" spans="1:8" x14ac:dyDescent="0.25">
      <c r="A82" s="228" t="s">
        <v>445</v>
      </c>
      <c r="B82" s="175"/>
      <c r="C82" s="175"/>
      <c r="D82" s="175"/>
      <c r="E82" s="175"/>
      <c r="F82" s="175"/>
      <c r="G82" s="175"/>
      <c r="H82" s="175"/>
    </row>
  </sheetData>
  <mergeCells count="1">
    <mergeCell ref="A1:H1"/>
  </mergeCells>
  <hyperlinks>
    <hyperlink ref="H4" r:id="rId1" display="https://app.tikr.com/account/subs?ref=q5ht48" xr:uid="{B8FD4322-F829-4DB9-91A3-7F7383EBA527}"/>
    <hyperlink ref="H5" r:id="rId2" display="https://app.tikr.com/account/subs?ref=q5ht48" xr:uid="{51F1D907-65DE-40FA-ADEF-70A37A020241}"/>
    <hyperlink ref="H7" r:id="rId3" display="https://app.tikr.com/account/subs?ref=q5ht48" xr:uid="{864CE023-BD16-46F3-B936-6ECDF6B2569E}"/>
    <hyperlink ref="H8" r:id="rId4" display="https://app.tikr.com/account/subs?ref=q5ht48" xr:uid="{4709AD72-83F3-4AB8-B0A6-BB30B415C826}"/>
    <hyperlink ref="H9" r:id="rId5" display="https://app.tikr.com/account/subs?ref=q5ht48" xr:uid="{A8A1E3FB-99BB-4C53-A49D-756771EEC317}"/>
    <hyperlink ref="H10" r:id="rId6" display="https://app.tikr.com/account/subs?ref=q5ht48" xr:uid="{1B7C2510-8BD2-48D6-AB0E-4AF0BE1097CC}"/>
    <hyperlink ref="H11" r:id="rId7" display="https://app.tikr.com/account/subs?ref=q5ht48" xr:uid="{CDC60FB6-C6A6-4BAF-842D-501FCA5C1353}"/>
    <hyperlink ref="H12" r:id="rId8" display="https://app.tikr.com/account/subs?ref=q5ht48" xr:uid="{B51728C6-87D8-4649-BEA2-6568376A7A88}"/>
    <hyperlink ref="H19" r:id="rId9" display="https://app.tikr.com/account/subs?ref=q5ht48" xr:uid="{02670090-DF32-43BA-B5B6-6421117B0338}"/>
    <hyperlink ref="H20" r:id="rId10" display="https://app.tikr.com/account/subs?ref=q5ht48" xr:uid="{DAF0A7C7-5E47-4A54-A210-D51D66806888}"/>
    <hyperlink ref="H21" r:id="rId11" display="https://app.tikr.com/account/subs?ref=q5ht48" xr:uid="{3FDC0C62-8C44-4243-917F-D01A5078C075}"/>
    <hyperlink ref="H22" r:id="rId12" display="https://app.tikr.com/account/subs?ref=q5ht48" xr:uid="{2F590149-2A8D-49BA-A855-A3C20DFF59D6}"/>
    <hyperlink ref="H23" r:id="rId13" display="https://app.tikr.com/account/subs?ref=q5ht48" xr:uid="{7AD03467-E941-4A08-9037-B2A4F6530829}"/>
    <hyperlink ref="H24" r:id="rId14" display="https://app.tikr.com/account/subs?ref=q5ht48" xr:uid="{8B694BDB-72CB-499D-A07F-BDC9A3DD5B7B}"/>
    <hyperlink ref="H25" r:id="rId15" display="https://app.tikr.com/account/subs?ref=q5ht48" xr:uid="{B4693748-8358-477D-8B23-1D9DB21BD340}"/>
    <hyperlink ref="H26" r:id="rId16" display="https://app.tikr.com/account/subs?ref=q5ht48" xr:uid="{EE7876AB-2A35-44DE-B2F6-D73E2B8D7854}"/>
    <hyperlink ref="H31" r:id="rId17" display="https://app.tikr.com/account/subs?ref=q5ht48" xr:uid="{BF2FBDFC-1057-4806-9DCD-9B6FA4C50C15}"/>
    <hyperlink ref="H33" r:id="rId18" display="https://app.tikr.com/account/subs?ref=q5ht48" xr:uid="{FA474589-F903-492B-9CFD-4A8BD7627B92}"/>
    <hyperlink ref="H34" r:id="rId19" display="https://app.tikr.com/account/subs?ref=q5ht48" xr:uid="{A84E3AF3-757A-470C-B434-5C59C0BBBFC4}"/>
    <hyperlink ref="H35" r:id="rId20" display="https://app.tikr.com/account/subs?ref=q5ht48" xr:uid="{34C4A434-1E0A-4ECC-8E11-3D36765E8891}"/>
    <hyperlink ref="H36" r:id="rId21" display="https://app.tikr.com/account/subs?ref=q5ht48" xr:uid="{9F386CED-0460-429A-B045-205CE4744D81}"/>
    <hyperlink ref="H42" r:id="rId22" display="https://app.tikr.com/account/subs?ref=q5ht48" xr:uid="{F1B2BC01-4759-4429-A4A4-F977FF25CE8A}"/>
    <hyperlink ref="H43" r:id="rId23" display="https://app.tikr.com/account/subs?ref=q5ht48" xr:uid="{3DB0E996-7D4C-4F48-A98A-C853B3EA3FB4}"/>
    <hyperlink ref="H45" r:id="rId24" display="https://app.tikr.com/account/subs?ref=q5ht48" xr:uid="{00596B85-9C6C-4043-995F-2E7A165A298E}"/>
    <hyperlink ref="H46" r:id="rId25" display="https://app.tikr.com/account/subs?ref=q5ht48" xr:uid="{28977670-130F-4356-AC9E-3499048A701F}"/>
    <hyperlink ref="H47" r:id="rId26" display="https://app.tikr.com/account/subs?ref=q5ht48" xr:uid="{F4EF4FA8-1FF6-4832-8FD0-704EB915F4ED}"/>
    <hyperlink ref="H51" r:id="rId27" display="https://app.tikr.com/account/subs?ref=q5ht48" xr:uid="{C0046B9B-EFFC-4316-A8A6-B61E35585781}"/>
    <hyperlink ref="H53" r:id="rId28" display="https://app.tikr.com/account/subs?ref=q5ht48" xr:uid="{DE969E92-4525-453F-ADE4-4D45AEFCE988}"/>
    <hyperlink ref="H54" r:id="rId29" display="https://app.tikr.com/account/subs?ref=q5ht48" xr:uid="{9D3D0FC3-3577-4DEA-A5A3-11A12F008BE0}"/>
    <hyperlink ref="H55" r:id="rId30" display="https://app.tikr.com/account/subs?ref=q5ht48" xr:uid="{4255E71C-8195-4DBC-861C-B9DF98C897A1}"/>
    <hyperlink ref="H61" r:id="rId31" display="https://app.tikr.com/account/subs?ref=q5ht48" xr:uid="{8EB0F866-E5C2-48C8-B40F-33A589B2C9BE}"/>
    <hyperlink ref="H63" r:id="rId32" display="https://app.tikr.com/account/subs?ref=q5ht48" xr:uid="{53875020-8752-410F-9B55-6147F997357D}"/>
    <hyperlink ref="H65" r:id="rId33" display="https://app.tikr.com/account/subs?ref=q5ht48" xr:uid="{29DC8F1A-37A0-418A-A310-9B88CA5586FB}"/>
    <hyperlink ref="H66" r:id="rId34" display="https://app.tikr.com/account/subs?ref=q5ht48" xr:uid="{BDE4AEC7-DEEA-42D1-9064-5631737A33F8}"/>
    <hyperlink ref="H68" r:id="rId35" display="https://app.tikr.com/account/subs?ref=q5ht48" xr:uid="{88C00F29-CF14-4223-A67B-89EED509198C}"/>
    <hyperlink ref="H69" r:id="rId36" display="https://app.tikr.com/account/subs?ref=q5ht48" xr:uid="{348FB842-15B3-4DA7-8374-C2C2C3F1F4EB}"/>
    <hyperlink ref="H71" r:id="rId37" display="https://app.tikr.com/account/subs?ref=q5ht48" xr:uid="{080E316C-8F92-4A7A-8185-D3AA330F5590}"/>
    <hyperlink ref="H72" r:id="rId38" display="https://app.tikr.com/account/subs?ref=q5ht48" xr:uid="{35D2FC23-B9C7-4FCA-8CB1-F930A8F6A2E2}"/>
    <hyperlink ref="H73" r:id="rId39" display="https://app.tikr.com/account/subs?ref=q5ht48" xr:uid="{392E24B4-1801-4928-850B-630E41F2B946}"/>
    <hyperlink ref="H74" r:id="rId40" display="https://app.tikr.com/account/subs?ref=q5ht48" xr:uid="{A9D5C826-6466-4A20-BD79-5DE6B749D2DC}"/>
    <hyperlink ref="H75" r:id="rId41" display="https://app.tikr.com/account/subs?ref=q5ht48" xr:uid="{AD17E544-A59E-4AF5-B5FE-A81CF616CEC7}"/>
    <hyperlink ref="H76" r:id="rId42" display="https://app.tikr.com/account/subs?ref=q5ht48" xr:uid="{2C7A3B3D-5F1C-4D40-8C50-23EEB74190D8}"/>
    <hyperlink ref="B78" r:id="rId43" display="https://app.tikr.com/account/subs?ref=q5ht48" xr:uid="{78066E7F-7565-4328-BF66-DD71E06CDF35}"/>
    <hyperlink ref="C78" r:id="rId44" display="https://app.tikr.com/account/subs?ref=q5ht48" xr:uid="{9D3675C7-9344-4FF3-A27F-32904FB014C3}"/>
    <hyperlink ref="D78" r:id="rId45" display="https://app.tikr.com/account/subs?ref=q5ht48" xr:uid="{0865D4E5-7B4F-4694-9A2A-472FD48E76B5}"/>
    <hyperlink ref="E78" r:id="rId46" display="https://app.tikr.com/account/subs?ref=q5ht48" xr:uid="{B22884BF-0099-4DFC-AD54-737745B73DA2}"/>
    <hyperlink ref="F78" r:id="rId47" display="https://app.tikr.com/account/subs?ref=q5ht48" xr:uid="{57703A48-EC5C-479C-BCFF-0046D3E67915}"/>
    <hyperlink ref="G78" r:id="rId48" display="https://app.tikr.com/account/subs?ref=q5ht48" xr:uid="{E07B1E75-50B8-45F1-B48B-2B024023D96D}"/>
    <hyperlink ref="H78" r:id="rId49" display="https://app.tikr.com/account/subs?ref=q5ht48" xr:uid="{E3D6477D-83C4-44FE-95E2-65F1FE227ACE}"/>
    <hyperlink ref="B79" r:id="rId50" display="https://app.tikr.com/account/subs?ref=q5ht48" xr:uid="{C78B7B80-1217-4142-9071-C090BDBF8A4C}"/>
    <hyperlink ref="C79" r:id="rId51" display="https://app.tikr.com/account/subs?ref=q5ht48" xr:uid="{8644D274-EA81-44CB-B941-9F4E55AEEE6A}"/>
    <hyperlink ref="D79" r:id="rId52" display="https://app.tikr.com/account/subs?ref=q5ht48" xr:uid="{0084054D-CD5F-442D-AD85-25402E8F5CF1}"/>
    <hyperlink ref="E79" r:id="rId53" display="https://app.tikr.com/account/subs?ref=q5ht48" xr:uid="{2CEBD311-D880-48CF-A25F-D93BDD8893CC}"/>
    <hyperlink ref="F79" r:id="rId54" display="https://app.tikr.com/account/subs?ref=q5ht48" xr:uid="{C29379C6-6AB4-42EB-8B20-9248C41CC6A4}"/>
    <hyperlink ref="G79" r:id="rId55" display="https://app.tikr.com/account/subs?ref=q5ht48" xr:uid="{03D924A8-7D68-44DB-9E8C-AA543A730A51}"/>
    <hyperlink ref="H79" r:id="rId56" display="https://app.tikr.com/account/subs?ref=q5ht48" xr:uid="{CFF62DF5-F17E-46ED-AC4B-3535989DAD6A}"/>
    <hyperlink ref="B81" r:id="rId57" display="https://app.tikr.com/account/subs?ref=q5ht48" xr:uid="{FEC402DA-F7F7-4593-AA53-C308B46394BC}"/>
    <hyperlink ref="C81" r:id="rId58" display="https://app.tikr.com/account/subs?ref=q5ht48" xr:uid="{890842A2-C4D2-4D7D-ACC9-68CC36A14B7C}"/>
    <hyperlink ref="D81" r:id="rId59" display="https://app.tikr.com/account/subs?ref=q5ht48" xr:uid="{64F2CB92-7586-455B-B483-47EB584302F6}"/>
    <hyperlink ref="E81" r:id="rId60" display="https://app.tikr.com/account/subs?ref=q5ht48" xr:uid="{7E590C75-500F-4822-83AD-B264EDD35843}"/>
    <hyperlink ref="F81" r:id="rId61" display="https://app.tikr.com/account/subs?ref=q5ht48" xr:uid="{F2369C08-3B0F-42C2-8486-C44AC9497FB8}"/>
    <hyperlink ref="G81" r:id="rId62" display="https://app.tikr.com/account/subs?ref=q5ht48" xr:uid="{4737AAE2-9A7A-4517-872B-D3528672239F}"/>
    <hyperlink ref="H81" r:id="rId63" display="https://app.tikr.com/account/subs?ref=q5ht48" xr:uid="{55E06CC9-5B6B-4BE6-B967-C5E9E9413EA6}"/>
    <hyperlink ref="B82" r:id="rId64" display="https://app.tikr.com/account/subs?ref=q5ht48" xr:uid="{4740E87C-6E92-4614-A3C0-54474806964B}"/>
    <hyperlink ref="C82" r:id="rId65" display="https://app.tikr.com/account/subs?ref=q5ht48" xr:uid="{BFD4F8A0-52B2-4337-8264-4C85A25908A3}"/>
    <hyperlink ref="D82" r:id="rId66" display="https://app.tikr.com/account/subs?ref=q5ht48" xr:uid="{BA74946A-1C66-4FEA-87C5-6BBEA1B3111F}"/>
    <hyperlink ref="E82" r:id="rId67" display="https://app.tikr.com/account/subs?ref=q5ht48" xr:uid="{C2DD9AA8-08D1-43DD-80F3-3691A7A1EBD2}"/>
    <hyperlink ref="F82" r:id="rId68" display="https://app.tikr.com/account/subs?ref=q5ht48" xr:uid="{ED3B187B-302B-4550-8CBF-5A648079E836}"/>
    <hyperlink ref="G82" r:id="rId69" display="https://app.tikr.com/account/subs?ref=q5ht48" xr:uid="{78C0E4E0-1890-4F1D-830F-FE716D668783}"/>
    <hyperlink ref="H82" r:id="rId70" display="https://app.tikr.com/account/subs?ref=q5ht48" xr:uid="{0965DA69-061D-4988-B39B-69C6EA6B9A1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A5040-6622-44F4-935D-0CF1591A1790}">
  <sheetPr codeName="Hoja11"/>
  <dimension ref="A1:H66"/>
  <sheetViews>
    <sheetView workbookViewId="0">
      <selection sqref="A1:L66"/>
    </sheetView>
    <sheetView workbookViewId="1">
      <selection sqref="A1:H66"/>
    </sheetView>
  </sheetViews>
  <sheetFormatPr baseColWidth="10" defaultRowHeight="15" x14ac:dyDescent="0.25"/>
  <cols>
    <col min="1" max="1" width="60.5703125" bestFit="1" customWidth="1"/>
  </cols>
  <sheetData>
    <row r="1" spans="1:8" x14ac:dyDescent="0.25">
      <c r="A1" s="225"/>
      <c r="B1" s="225"/>
      <c r="C1" s="225"/>
      <c r="D1" s="225"/>
      <c r="E1" s="225"/>
      <c r="F1" s="225"/>
      <c r="G1" s="225"/>
      <c r="H1" s="225"/>
    </row>
    <row r="2" spans="1:8" x14ac:dyDescent="0.25">
      <c r="A2" s="226" t="s">
        <v>446</v>
      </c>
      <c r="B2" s="226" t="s">
        <v>142</v>
      </c>
      <c r="C2" s="227">
        <v>44561</v>
      </c>
      <c r="D2" s="227">
        <v>44196</v>
      </c>
      <c r="E2" s="227">
        <v>43830</v>
      </c>
      <c r="F2" s="227">
        <v>43465</v>
      </c>
      <c r="G2" s="227">
        <v>43100</v>
      </c>
      <c r="H2" s="227">
        <v>42735</v>
      </c>
    </row>
    <row r="3" spans="1:8" x14ac:dyDescent="0.25">
      <c r="A3" s="170"/>
      <c r="B3" s="170"/>
      <c r="C3" s="170"/>
      <c r="D3" s="170"/>
      <c r="E3" s="170"/>
      <c r="F3" s="170"/>
      <c r="G3" s="170"/>
      <c r="H3" s="170"/>
    </row>
    <row r="4" spans="1:8" x14ac:dyDescent="0.25">
      <c r="A4" s="230" t="s">
        <v>5</v>
      </c>
      <c r="B4" s="245">
        <v>66990</v>
      </c>
      <c r="C4" s="245">
        <v>76033</v>
      </c>
      <c r="D4" s="245">
        <v>40269</v>
      </c>
      <c r="E4" s="245">
        <v>34343</v>
      </c>
      <c r="F4" s="245">
        <v>30736</v>
      </c>
      <c r="G4" s="245">
        <v>12662</v>
      </c>
      <c r="H4" s="175"/>
    </row>
    <row r="5" spans="1:8" x14ac:dyDescent="0.25">
      <c r="A5" s="228" t="s">
        <v>381</v>
      </c>
      <c r="B5" s="248">
        <v>14437</v>
      </c>
      <c r="C5" s="248">
        <v>11555</v>
      </c>
      <c r="D5" s="248">
        <v>12905</v>
      </c>
      <c r="E5" s="248">
        <v>10856</v>
      </c>
      <c r="F5" s="229">
        <v>8164</v>
      </c>
      <c r="G5" s="229">
        <v>6103</v>
      </c>
      <c r="H5" s="175"/>
    </row>
    <row r="6" spans="1:8" x14ac:dyDescent="0.25">
      <c r="A6" s="228" t="s">
        <v>382</v>
      </c>
      <c r="B6" s="229">
        <v>729</v>
      </c>
      <c r="C6" s="229">
        <v>875</v>
      </c>
      <c r="D6" s="229">
        <v>774</v>
      </c>
      <c r="E6" s="229">
        <v>795</v>
      </c>
      <c r="F6" s="229">
        <v>865</v>
      </c>
      <c r="G6" s="229">
        <v>796</v>
      </c>
      <c r="H6" s="175"/>
    </row>
    <row r="7" spans="1:8" x14ac:dyDescent="0.25">
      <c r="A7" s="228" t="s">
        <v>447</v>
      </c>
      <c r="B7" s="240"/>
      <c r="C7" s="240"/>
      <c r="D7" s="240"/>
      <c r="E7" s="240"/>
      <c r="F7" s="240"/>
      <c r="G7" s="240"/>
      <c r="H7" s="240"/>
    </row>
    <row r="8" spans="1:8" x14ac:dyDescent="0.25">
      <c r="A8" s="230" t="s">
        <v>448</v>
      </c>
      <c r="B8" s="245">
        <v>15166</v>
      </c>
      <c r="C8" s="245">
        <v>12430</v>
      </c>
      <c r="D8" s="245">
        <v>13679</v>
      </c>
      <c r="E8" s="245">
        <v>11651</v>
      </c>
      <c r="F8" s="231">
        <v>9029</v>
      </c>
      <c r="G8" s="231">
        <v>6899</v>
      </c>
      <c r="H8" s="175"/>
    </row>
    <row r="9" spans="1:8" x14ac:dyDescent="0.25">
      <c r="A9" s="228" t="s">
        <v>449</v>
      </c>
      <c r="B9" s="240"/>
      <c r="C9" s="240"/>
      <c r="D9" s="240"/>
      <c r="E9" s="240"/>
      <c r="F9" s="240"/>
      <c r="G9" s="240"/>
      <c r="H9" s="240"/>
    </row>
    <row r="10" spans="1:8" x14ac:dyDescent="0.25">
      <c r="A10" s="228" t="s">
        <v>450</v>
      </c>
      <c r="B10" s="240"/>
      <c r="C10" s="240"/>
      <c r="D10" s="240"/>
      <c r="E10" s="240"/>
      <c r="F10" s="240"/>
      <c r="G10" s="240"/>
      <c r="H10" s="240"/>
    </row>
    <row r="11" spans="1:8" x14ac:dyDescent="0.25">
      <c r="A11" s="228" t="s">
        <v>451</v>
      </c>
      <c r="B11" s="240"/>
      <c r="C11" s="240"/>
      <c r="D11" s="240"/>
      <c r="E11" s="240"/>
      <c r="F11" s="240"/>
      <c r="G11" s="240"/>
      <c r="H11" s="240"/>
    </row>
    <row r="12" spans="1:8" x14ac:dyDescent="0.25">
      <c r="A12" s="228" t="s">
        <v>452</v>
      </c>
      <c r="B12" s="229">
        <v>1378</v>
      </c>
      <c r="C12" s="246">
        <v>-12270</v>
      </c>
      <c r="D12" s="236">
        <v>-6317</v>
      </c>
      <c r="E12" s="236">
        <v>-2798</v>
      </c>
      <c r="F12" s="236">
        <v>-6650</v>
      </c>
      <c r="G12" s="229">
        <v>37</v>
      </c>
      <c r="H12" s="175"/>
    </row>
    <row r="13" spans="1:8" x14ac:dyDescent="0.25">
      <c r="A13" s="228" t="s">
        <v>453</v>
      </c>
      <c r="B13" s="240"/>
      <c r="C13" s="229">
        <v>11</v>
      </c>
      <c r="D13" s="229">
        <v>18</v>
      </c>
      <c r="E13" s="229">
        <v>130</v>
      </c>
      <c r="F13" s="229">
        <v>6</v>
      </c>
      <c r="G13" s="229">
        <v>16</v>
      </c>
      <c r="H13" s="175"/>
    </row>
    <row r="14" spans="1:8" x14ac:dyDescent="0.25">
      <c r="A14" s="228" t="s">
        <v>454</v>
      </c>
      <c r="B14" s="240"/>
      <c r="C14" s="240"/>
      <c r="D14" s="240"/>
      <c r="E14" s="240"/>
      <c r="F14" s="240"/>
      <c r="G14" s="240"/>
      <c r="H14" s="240"/>
    </row>
    <row r="15" spans="1:8" x14ac:dyDescent="0.25">
      <c r="A15" s="228" t="s">
        <v>455</v>
      </c>
      <c r="B15" s="240"/>
      <c r="C15" s="240"/>
      <c r="D15" s="240"/>
      <c r="E15" s="240"/>
      <c r="F15" s="240"/>
      <c r="G15" s="240"/>
      <c r="H15" s="240"/>
    </row>
    <row r="16" spans="1:8" x14ac:dyDescent="0.25">
      <c r="A16" s="228" t="s">
        <v>456</v>
      </c>
      <c r="B16" s="240"/>
      <c r="C16" s="240"/>
      <c r="D16" s="240"/>
      <c r="E16" s="240"/>
      <c r="F16" s="240"/>
      <c r="G16" s="240"/>
      <c r="H16" s="240"/>
    </row>
    <row r="17" spans="1:8" x14ac:dyDescent="0.25">
      <c r="A17" s="228" t="s">
        <v>380</v>
      </c>
      <c r="B17" s="248">
        <v>18216</v>
      </c>
      <c r="C17" s="248">
        <v>15376</v>
      </c>
      <c r="D17" s="248">
        <v>12991</v>
      </c>
      <c r="E17" s="248">
        <v>10794</v>
      </c>
      <c r="F17" s="229">
        <v>9353</v>
      </c>
      <c r="G17" s="229">
        <v>7679</v>
      </c>
      <c r="H17" s="175"/>
    </row>
    <row r="18" spans="1:8" x14ac:dyDescent="0.25">
      <c r="A18" s="228" t="s">
        <v>457</v>
      </c>
      <c r="B18" s="240"/>
      <c r="C18" s="240"/>
      <c r="D18" s="240"/>
      <c r="E18" s="240"/>
      <c r="F18" s="240"/>
      <c r="G18" s="240"/>
      <c r="H18" s="240"/>
    </row>
    <row r="19" spans="1:8" x14ac:dyDescent="0.25">
      <c r="A19" s="228" t="s">
        <v>458</v>
      </c>
      <c r="B19" s="240"/>
      <c r="C19" s="240"/>
      <c r="D19" s="240"/>
      <c r="E19" s="240"/>
      <c r="F19" s="240"/>
      <c r="G19" s="240"/>
      <c r="H19" s="240"/>
    </row>
    <row r="20" spans="1:8" x14ac:dyDescent="0.25">
      <c r="A20" s="228" t="s">
        <v>459</v>
      </c>
      <c r="B20" s="240"/>
      <c r="C20" s="240"/>
      <c r="D20" s="240"/>
      <c r="E20" s="240"/>
      <c r="F20" s="240"/>
      <c r="G20" s="240"/>
      <c r="H20" s="240"/>
    </row>
    <row r="21" spans="1:8" x14ac:dyDescent="0.25">
      <c r="A21" s="228" t="s">
        <v>460</v>
      </c>
      <c r="B21" s="236">
        <v>-4186</v>
      </c>
      <c r="C21" s="229">
        <v>1595</v>
      </c>
      <c r="D21" s="229">
        <v>2657</v>
      </c>
      <c r="E21" s="236">
        <v>-419</v>
      </c>
      <c r="F21" s="229">
        <v>589</v>
      </c>
      <c r="G21" s="229">
        <v>552</v>
      </c>
      <c r="H21" s="175"/>
    </row>
    <row r="22" spans="1:8" x14ac:dyDescent="0.25">
      <c r="A22" s="228" t="s">
        <v>461</v>
      </c>
      <c r="B22" s="240"/>
      <c r="C22" s="240"/>
      <c r="D22" s="240"/>
      <c r="E22" s="240"/>
      <c r="F22" s="240"/>
      <c r="G22" s="240"/>
      <c r="H22" s="240"/>
    </row>
    <row r="23" spans="1:8" x14ac:dyDescent="0.25">
      <c r="A23" s="228" t="s">
        <v>462</v>
      </c>
      <c r="B23" s="236">
        <v>-3521</v>
      </c>
      <c r="C23" s="236">
        <v>-9095</v>
      </c>
      <c r="D23" s="236">
        <v>-6524</v>
      </c>
      <c r="E23" s="236">
        <v>-4340</v>
      </c>
      <c r="F23" s="236">
        <v>-2169</v>
      </c>
      <c r="G23" s="236">
        <v>-3768</v>
      </c>
      <c r="H23" s="175"/>
    </row>
    <row r="24" spans="1:8" x14ac:dyDescent="0.25">
      <c r="A24" s="228" t="s">
        <v>463</v>
      </c>
      <c r="B24" s="240"/>
      <c r="C24" s="240"/>
      <c r="D24" s="240"/>
      <c r="E24" s="240"/>
      <c r="F24" s="240"/>
      <c r="G24" s="240"/>
      <c r="H24" s="240"/>
    </row>
    <row r="25" spans="1:8" x14ac:dyDescent="0.25">
      <c r="A25" s="228" t="s">
        <v>464</v>
      </c>
      <c r="B25" s="229">
        <v>1892</v>
      </c>
      <c r="C25" s="229">
        <v>283</v>
      </c>
      <c r="D25" s="229">
        <v>694</v>
      </c>
      <c r="E25" s="229">
        <v>428</v>
      </c>
      <c r="F25" s="229">
        <v>1067</v>
      </c>
      <c r="G25" s="229">
        <v>731</v>
      </c>
      <c r="H25" s="175"/>
    </row>
    <row r="26" spans="1:8" x14ac:dyDescent="0.25">
      <c r="A26" s="228" t="s">
        <v>465</v>
      </c>
      <c r="B26" s="229">
        <v>472</v>
      </c>
      <c r="C26" s="229">
        <v>774</v>
      </c>
      <c r="D26" s="229">
        <v>635</v>
      </c>
      <c r="E26" s="229">
        <v>37</v>
      </c>
      <c r="F26" s="229">
        <v>371</v>
      </c>
      <c r="G26" s="229">
        <v>390</v>
      </c>
      <c r="H26" s="175"/>
    </row>
    <row r="27" spans="1:8" x14ac:dyDescent="0.25">
      <c r="A27" s="228" t="s">
        <v>466</v>
      </c>
      <c r="B27" s="236">
        <v>-4231</v>
      </c>
      <c r="C27" s="236">
        <v>-625</v>
      </c>
      <c r="D27" s="229">
        <v>1209</v>
      </c>
      <c r="E27" s="236">
        <v>-3128</v>
      </c>
      <c r="F27" s="236">
        <v>-2251</v>
      </c>
      <c r="G27" s="229">
        <v>8211</v>
      </c>
      <c r="H27" s="175"/>
    </row>
    <row r="28" spans="1:8" x14ac:dyDescent="0.25">
      <c r="A28" s="228" t="s">
        <v>467</v>
      </c>
      <c r="B28" s="240"/>
      <c r="C28" s="240"/>
      <c r="D28" s="240"/>
      <c r="E28" s="240"/>
      <c r="F28" s="240"/>
      <c r="G28" s="240"/>
      <c r="H28" s="240"/>
    </row>
    <row r="29" spans="1:8" ht="15.75" thickBot="1" x14ac:dyDescent="0.3">
      <c r="A29" s="228" t="s">
        <v>468</v>
      </c>
      <c r="B29" s="229">
        <v>639</v>
      </c>
      <c r="C29" s="229">
        <v>7140</v>
      </c>
      <c r="D29" s="229">
        <v>5813</v>
      </c>
      <c r="E29" s="229">
        <v>7822</v>
      </c>
      <c r="F29" s="229">
        <v>7890</v>
      </c>
      <c r="G29" s="229">
        <v>3682</v>
      </c>
      <c r="H29" s="175"/>
    </row>
    <row r="30" spans="1:8" ht="15.75" thickTop="1" x14ac:dyDescent="0.25">
      <c r="A30" s="237" t="s">
        <v>469</v>
      </c>
      <c r="B30" s="247">
        <v>92815</v>
      </c>
      <c r="C30" s="247">
        <v>91652</v>
      </c>
      <c r="D30" s="247">
        <v>65124</v>
      </c>
      <c r="E30" s="247">
        <v>54520</v>
      </c>
      <c r="F30" s="247">
        <v>47971</v>
      </c>
      <c r="G30" s="247">
        <v>37091</v>
      </c>
      <c r="H30" s="184"/>
    </row>
    <row r="31" spans="1:8" x14ac:dyDescent="0.25">
      <c r="A31" s="241" t="s">
        <v>470</v>
      </c>
      <c r="B31" s="242">
        <v>-4749</v>
      </c>
      <c r="C31" s="242">
        <v>-1523</v>
      </c>
      <c r="D31" s="243">
        <v>1827</v>
      </c>
      <c r="E31" s="243">
        <v>819</v>
      </c>
      <c r="F31" s="243">
        <v>4908</v>
      </c>
      <c r="G31" s="243">
        <v>9246</v>
      </c>
      <c r="H31" s="175"/>
    </row>
    <row r="32" spans="1:8" x14ac:dyDescent="0.25">
      <c r="A32" s="228" t="s">
        <v>471</v>
      </c>
      <c r="B32" s="246">
        <v>-30273</v>
      </c>
      <c r="C32" s="246">
        <v>-24640</v>
      </c>
      <c r="D32" s="246">
        <v>-22281</v>
      </c>
      <c r="E32" s="246">
        <v>-23548</v>
      </c>
      <c r="F32" s="246">
        <v>-25139</v>
      </c>
      <c r="G32" s="246">
        <v>-13184</v>
      </c>
      <c r="H32" s="175"/>
    </row>
    <row r="33" spans="1:8" x14ac:dyDescent="0.25">
      <c r="A33" s="228" t="s">
        <v>472</v>
      </c>
      <c r="B33" s="240"/>
      <c r="C33" s="240"/>
      <c r="D33" s="240"/>
      <c r="E33" s="240"/>
      <c r="F33" s="240"/>
      <c r="G33" s="229">
        <v>99</v>
      </c>
      <c r="H33" s="175"/>
    </row>
    <row r="34" spans="1:8" x14ac:dyDescent="0.25">
      <c r="A34" s="228" t="s">
        <v>473</v>
      </c>
      <c r="B34" s="236">
        <v>-7270</v>
      </c>
      <c r="C34" s="236">
        <v>-2618</v>
      </c>
      <c r="D34" s="236">
        <v>-738</v>
      </c>
      <c r="E34" s="236">
        <v>-2515</v>
      </c>
      <c r="F34" s="236">
        <v>-1491</v>
      </c>
      <c r="G34" s="236">
        <v>-287</v>
      </c>
      <c r="H34" s="175"/>
    </row>
    <row r="35" spans="1:8" x14ac:dyDescent="0.25">
      <c r="A35" s="228" t="s">
        <v>474</v>
      </c>
      <c r="B35" s="240"/>
      <c r="C35" s="240"/>
      <c r="D35" s="240"/>
      <c r="E35" s="240"/>
      <c r="F35" s="240"/>
      <c r="G35" s="240"/>
      <c r="H35" s="240"/>
    </row>
    <row r="36" spans="1:8" x14ac:dyDescent="0.25">
      <c r="A36" s="228" t="s">
        <v>475</v>
      </c>
      <c r="B36" s="240"/>
      <c r="C36" s="240"/>
      <c r="D36" s="240"/>
      <c r="E36" s="240"/>
      <c r="F36" s="240"/>
      <c r="G36" s="240"/>
      <c r="H36" s="240"/>
    </row>
    <row r="37" spans="1:8" x14ac:dyDescent="0.25">
      <c r="A37" s="228" t="s">
        <v>476</v>
      </c>
      <c r="B37" s="240"/>
      <c r="C37" s="240"/>
      <c r="D37" s="240"/>
      <c r="E37" s="240"/>
      <c r="F37" s="240"/>
      <c r="G37" s="240"/>
      <c r="H37" s="240"/>
    </row>
    <row r="38" spans="1:8" x14ac:dyDescent="0.25">
      <c r="A38" s="228" t="s">
        <v>477</v>
      </c>
      <c r="B38" s="248">
        <v>10989</v>
      </c>
      <c r="C38" s="236">
        <v>-8806</v>
      </c>
      <c r="D38" s="236">
        <v>-9822</v>
      </c>
      <c r="E38" s="236">
        <v>-4017</v>
      </c>
      <c r="F38" s="236">
        <v>-1972</v>
      </c>
      <c r="G38" s="246">
        <v>-19448</v>
      </c>
      <c r="H38" s="175"/>
    </row>
    <row r="39" spans="1:8" x14ac:dyDescent="0.25">
      <c r="A39" s="228" t="s">
        <v>478</v>
      </c>
      <c r="B39" s="240"/>
      <c r="C39" s="240"/>
      <c r="D39" s="240"/>
      <c r="E39" s="240"/>
      <c r="F39" s="240"/>
      <c r="G39" s="240"/>
      <c r="H39" s="240"/>
    </row>
    <row r="40" spans="1:8" ht="15.75" thickBot="1" x14ac:dyDescent="0.3">
      <c r="A40" s="228" t="s">
        <v>479</v>
      </c>
      <c r="B40" s="229">
        <v>1467</v>
      </c>
      <c r="C40" s="229">
        <v>541</v>
      </c>
      <c r="D40" s="229">
        <v>68</v>
      </c>
      <c r="E40" s="229">
        <v>589</v>
      </c>
      <c r="F40" s="229">
        <v>98</v>
      </c>
      <c r="G40" s="229">
        <v>1419</v>
      </c>
      <c r="H40" s="175"/>
    </row>
    <row r="41" spans="1:8" ht="15.75" thickTop="1" x14ac:dyDescent="0.25">
      <c r="A41" s="237" t="s">
        <v>480</v>
      </c>
      <c r="B41" s="249">
        <v>-25087</v>
      </c>
      <c r="C41" s="249">
        <v>-35523</v>
      </c>
      <c r="D41" s="249">
        <v>-32773</v>
      </c>
      <c r="E41" s="249">
        <v>-29491</v>
      </c>
      <c r="F41" s="249">
        <v>-28504</v>
      </c>
      <c r="G41" s="249">
        <v>-31401</v>
      </c>
      <c r="H41" s="184"/>
    </row>
    <row r="42" spans="1:8" x14ac:dyDescent="0.25">
      <c r="A42" s="228" t="s">
        <v>481</v>
      </c>
      <c r="B42" s="248">
        <v>50572</v>
      </c>
      <c r="C42" s="248">
        <v>20199</v>
      </c>
      <c r="D42" s="248">
        <v>11761</v>
      </c>
      <c r="E42" s="229">
        <v>317</v>
      </c>
      <c r="F42" s="229">
        <v>6766</v>
      </c>
      <c r="G42" s="229">
        <v>4291</v>
      </c>
      <c r="H42" s="175"/>
    </row>
    <row r="43" spans="1:8" x14ac:dyDescent="0.25">
      <c r="A43" s="228" t="s">
        <v>482</v>
      </c>
      <c r="B43" s="246">
        <v>-51715</v>
      </c>
      <c r="C43" s="246">
        <v>-21435</v>
      </c>
      <c r="D43" s="236">
        <v>-2100</v>
      </c>
      <c r="E43" s="236">
        <v>-585</v>
      </c>
      <c r="F43" s="236">
        <v>-6827</v>
      </c>
      <c r="G43" s="236">
        <v>-4377</v>
      </c>
      <c r="H43" s="175"/>
    </row>
    <row r="44" spans="1:8" x14ac:dyDescent="0.25">
      <c r="A44" s="228" t="s">
        <v>483</v>
      </c>
      <c r="B44" s="240"/>
      <c r="C44" s="240"/>
      <c r="D44" s="240"/>
      <c r="E44" s="240"/>
      <c r="F44" s="240"/>
      <c r="G44" s="240"/>
      <c r="H44" s="240"/>
    </row>
    <row r="45" spans="1:8" x14ac:dyDescent="0.25">
      <c r="A45" s="228" t="s">
        <v>484</v>
      </c>
      <c r="B45" s="246">
        <v>-57362</v>
      </c>
      <c r="C45" s="246">
        <v>-50274</v>
      </c>
      <c r="D45" s="246">
        <v>-31149</v>
      </c>
      <c r="E45" s="246">
        <v>-18396</v>
      </c>
      <c r="F45" s="236">
        <v>-9075</v>
      </c>
      <c r="G45" s="236">
        <v>-4846</v>
      </c>
      <c r="H45" s="175"/>
    </row>
    <row r="46" spans="1:8" x14ac:dyDescent="0.25">
      <c r="A46" s="228" t="s">
        <v>485</v>
      </c>
      <c r="B46" s="240"/>
      <c r="C46" s="240"/>
      <c r="D46" s="240"/>
      <c r="E46" s="240"/>
      <c r="F46" s="240"/>
      <c r="G46" s="240"/>
      <c r="H46" s="240"/>
    </row>
    <row r="47" spans="1:8" x14ac:dyDescent="0.25">
      <c r="A47" s="228" t="s">
        <v>486</v>
      </c>
      <c r="B47" s="240"/>
      <c r="C47" s="240"/>
      <c r="D47" s="240"/>
      <c r="E47" s="240"/>
      <c r="F47" s="240"/>
      <c r="G47" s="240"/>
      <c r="H47" s="240"/>
    </row>
    <row r="48" spans="1:8" x14ac:dyDescent="0.25">
      <c r="A48" s="228" t="s">
        <v>487</v>
      </c>
      <c r="B48" s="240"/>
      <c r="C48" s="240"/>
      <c r="D48" s="240"/>
      <c r="E48" s="240"/>
      <c r="F48" s="240"/>
      <c r="G48" s="240"/>
      <c r="H48" s="240"/>
    </row>
    <row r="49" spans="1:8" x14ac:dyDescent="0.25">
      <c r="A49" s="228" t="s">
        <v>488</v>
      </c>
      <c r="B49" s="240"/>
      <c r="C49" s="240"/>
      <c r="D49" s="240"/>
      <c r="E49" s="240"/>
      <c r="F49" s="240"/>
      <c r="G49" s="240"/>
      <c r="H49" s="240"/>
    </row>
    <row r="50" spans="1:8" x14ac:dyDescent="0.25">
      <c r="A50" s="228" t="s">
        <v>489</v>
      </c>
      <c r="B50" s="240"/>
      <c r="C50" s="240"/>
      <c r="D50" s="240"/>
      <c r="E50" s="240"/>
      <c r="F50" s="240"/>
      <c r="G50" s="240"/>
      <c r="H50" s="240"/>
    </row>
    <row r="51" spans="1:8" x14ac:dyDescent="0.25">
      <c r="A51" s="228" t="s">
        <v>490</v>
      </c>
      <c r="B51" s="240"/>
      <c r="C51" s="240"/>
      <c r="D51" s="240"/>
      <c r="E51" s="240"/>
      <c r="F51" s="240"/>
      <c r="G51" s="240"/>
      <c r="H51" s="240"/>
    </row>
    <row r="52" spans="1:8" ht="15.75" thickBot="1" x14ac:dyDescent="0.3">
      <c r="A52" s="228" t="s">
        <v>491</v>
      </c>
      <c r="B52" s="246">
        <v>-10134</v>
      </c>
      <c r="C52" s="236">
        <v>-9852</v>
      </c>
      <c r="D52" s="236">
        <v>-2920</v>
      </c>
      <c r="E52" s="236">
        <v>-4545</v>
      </c>
      <c r="F52" s="236">
        <v>-4043</v>
      </c>
      <c r="G52" s="236">
        <v>-3366</v>
      </c>
      <c r="H52" s="175"/>
    </row>
    <row r="53" spans="1:8" ht="15.75" thickTop="1" x14ac:dyDescent="0.25">
      <c r="A53" s="237" t="s">
        <v>492</v>
      </c>
      <c r="B53" s="249">
        <v>-68639</v>
      </c>
      <c r="C53" s="249">
        <v>-61362</v>
      </c>
      <c r="D53" s="249">
        <v>-24408</v>
      </c>
      <c r="E53" s="249">
        <v>-23209</v>
      </c>
      <c r="F53" s="249">
        <v>-13179</v>
      </c>
      <c r="G53" s="239">
        <v>-8298</v>
      </c>
      <c r="H53" s="184"/>
    </row>
    <row r="54" spans="1:8" x14ac:dyDescent="0.25">
      <c r="A54" s="228" t="s">
        <v>493</v>
      </c>
      <c r="B54" s="236">
        <v>-824</v>
      </c>
      <c r="C54" s="236">
        <v>-287</v>
      </c>
      <c r="D54" s="229">
        <v>24</v>
      </c>
      <c r="E54" s="236">
        <v>-23</v>
      </c>
      <c r="F54" s="236">
        <v>-302</v>
      </c>
      <c r="G54" s="229">
        <v>405</v>
      </c>
      <c r="H54" s="175"/>
    </row>
    <row r="55" spans="1:8" ht="15.75" thickBot="1" x14ac:dyDescent="0.3">
      <c r="A55" s="228" t="s">
        <v>494</v>
      </c>
      <c r="B55" s="240"/>
      <c r="C55" s="240"/>
      <c r="D55" s="240"/>
      <c r="E55" s="240"/>
      <c r="F55" s="240"/>
      <c r="G55" s="240"/>
      <c r="H55" s="240"/>
    </row>
    <row r="56" spans="1:8" ht="15.75" thickTop="1" x14ac:dyDescent="0.25">
      <c r="A56" s="237" t="s">
        <v>495</v>
      </c>
      <c r="B56" s="239">
        <v>-1735</v>
      </c>
      <c r="C56" s="239">
        <v>-5520</v>
      </c>
      <c r="D56" s="238">
        <v>7967</v>
      </c>
      <c r="E56" s="238">
        <v>1797</v>
      </c>
      <c r="F56" s="238">
        <v>5986</v>
      </c>
      <c r="G56" s="239">
        <v>-2203</v>
      </c>
      <c r="H56" s="184"/>
    </row>
    <row r="57" spans="1:8" x14ac:dyDescent="0.25">
      <c r="A57" s="232" t="s">
        <v>300</v>
      </c>
      <c r="B57" s="170"/>
      <c r="C57" s="170"/>
      <c r="D57" s="170"/>
      <c r="E57" s="170"/>
      <c r="F57" s="170"/>
      <c r="G57" s="170"/>
      <c r="H57" s="170"/>
    </row>
    <row r="58" spans="1:8" x14ac:dyDescent="0.25">
      <c r="A58" s="230" t="s">
        <v>11</v>
      </c>
      <c r="B58" s="245">
        <v>62542</v>
      </c>
      <c r="C58" s="245">
        <v>67012</v>
      </c>
      <c r="D58" s="245">
        <v>42843</v>
      </c>
      <c r="E58" s="245">
        <v>30972</v>
      </c>
      <c r="F58" s="245">
        <v>22832</v>
      </c>
      <c r="G58" s="245">
        <v>23907</v>
      </c>
      <c r="H58" s="175"/>
    </row>
    <row r="59" spans="1:8" x14ac:dyDescent="0.25">
      <c r="A59" s="232" t="s">
        <v>151</v>
      </c>
      <c r="B59" s="235"/>
      <c r="C59" s="234" t="s">
        <v>602</v>
      </c>
      <c r="D59" s="234" t="s">
        <v>603</v>
      </c>
      <c r="E59" s="234" t="s">
        <v>604</v>
      </c>
      <c r="F59" s="233" t="s">
        <v>605</v>
      </c>
      <c r="G59" s="175"/>
      <c r="H59" s="175"/>
    </row>
    <row r="60" spans="1:8" x14ac:dyDescent="0.25">
      <c r="A60" s="232" t="s">
        <v>496</v>
      </c>
      <c r="B60" s="234" t="s">
        <v>556</v>
      </c>
      <c r="C60" s="234" t="s">
        <v>606</v>
      </c>
      <c r="D60" s="234" t="s">
        <v>607</v>
      </c>
      <c r="E60" s="234" t="s">
        <v>608</v>
      </c>
      <c r="F60" s="234" t="s">
        <v>609</v>
      </c>
      <c r="G60" s="234" t="s">
        <v>610</v>
      </c>
      <c r="H60" s="175"/>
    </row>
    <row r="61" spans="1:8" x14ac:dyDescent="0.25">
      <c r="A61" s="228" t="s">
        <v>497</v>
      </c>
      <c r="B61" s="248">
        <v>20945</v>
      </c>
      <c r="C61" s="248">
        <v>26465</v>
      </c>
      <c r="D61" s="248">
        <v>18498</v>
      </c>
      <c r="E61" s="248">
        <v>16701</v>
      </c>
      <c r="F61" s="248">
        <v>10715</v>
      </c>
      <c r="G61" s="248">
        <v>12918</v>
      </c>
      <c r="H61" s="175"/>
    </row>
    <row r="62" spans="1:8" x14ac:dyDescent="0.25">
      <c r="A62" s="228" t="s">
        <v>498</v>
      </c>
      <c r="B62" s="248">
        <v>21984</v>
      </c>
      <c r="C62" s="248">
        <v>20945</v>
      </c>
      <c r="D62" s="248">
        <v>26465</v>
      </c>
      <c r="E62" s="248">
        <v>18498</v>
      </c>
      <c r="F62" s="248">
        <v>16701</v>
      </c>
      <c r="G62" s="248">
        <v>10715</v>
      </c>
      <c r="H62" s="175"/>
    </row>
    <row r="63" spans="1:8" x14ac:dyDescent="0.25">
      <c r="A63" s="228" t="s">
        <v>499</v>
      </c>
      <c r="B63" s="240"/>
      <c r="C63" s="240"/>
      <c r="D63" s="240"/>
      <c r="E63" s="240"/>
      <c r="F63" s="240"/>
      <c r="G63" s="240"/>
      <c r="H63" s="175"/>
    </row>
    <row r="64" spans="1:8" x14ac:dyDescent="0.25">
      <c r="A64" s="228" t="s">
        <v>500</v>
      </c>
      <c r="B64" s="248">
        <v>13412</v>
      </c>
      <c r="C64" s="248">
        <v>13412</v>
      </c>
      <c r="D64" s="229">
        <v>4990</v>
      </c>
      <c r="E64" s="229">
        <v>8203</v>
      </c>
      <c r="F64" s="229">
        <v>5671</v>
      </c>
      <c r="G64" s="229">
        <v>6191</v>
      </c>
      <c r="H64" s="175"/>
    </row>
    <row r="65" spans="1:8" x14ac:dyDescent="0.25">
      <c r="A65" s="228" t="s">
        <v>501</v>
      </c>
      <c r="B65" s="240"/>
      <c r="C65" s="240"/>
      <c r="D65" s="240"/>
      <c r="E65" s="240"/>
      <c r="F65" s="240"/>
      <c r="G65" s="240"/>
      <c r="H65" s="240"/>
    </row>
    <row r="66" spans="1:8" x14ac:dyDescent="0.25">
      <c r="A66" s="228" t="s">
        <v>502</v>
      </c>
      <c r="B66" s="229">
        <v>4.76</v>
      </c>
      <c r="C66" s="229">
        <v>5.0199999999999996</v>
      </c>
      <c r="D66" s="229">
        <v>3.15</v>
      </c>
      <c r="E66" s="229">
        <v>2.2400000000000002</v>
      </c>
      <c r="F66" s="229">
        <v>1.64</v>
      </c>
      <c r="G66" s="229">
        <v>1.73</v>
      </c>
      <c r="H66" s="175"/>
    </row>
  </sheetData>
  <mergeCells count="1">
    <mergeCell ref="A1:H1"/>
  </mergeCells>
  <hyperlinks>
    <hyperlink ref="H4" r:id="rId1" display="https://app.tikr.com/account/subs?ref=q5ht48" xr:uid="{B29DBD67-6E25-4641-BD7D-EFE0228DBE6E}"/>
    <hyperlink ref="H5" r:id="rId2" display="https://app.tikr.com/account/subs?ref=q5ht48" xr:uid="{B2ACE948-2413-41C0-A980-5DB00D10D8B9}"/>
    <hyperlink ref="H6" r:id="rId3" display="https://app.tikr.com/account/subs?ref=q5ht48" xr:uid="{F4872E8C-0A95-4C75-AF58-25BCE752EA7D}"/>
    <hyperlink ref="H8" r:id="rId4" display="https://app.tikr.com/account/subs?ref=q5ht48" xr:uid="{61DA1E9A-F386-4602-994A-C1A705C51285}"/>
    <hyperlink ref="H12" r:id="rId5" display="https://app.tikr.com/account/subs?ref=q5ht48" xr:uid="{94CE2027-5F29-4507-BD7B-1F1C0D371237}"/>
    <hyperlink ref="H13" r:id="rId6" display="https://app.tikr.com/account/subs?ref=q5ht48" xr:uid="{38B76C1E-9928-453C-862E-4A8D6AAE9451}"/>
    <hyperlink ref="H17" r:id="rId7" display="https://app.tikr.com/account/subs?ref=q5ht48" xr:uid="{F6F9A309-2CAD-4018-BB60-98B42CC0C705}"/>
    <hyperlink ref="H21" r:id="rId8" display="https://app.tikr.com/account/subs?ref=q5ht48" xr:uid="{111002D1-1916-4679-B6E6-FF0E6F5F66FA}"/>
    <hyperlink ref="H23" r:id="rId9" display="https://app.tikr.com/account/subs?ref=q5ht48" xr:uid="{805DD070-FE28-49EC-B940-72489F8329F8}"/>
    <hyperlink ref="H25" r:id="rId10" display="https://app.tikr.com/account/subs?ref=q5ht48" xr:uid="{24766437-6A12-4E92-9AAA-8F095BF5C184}"/>
    <hyperlink ref="H26" r:id="rId11" display="https://app.tikr.com/account/subs?ref=q5ht48" xr:uid="{0426DD52-EC54-4554-9496-7A17D0CC3B88}"/>
    <hyperlink ref="H27" r:id="rId12" display="https://app.tikr.com/account/subs?ref=q5ht48" xr:uid="{945168F2-367D-4C2B-A34F-27660575BEAF}"/>
    <hyperlink ref="H29" r:id="rId13" display="https://app.tikr.com/account/subs?ref=q5ht48" xr:uid="{A056B031-CB2B-4B80-9FF0-9A556812014B}"/>
    <hyperlink ref="H30" r:id="rId14" display="https://app.tikr.com/account/subs?ref=q5ht48" xr:uid="{0C2A16E3-76B8-414B-8696-2086A83D5C42}"/>
    <hyperlink ref="H31" r:id="rId15" display="https://app.tikr.com/account/subs?ref=q5ht48" xr:uid="{A9A35AE7-D723-414F-8538-F9AB725232E5}"/>
    <hyperlink ref="H32" r:id="rId16" display="https://app.tikr.com/account/subs?ref=q5ht48" xr:uid="{9968370E-76DA-4A45-986D-32A12F8E6C20}"/>
    <hyperlink ref="H33" r:id="rId17" display="https://app.tikr.com/account/subs?ref=q5ht48" xr:uid="{B6D037A8-1827-4BBE-92EB-8036ACC8FCBF}"/>
    <hyperlink ref="H34" r:id="rId18" display="https://app.tikr.com/account/subs?ref=q5ht48" xr:uid="{1FD62FCD-D761-4AC5-BAA9-65BE53561A42}"/>
    <hyperlink ref="H38" r:id="rId19" display="https://app.tikr.com/account/subs?ref=q5ht48" xr:uid="{C05FAC84-AF68-441A-9866-23A1D85F6E49}"/>
    <hyperlink ref="H40" r:id="rId20" display="https://app.tikr.com/account/subs?ref=q5ht48" xr:uid="{AB8EB386-6476-4EDC-B104-D0443EFBAAAB}"/>
    <hyperlink ref="H41" r:id="rId21" display="https://app.tikr.com/account/subs?ref=q5ht48" xr:uid="{513EC62D-FC7E-4ECC-BBFD-4C276A6E1423}"/>
    <hyperlink ref="H42" r:id="rId22" display="https://app.tikr.com/account/subs?ref=q5ht48" xr:uid="{FBA5FE22-AC4C-4216-9AB9-4A6AD7E8DFB1}"/>
    <hyperlink ref="H43" r:id="rId23" display="https://app.tikr.com/account/subs?ref=q5ht48" xr:uid="{282E2DE2-9EDC-4F5D-82A4-493DE1BAFB6F}"/>
    <hyperlink ref="H45" r:id="rId24" display="https://app.tikr.com/account/subs?ref=q5ht48" xr:uid="{3EC93701-4918-40C3-ADB6-AC5038BDB8B1}"/>
    <hyperlink ref="H52" r:id="rId25" display="https://app.tikr.com/account/subs?ref=q5ht48" xr:uid="{65DF08AF-C6EF-48D6-A9EC-4BC51165C198}"/>
    <hyperlink ref="H53" r:id="rId26" display="https://app.tikr.com/account/subs?ref=q5ht48" xr:uid="{CB6E98D3-3E1A-412E-BDC9-D8ECA3FBF80C}"/>
    <hyperlink ref="H54" r:id="rId27" display="https://app.tikr.com/account/subs?ref=q5ht48" xr:uid="{B78D176E-B4A0-448F-9757-0AD0D4D2C468}"/>
    <hyperlink ref="H56" r:id="rId28" display="https://app.tikr.com/account/subs?ref=q5ht48" xr:uid="{0E9952C6-50B6-4331-82BD-22829DC50707}"/>
    <hyperlink ref="H58" r:id="rId29" display="https://app.tikr.com/account/subs?ref=q5ht48" xr:uid="{47177D89-7B57-4AFA-992F-C071631B8978}"/>
    <hyperlink ref="G59" r:id="rId30" display="https://app.tikr.com/account/subs?ref=q5ht48" xr:uid="{CDAE349D-43DE-46D2-BF8A-3594C9FB8568}"/>
    <hyperlink ref="H59" r:id="rId31" display="https://app.tikr.com/account/subs?ref=q5ht48" xr:uid="{CECBFECE-C983-4BA4-90C5-7D0279CFE6A9}"/>
    <hyperlink ref="H60" r:id="rId32" display="https://app.tikr.com/account/subs?ref=q5ht48" xr:uid="{80BE6BBC-1EDB-48AE-BFBF-8454FA0DE5FF}"/>
    <hyperlink ref="H61" r:id="rId33" display="https://app.tikr.com/account/subs?ref=q5ht48" xr:uid="{14082327-B94C-4F7D-9803-746549A789EB}"/>
    <hyperlink ref="H62" r:id="rId34" display="https://app.tikr.com/account/subs?ref=q5ht48" xr:uid="{34A3567E-D40E-4CEB-841A-1438B43B4F3F}"/>
    <hyperlink ref="H63" r:id="rId35" display="https://app.tikr.com/account/subs?ref=q5ht48" xr:uid="{79152662-D616-4D8F-9C22-02B034AF766E}"/>
    <hyperlink ref="H64" r:id="rId36" display="https://app.tikr.com/account/subs?ref=q5ht48" xr:uid="{503ED1E6-09D9-4171-AC92-D5A73D789314}"/>
    <hyperlink ref="H66" r:id="rId37" display="https://app.tikr.com/account/subs?ref=q5ht48" xr:uid="{F269F3D3-924A-4754-8D8B-B91D540EA7E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28BF4-5D7C-477A-AE14-235C4BFEAE19}">
  <sheetPr codeName="Hoja12"/>
  <dimension ref="A1"/>
  <sheetViews>
    <sheetView workbookViewId="0"/>
    <sheetView workbookViewId="1"/>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73C9-0840-4417-B1DE-07BD902CB29A}">
  <sheetPr codeName="Hoja2"/>
  <dimension ref="B2:Q38"/>
  <sheetViews>
    <sheetView workbookViewId="0">
      <selection activeCell="B14" sqref="B14"/>
    </sheetView>
    <sheetView workbookViewId="1"/>
  </sheetViews>
  <sheetFormatPr baseColWidth="10" defaultRowHeight="15" x14ac:dyDescent="0.25"/>
  <cols>
    <col min="1" max="1" width="5.42578125" style="6" customWidth="1"/>
    <col min="2" max="2" width="25.140625" style="6" customWidth="1"/>
    <col min="3" max="3" width="11.42578125" style="6"/>
    <col min="4" max="4" width="4.5703125" style="6" customWidth="1"/>
    <col min="5" max="5" width="4.7109375" style="6" customWidth="1"/>
    <col min="6" max="6" width="4.28515625" style="6" customWidth="1"/>
    <col min="7" max="7" width="2.28515625" style="6" customWidth="1"/>
    <col min="8" max="8" width="19.42578125" style="6" bestFit="1" customWidth="1"/>
    <col min="9" max="15" width="11.42578125" style="6"/>
    <col min="16" max="16" width="21.5703125" style="6" customWidth="1"/>
    <col min="17" max="17" width="2.140625" style="6" customWidth="1"/>
    <col min="18" max="16384" width="11.42578125" style="6"/>
  </cols>
  <sheetData>
    <row r="2" spans="2:17" x14ac:dyDescent="0.25">
      <c r="G2" s="76"/>
      <c r="H2" s="42"/>
      <c r="I2" s="42"/>
      <c r="J2" s="42"/>
      <c r="K2" s="42"/>
      <c r="L2" s="42"/>
      <c r="M2" s="42"/>
      <c r="N2" s="42"/>
      <c r="O2" s="42"/>
      <c r="P2" s="42"/>
      <c r="Q2" s="44"/>
    </row>
    <row r="3" spans="2:17" x14ac:dyDescent="0.25">
      <c r="B3" s="252" t="s">
        <v>584</v>
      </c>
      <c r="C3" s="251"/>
      <c r="D3" s="251"/>
      <c r="G3" s="25"/>
      <c r="H3" s="77" t="s">
        <v>66</v>
      </c>
      <c r="I3" s="77" t="s">
        <v>69</v>
      </c>
      <c r="J3" s="77"/>
      <c r="K3" s="77"/>
      <c r="L3" s="77"/>
      <c r="M3" s="77"/>
      <c r="N3" s="77"/>
      <c r="O3" s="77"/>
      <c r="P3" s="77"/>
      <c r="Q3" s="26"/>
    </row>
    <row r="4" spans="2:17" x14ac:dyDescent="0.25">
      <c r="B4" s="6" t="s">
        <v>1</v>
      </c>
      <c r="G4" s="25"/>
      <c r="H4" s="77" t="s">
        <v>67</v>
      </c>
      <c r="I4" s="77" t="s">
        <v>68</v>
      </c>
      <c r="J4" s="77"/>
      <c r="K4" s="77"/>
      <c r="L4" s="77"/>
      <c r="M4" s="77"/>
      <c r="N4" s="77"/>
      <c r="O4" s="77"/>
      <c r="P4" s="77"/>
      <c r="Q4" s="26"/>
    </row>
    <row r="5" spans="2:17" x14ac:dyDescent="0.25">
      <c r="B5" s="250" t="s">
        <v>585</v>
      </c>
      <c r="G5" s="25"/>
      <c r="H5" s="77" t="s">
        <v>70</v>
      </c>
      <c r="I5" s="77" t="s">
        <v>71</v>
      </c>
      <c r="J5" s="77"/>
      <c r="K5" s="77"/>
      <c r="L5" s="77"/>
      <c r="M5" s="77"/>
      <c r="N5" s="77"/>
      <c r="O5" s="77"/>
      <c r="P5" s="77"/>
      <c r="Q5" s="26"/>
    </row>
    <row r="6" spans="2:17" x14ac:dyDescent="0.25">
      <c r="B6" s="6" t="s">
        <v>2</v>
      </c>
      <c r="G6" s="25"/>
      <c r="H6" s="77" t="s">
        <v>72</v>
      </c>
      <c r="I6" s="77" t="s">
        <v>73</v>
      </c>
      <c r="J6" s="77"/>
      <c r="K6" s="77"/>
      <c r="L6" s="77"/>
      <c r="M6" s="77"/>
      <c r="N6" s="77"/>
      <c r="O6" s="77"/>
      <c r="P6" s="77"/>
      <c r="Q6" s="26"/>
    </row>
    <row r="7" spans="2:17" x14ac:dyDescent="0.25">
      <c r="B7" s="250" t="s">
        <v>586</v>
      </c>
      <c r="G7" s="25"/>
      <c r="H7" s="77" t="s">
        <v>76</v>
      </c>
      <c r="I7" s="77" t="s">
        <v>77</v>
      </c>
      <c r="J7" s="77"/>
      <c r="K7" s="77"/>
      <c r="L7" s="77"/>
      <c r="M7" s="77"/>
      <c r="N7" s="77"/>
      <c r="O7" s="77"/>
      <c r="P7" s="77"/>
      <c r="Q7" s="26"/>
    </row>
    <row r="8" spans="2:17" x14ac:dyDescent="0.25">
      <c r="B8" s="6" t="s">
        <v>3</v>
      </c>
      <c r="F8" s="75"/>
      <c r="G8" s="25"/>
      <c r="H8" s="77"/>
      <c r="I8" s="77"/>
      <c r="J8" s="77"/>
      <c r="K8" s="77"/>
      <c r="L8" s="77"/>
      <c r="M8" s="77"/>
      <c r="N8" s="77"/>
      <c r="O8" s="77"/>
      <c r="P8" s="77"/>
      <c r="Q8" s="26"/>
    </row>
    <row r="9" spans="2:17" x14ac:dyDescent="0.25">
      <c r="B9" s="250" t="s">
        <v>381</v>
      </c>
      <c r="G9" s="25"/>
      <c r="H9" s="77"/>
      <c r="I9" s="77"/>
      <c r="J9" s="77"/>
      <c r="K9" s="77"/>
      <c r="L9" s="77"/>
      <c r="M9" s="77"/>
      <c r="N9" s="77"/>
      <c r="O9" s="77"/>
      <c r="P9" s="77"/>
      <c r="Q9" s="26"/>
    </row>
    <row r="10" spans="2:17" x14ac:dyDescent="0.25">
      <c r="B10" s="6" t="s">
        <v>589</v>
      </c>
      <c r="G10" s="25"/>
      <c r="H10" s="77"/>
      <c r="I10" s="77"/>
      <c r="J10" s="77"/>
      <c r="K10" s="77"/>
      <c r="L10" s="77"/>
      <c r="M10" s="77"/>
      <c r="N10" s="77"/>
      <c r="O10" s="77"/>
      <c r="P10" s="77"/>
      <c r="Q10" s="26"/>
    </row>
    <row r="11" spans="2:17" x14ac:dyDescent="0.25">
      <c r="B11" s="250" t="s">
        <v>587</v>
      </c>
      <c r="G11" s="25"/>
      <c r="H11" s="77"/>
      <c r="I11" s="77"/>
      <c r="J11" s="77"/>
      <c r="K11" s="77"/>
      <c r="L11" s="77"/>
      <c r="M11" s="77"/>
      <c r="N11" s="77"/>
      <c r="O11" s="77"/>
      <c r="P11" s="77"/>
      <c r="Q11" s="26"/>
    </row>
    <row r="12" spans="2:17" x14ac:dyDescent="0.25">
      <c r="B12" s="6" t="s">
        <v>590</v>
      </c>
      <c r="G12" s="25"/>
      <c r="H12" s="77"/>
      <c r="I12" s="77"/>
      <c r="J12" s="77"/>
      <c r="K12" s="77"/>
      <c r="L12" s="77"/>
      <c r="M12" s="77"/>
      <c r="N12" s="77"/>
      <c r="O12" s="77"/>
      <c r="P12" s="77"/>
      <c r="Q12" s="26"/>
    </row>
    <row r="13" spans="2:17" x14ac:dyDescent="0.25">
      <c r="B13" s="250" t="s">
        <v>588</v>
      </c>
      <c r="G13" s="25"/>
      <c r="H13" s="77"/>
      <c r="I13" s="77"/>
      <c r="J13" s="77"/>
      <c r="K13" s="77"/>
      <c r="L13" s="77"/>
      <c r="M13" s="77"/>
      <c r="N13" s="77"/>
      <c r="O13" s="77"/>
      <c r="P13" s="77"/>
      <c r="Q13" s="26"/>
    </row>
    <row r="14" spans="2:17" x14ac:dyDescent="0.25">
      <c r="B14" s="6" t="s">
        <v>5</v>
      </c>
      <c r="G14" s="25"/>
      <c r="H14" s="77"/>
      <c r="I14" s="77"/>
      <c r="J14" s="77"/>
      <c r="K14" s="77"/>
      <c r="L14" s="77"/>
      <c r="M14" s="77"/>
      <c r="N14" s="77"/>
      <c r="O14" s="77"/>
      <c r="P14" s="77"/>
      <c r="Q14" s="26"/>
    </row>
    <row r="15" spans="2:17" x14ac:dyDescent="0.25">
      <c r="G15" s="25"/>
      <c r="H15" s="77"/>
      <c r="I15" s="77"/>
      <c r="J15" s="77"/>
      <c r="K15" s="77"/>
      <c r="L15" s="77"/>
      <c r="M15" s="77"/>
      <c r="N15" s="77"/>
      <c r="O15" s="77"/>
      <c r="P15" s="77"/>
      <c r="Q15" s="26"/>
    </row>
    <row r="16" spans="2:17" x14ac:dyDescent="0.25">
      <c r="G16" s="25"/>
      <c r="H16" s="77"/>
      <c r="I16" s="77"/>
      <c r="J16" s="77"/>
      <c r="K16" s="77"/>
      <c r="L16" s="77"/>
      <c r="M16" s="77"/>
      <c r="N16" s="77"/>
      <c r="O16" s="77"/>
      <c r="P16" s="77"/>
      <c r="Q16" s="26"/>
    </row>
    <row r="17" spans="7:17" x14ac:dyDescent="0.25">
      <c r="G17" s="25"/>
      <c r="H17" s="77"/>
      <c r="I17" s="77"/>
      <c r="J17" s="77"/>
      <c r="K17" s="77"/>
      <c r="L17" s="77"/>
      <c r="M17" s="77"/>
      <c r="N17" s="77"/>
      <c r="O17" s="77"/>
      <c r="P17" s="77"/>
      <c r="Q17" s="26"/>
    </row>
    <row r="18" spans="7:17" x14ac:dyDescent="0.25">
      <c r="G18" s="25"/>
      <c r="Q18" s="26"/>
    </row>
    <row r="19" spans="7:17" x14ac:dyDescent="0.25">
      <c r="G19" s="25"/>
      <c r="Q19" s="26"/>
    </row>
    <row r="20" spans="7:17" x14ac:dyDescent="0.25">
      <c r="G20" s="25"/>
      <c r="Q20" s="26"/>
    </row>
    <row r="21" spans="7:17" x14ac:dyDescent="0.25">
      <c r="G21" s="25"/>
      <c r="Q21" s="26"/>
    </row>
    <row r="22" spans="7:17" x14ac:dyDescent="0.25">
      <c r="G22" s="25"/>
      <c r="Q22" s="26"/>
    </row>
    <row r="23" spans="7:17" x14ac:dyDescent="0.25">
      <c r="G23" s="25"/>
      <c r="Q23" s="26"/>
    </row>
    <row r="24" spans="7:17" x14ac:dyDescent="0.25">
      <c r="G24" s="25"/>
      <c r="Q24" s="26"/>
    </row>
    <row r="25" spans="7:17" x14ac:dyDescent="0.25">
      <c r="G25" s="25"/>
      <c r="Q25" s="26"/>
    </row>
    <row r="26" spans="7:17" x14ac:dyDescent="0.25">
      <c r="G26" s="25"/>
      <c r="Q26" s="26"/>
    </row>
    <row r="27" spans="7:17" x14ac:dyDescent="0.25">
      <c r="G27" s="25"/>
      <c r="Q27" s="26"/>
    </row>
    <row r="28" spans="7:17" x14ac:dyDescent="0.25">
      <c r="G28" s="25"/>
      <c r="Q28" s="26"/>
    </row>
    <row r="29" spans="7:17" x14ac:dyDescent="0.25">
      <c r="G29" s="25"/>
      <c r="Q29" s="26"/>
    </row>
    <row r="30" spans="7:17" x14ac:dyDescent="0.25">
      <c r="G30" s="25"/>
      <c r="Q30" s="26"/>
    </row>
    <row r="31" spans="7:17" x14ac:dyDescent="0.25">
      <c r="G31" s="25"/>
      <c r="Q31" s="26"/>
    </row>
    <row r="32" spans="7:17" x14ac:dyDescent="0.25">
      <c r="G32" s="25"/>
      <c r="Q32" s="26"/>
    </row>
    <row r="33" spans="7:17" x14ac:dyDescent="0.25">
      <c r="G33" s="25"/>
      <c r="Q33" s="26"/>
    </row>
    <row r="34" spans="7:17" x14ac:dyDescent="0.25">
      <c r="G34" s="25"/>
      <c r="Q34" s="26"/>
    </row>
    <row r="35" spans="7:17" x14ac:dyDescent="0.25">
      <c r="G35" s="25"/>
      <c r="Q35" s="26"/>
    </row>
    <row r="36" spans="7:17" x14ac:dyDescent="0.25">
      <c r="G36" s="25"/>
      <c r="Q36" s="26"/>
    </row>
    <row r="37" spans="7:17" x14ac:dyDescent="0.25">
      <c r="G37" s="25"/>
      <c r="Q37" s="26"/>
    </row>
    <row r="38" spans="7:17" x14ac:dyDescent="0.25">
      <c r="G38" s="27"/>
      <c r="H38" s="28"/>
      <c r="I38" s="28"/>
      <c r="J38" s="28"/>
      <c r="K38" s="28"/>
      <c r="L38" s="28"/>
      <c r="M38" s="28"/>
      <c r="N38" s="28"/>
      <c r="O38" s="28"/>
      <c r="P38" s="28"/>
      <c r="Q38" s="2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EE10E-7495-41AE-A723-126470A1D59C}">
  <sheetPr codeName="Hoja4"/>
  <dimension ref="A1:H93"/>
  <sheetViews>
    <sheetView topLeftCell="A61" workbookViewId="0">
      <selection activeCell="D82" sqref="D82"/>
    </sheetView>
    <sheetView workbookViewId="1">
      <selection sqref="A1:H1"/>
    </sheetView>
  </sheetViews>
  <sheetFormatPr baseColWidth="10" defaultColWidth="9.140625" defaultRowHeight="15" x14ac:dyDescent="0.25"/>
  <cols>
    <col min="1" max="1" width="43.140625" bestFit="1" customWidth="1"/>
    <col min="5" max="7" width="13.28515625" bestFit="1" customWidth="1"/>
    <col min="12" max="12" width="12" bestFit="1" customWidth="1"/>
  </cols>
  <sheetData>
    <row r="1" spans="1:8" x14ac:dyDescent="0.25">
      <c r="A1" s="225"/>
      <c r="B1" s="225"/>
      <c r="C1" s="225"/>
      <c r="D1" s="225"/>
      <c r="E1" s="225"/>
      <c r="F1" s="225"/>
      <c r="G1" s="225"/>
      <c r="H1" s="225"/>
    </row>
    <row r="2" spans="1:8" x14ac:dyDescent="0.25">
      <c r="A2" s="171" t="s">
        <v>141</v>
      </c>
      <c r="B2" s="172">
        <v>42735</v>
      </c>
      <c r="C2" s="172">
        <v>43100</v>
      </c>
      <c r="D2" s="172">
        <v>43465</v>
      </c>
      <c r="E2" s="172">
        <v>43830</v>
      </c>
      <c r="F2" s="172">
        <v>44196</v>
      </c>
      <c r="G2" s="172">
        <v>44561</v>
      </c>
      <c r="H2" s="171" t="s">
        <v>142</v>
      </c>
    </row>
    <row r="3" spans="1:8" x14ac:dyDescent="0.25">
      <c r="A3" s="170"/>
      <c r="B3" s="170"/>
      <c r="C3" s="170"/>
      <c r="D3" s="170"/>
      <c r="E3" s="170"/>
      <c r="F3" s="170"/>
      <c r="G3" s="170"/>
      <c r="H3" s="170"/>
    </row>
    <row r="4" spans="1:8" x14ac:dyDescent="0.25">
      <c r="A4" s="173" t="s">
        <v>143</v>
      </c>
      <c r="B4" s="175"/>
      <c r="C4" s="174" t="s">
        <v>144</v>
      </c>
      <c r="D4" s="174" t="s">
        <v>145</v>
      </c>
      <c r="E4" s="174" t="s">
        <v>146</v>
      </c>
      <c r="F4" s="174" t="s">
        <v>147</v>
      </c>
      <c r="G4" s="174" t="s">
        <v>148</v>
      </c>
      <c r="H4" s="174" t="s">
        <v>149</v>
      </c>
    </row>
    <row r="5" spans="1:8" x14ac:dyDescent="0.25">
      <c r="A5" s="176" t="s">
        <v>150</v>
      </c>
      <c r="B5" s="175"/>
      <c r="C5" s="177" t="s">
        <v>144</v>
      </c>
      <c r="D5" s="177" t="s">
        <v>145</v>
      </c>
      <c r="E5" s="177" t="s">
        <v>146</v>
      </c>
      <c r="F5" s="177" t="s">
        <v>147</v>
      </c>
      <c r="G5" s="177" t="s">
        <v>148</v>
      </c>
      <c r="H5" s="177" t="s">
        <v>149</v>
      </c>
    </row>
    <row r="6" spans="1:8" x14ac:dyDescent="0.25">
      <c r="A6" s="178" t="s">
        <v>151</v>
      </c>
      <c r="B6" s="175"/>
      <c r="C6" s="175"/>
      <c r="D6" s="179" t="s">
        <v>152</v>
      </c>
      <c r="E6" s="179" t="s">
        <v>153</v>
      </c>
      <c r="F6" s="179" t="s">
        <v>154</v>
      </c>
      <c r="G6" s="179" t="s">
        <v>155</v>
      </c>
      <c r="H6" s="180"/>
    </row>
    <row r="7" spans="1:8" ht="15.75" thickBot="1" x14ac:dyDescent="0.3">
      <c r="A7" s="173" t="s">
        <v>156</v>
      </c>
      <c r="B7" s="175"/>
      <c r="C7" s="181" t="s">
        <v>157</v>
      </c>
      <c r="D7" s="181" t="s">
        <v>158</v>
      </c>
      <c r="E7" s="181" t="s">
        <v>159</v>
      </c>
      <c r="F7" s="181" t="s">
        <v>160</v>
      </c>
      <c r="G7" s="181" t="s">
        <v>161</v>
      </c>
      <c r="H7" s="181" t="s">
        <v>162</v>
      </c>
    </row>
    <row r="8" spans="1:8" ht="15.75" thickTop="1" x14ac:dyDescent="0.25">
      <c r="A8" s="182" t="s">
        <v>2</v>
      </c>
      <c r="B8" s="184"/>
      <c r="C8" s="183" t="s">
        <v>163</v>
      </c>
      <c r="D8" s="183" t="s">
        <v>164</v>
      </c>
      <c r="E8" s="183" t="s">
        <v>165</v>
      </c>
      <c r="F8" s="183" t="s">
        <v>166</v>
      </c>
      <c r="G8" s="183" t="s">
        <v>167</v>
      </c>
      <c r="H8" s="183" t="s">
        <v>168</v>
      </c>
    </row>
    <row r="9" spans="1:8" x14ac:dyDescent="0.25">
      <c r="A9" s="178" t="s">
        <v>151</v>
      </c>
      <c r="B9" s="175"/>
      <c r="C9" s="175"/>
      <c r="D9" s="179" t="s">
        <v>169</v>
      </c>
      <c r="E9" s="179" t="s">
        <v>170</v>
      </c>
      <c r="F9" s="179" t="s">
        <v>171</v>
      </c>
      <c r="G9" s="179" t="s">
        <v>172</v>
      </c>
      <c r="H9" s="180"/>
    </row>
    <row r="10" spans="1:8" x14ac:dyDescent="0.25">
      <c r="A10" s="178" t="s">
        <v>173</v>
      </c>
      <c r="B10" s="175"/>
      <c r="C10" s="179" t="s">
        <v>174</v>
      </c>
      <c r="D10" s="179" t="s">
        <v>175</v>
      </c>
      <c r="E10" s="179" t="s">
        <v>176</v>
      </c>
      <c r="F10" s="179" t="s">
        <v>177</v>
      </c>
      <c r="G10" s="179" t="s">
        <v>178</v>
      </c>
      <c r="H10" s="179" t="s">
        <v>179</v>
      </c>
    </row>
    <row r="11" spans="1:8" x14ac:dyDescent="0.25">
      <c r="A11" s="173" t="s">
        <v>180</v>
      </c>
      <c r="B11" s="175"/>
      <c r="C11" s="181" t="s">
        <v>181</v>
      </c>
      <c r="D11" s="181" t="s">
        <v>182</v>
      </c>
      <c r="E11" s="181" t="s">
        <v>183</v>
      </c>
      <c r="F11" s="181" t="s">
        <v>184</v>
      </c>
      <c r="G11" s="181" t="s">
        <v>185</v>
      </c>
      <c r="H11" s="181" t="s">
        <v>186</v>
      </c>
    </row>
    <row r="12" spans="1:8" ht="15.75" thickBot="1" x14ac:dyDescent="0.3">
      <c r="A12" s="173" t="s">
        <v>187</v>
      </c>
      <c r="B12" s="175"/>
      <c r="C12" s="181" t="s">
        <v>188</v>
      </c>
      <c r="D12" s="181" t="s">
        <v>189</v>
      </c>
      <c r="E12" s="181" t="s">
        <v>190</v>
      </c>
      <c r="F12" s="181" t="s">
        <v>191</v>
      </c>
      <c r="G12" s="181" t="s">
        <v>192</v>
      </c>
      <c r="H12" s="181" t="s">
        <v>193</v>
      </c>
    </row>
    <row r="13" spans="1:8" ht="15.75" thickTop="1" x14ac:dyDescent="0.25">
      <c r="A13" s="182" t="s">
        <v>194</v>
      </c>
      <c r="B13" s="184"/>
      <c r="C13" s="185" t="s">
        <v>195</v>
      </c>
      <c r="D13" s="185" t="s">
        <v>196</v>
      </c>
      <c r="E13" s="185" t="s">
        <v>197</v>
      </c>
      <c r="F13" s="185" t="s">
        <v>198</v>
      </c>
      <c r="G13" s="185" t="s">
        <v>199</v>
      </c>
      <c r="H13" s="185" t="s">
        <v>200</v>
      </c>
    </row>
    <row r="14" spans="1:8" x14ac:dyDescent="0.25">
      <c r="A14" s="176" t="s">
        <v>4</v>
      </c>
      <c r="B14" s="175"/>
      <c r="C14" s="177" t="s">
        <v>201</v>
      </c>
      <c r="D14" s="177" t="s">
        <v>202</v>
      </c>
      <c r="E14" s="177" t="s">
        <v>203</v>
      </c>
      <c r="F14" s="177" t="s">
        <v>204</v>
      </c>
      <c r="G14" s="177" t="s">
        <v>205</v>
      </c>
      <c r="H14" s="177" t="s">
        <v>206</v>
      </c>
    </row>
    <row r="15" spans="1:8" x14ac:dyDescent="0.25">
      <c r="A15" s="178" t="s">
        <v>151</v>
      </c>
      <c r="B15" s="175"/>
      <c r="C15" s="175"/>
      <c r="D15" s="179" t="s">
        <v>207</v>
      </c>
      <c r="E15" s="179" t="s">
        <v>208</v>
      </c>
      <c r="F15" s="179" t="s">
        <v>209</v>
      </c>
      <c r="G15" s="179" t="s">
        <v>210</v>
      </c>
      <c r="H15" s="180"/>
    </row>
    <row r="16" spans="1:8" x14ac:dyDescent="0.25">
      <c r="A16" s="178" t="s">
        <v>211</v>
      </c>
      <c r="B16" s="175"/>
      <c r="C16" s="179" t="s">
        <v>212</v>
      </c>
      <c r="D16" s="179" t="s">
        <v>213</v>
      </c>
      <c r="E16" s="179" t="s">
        <v>214</v>
      </c>
      <c r="F16" s="179" t="s">
        <v>215</v>
      </c>
      <c r="G16" s="179" t="s">
        <v>216</v>
      </c>
      <c r="H16" s="179" t="s">
        <v>217</v>
      </c>
    </row>
    <row r="17" spans="1:8" x14ac:dyDescent="0.25">
      <c r="A17" s="173" t="s">
        <v>218</v>
      </c>
      <c r="B17" s="175"/>
      <c r="C17" s="181" t="s">
        <v>219</v>
      </c>
      <c r="D17" s="181" t="s">
        <v>220</v>
      </c>
      <c r="E17" s="181" t="s">
        <v>221</v>
      </c>
      <c r="F17" s="181" t="s">
        <v>222</v>
      </c>
      <c r="G17" s="181" t="s">
        <v>223</v>
      </c>
      <c r="H17" s="181" t="s">
        <v>224</v>
      </c>
    </row>
    <row r="18" spans="1:8" x14ac:dyDescent="0.25">
      <c r="A18" s="173" t="s">
        <v>225</v>
      </c>
      <c r="B18" s="175"/>
      <c r="C18" s="174" t="s">
        <v>226</v>
      </c>
      <c r="D18" s="174" t="s">
        <v>227</v>
      </c>
      <c r="E18" s="174" t="s">
        <v>228</v>
      </c>
      <c r="F18" s="174" t="s">
        <v>229</v>
      </c>
      <c r="G18" s="174" t="s">
        <v>230</v>
      </c>
      <c r="H18" s="174" t="s">
        <v>231</v>
      </c>
    </row>
    <row r="19" spans="1:8" x14ac:dyDescent="0.25">
      <c r="A19" s="173" t="s">
        <v>232</v>
      </c>
      <c r="B19" s="175"/>
      <c r="C19" s="181" t="s">
        <v>233</v>
      </c>
      <c r="D19" s="181" t="s">
        <v>234</v>
      </c>
      <c r="E19" s="174" t="s">
        <v>235</v>
      </c>
      <c r="F19" s="181" t="s">
        <v>236</v>
      </c>
      <c r="G19" s="181" t="s">
        <v>237</v>
      </c>
      <c r="H19" s="181" t="s">
        <v>238</v>
      </c>
    </row>
    <row r="20" spans="1:8" ht="15.75" thickBot="1" x14ac:dyDescent="0.3">
      <c r="A20" s="173" t="s">
        <v>239</v>
      </c>
      <c r="B20" s="175"/>
      <c r="C20" s="174" t="s">
        <v>240</v>
      </c>
      <c r="D20" s="181" t="s">
        <v>241</v>
      </c>
      <c r="E20" s="181" t="s">
        <v>242</v>
      </c>
      <c r="F20" s="181" t="s">
        <v>236</v>
      </c>
      <c r="G20" s="181" t="s">
        <v>243</v>
      </c>
      <c r="H20" s="174" t="s">
        <v>244</v>
      </c>
    </row>
    <row r="21" spans="1:8" ht="15.75" thickTop="1" x14ac:dyDescent="0.25">
      <c r="A21" s="182" t="s">
        <v>245</v>
      </c>
      <c r="B21" s="184"/>
      <c r="C21" s="183" t="s">
        <v>246</v>
      </c>
      <c r="D21" s="183" t="s">
        <v>247</v>
      </c>
      <c r="E21" s="183" t="s">
        <v>248</v>
      </c>
      <c r="F21" s="183" t="s">
        <v>249</v>
      </c>
      <c r="G21" s="183" t="s">
        <v>250</v>
      </c>
      <c r="H21" s="183" t="s">
        <v>251</v>
      </c>
    </row>
    <row r="22" spans="1:8" x14ac:dyDescent="0.25">
      <c r="A22" s="173" t="s">
        <v>252</v>
      </c>
      <c r="B22" s="175"/>
      <c r="C22" s="181" t="s">
        <v>253</v>
      </c>
      <c r="D22" s="174" t="s">
        <v>254</v>
      </c>
      <c r="E22" s="174" t="s">
        <v>255</v>
      </c>
      <c r="F22" s="174" t="s">
        <v>256</v>
      </c>
      <c r="G22" s="174" t="s">
        <v>257</v>
      </c>
      <c r="H22" s="181" t="s">
        <v>258</v>
      </c>
    </row>
    <row r="23" spans="1:8" x14ac:dyDescent="0.25">
      <c r="A23" s="173" t="s">
        <v>259</v>
      </c>
      <c r="B23" s="186"/>
      <c r="C23" s="186"/>
      <c r="D23" s="186"/>
      <c r="E23" s="186"/>
      <c r="F23" s="186"/>
      <c r="G23" s="186"/>
      <c r="H23" s="186"/>
    </row>
    <row r="24" spans="1:8" x14ac:dyDescent="0.25">
      <c r="A24" s="173" t="s">
        <v>260</v>
      </c>
      <c r="B24" s="186"/>
      <c r="C24" s="186"/>
      <c r="D24" s="186"/>
      <c r="E24" s="186"/>
      <c r="F24" s="186"/>
      <c r="G24" s="186"/>
      <c r="H24" s="186"/>
    </row>
    <row r="25" spans="1:8" x14ac:dyDescent="0.25">
      <c r="A25" s="173" t="s">
        <v>261</v>
      </c>
      <c r="B25" s="186"/>
      <c r="C25" s="186"/>
      <c r="D25" s="186"/>
      <c r="E25" s="186"/>
      <c r="F25" s="186"/>
      <c r="G25" s="186"/>
      <c r="H25" s="186"/>
    </row>
    <row r="26" spans="1:8" x14ac:dyDescent="0.25">
      <c r="A26" s="173" t="s">
        <v>262</v>
      </c>
      <c r="B26" s="186"/>
      <c r="C26" s="181" t="s">
        <v>263</v>
      </c>
      <c r="D26" s="181" t="s">
        <v>264</v>
      </c>
      <c r="E26" s="181" t="s">
        <v>265</v>
      </c>
      <c r="F26" s="186"/>
      <c r="G26" s="186"/>
      <c r="H26" s="186"/>
    </row>
    <row r="27" spans="1:8" s="65" customFormat="1" ht="15.75" thickBot="1" x14ac:dyDescent="0.3">
      <c r="A27" s="173" t="s">
        <v>266</v>
      </c>
      <c r="B27" s="186"/>
      <c r="C27" s="186"/>
      <c r="D27" s="186"/>
      <c r="E27" s="186"/>
      <c r="F27" s="186"/>
      <c r="G27" s="186"/>
      <c r="H27" s="186"/>
    </row>
    <row r="28" spans="1:8" ht="15.75" thickTop="1" x14ac:dyDescent="0.25">
      <c r="A28" s="182" t="s">
        <v>267</v>
      </c>
      <c r="B28" s="184"/>
      <c r="C28" s="183" t="s">
        <v>268</v>
      </c>
      <c r="D28" s="183" t="s">
        <v>269</v>
      </c>
      <c r="E28" s="183" t="s">
        <v>270</v>
      </c>
      <c r="F28" s="183" t="s">
        <v>271</v>
      </c>
      <c r="G28" s="183" t="s">
        <v>272</v>
      </c>
      <c r="H28" s="183" t="s">
        <v>273</v>
      </c>
    </row>
    <row r="29" spans="1:8" ht="15.75" thickBot="1" x14ac:dyDescent="0.3">
      <c r="A29" s="173" t="s">
        <v>274</v>
      </c>
      <c r="B29" s="175"/>
      <c r="C29" s="181" t="s">
        <v>275</v>
      </c>
      <c r="D29" s="181" t="s">
        <v>276</v>
      </c>
      <c r="E29" s="181" t="s">
        <v>277</v>
      </c>
      <c r="F29" s="181" t="s">
        <v>278</v>
      </c>
      <c r="G29" s="181" t="s">
        <v>279</v>
      </c>
      <c r="H29" s="181" t="s">
        <v>280</v>
      </c>
    </row>
    <row r="30" spans="1:8" ht="15.75" thickTop="1" x14ac:dyDescent="0.25">
      <c r="A30" s="182" t="s">
        <v>281</v>
      </c>
      <c r="B30" s="184"/>
      <c r="C30" s="183" t="s">
        <v>282</v>
      </c>
      <c r="D30" s="183" t="s">
        <v>283</v>
      </c>
      <c r="E30" s="183" t="s">
        <v>284</v>
      </c>
      <c r="F30" s="183" t="s">
        <v>285</v>
      </c>
      <c r="G30" s="183" t="s">
        <v>286</v>
      </c>
      <c r="H30" s="183" t="s">
        <v>287</v>
      </c>
    </row>
    <row r="31" spans="1:8" ht="15.75" thickBot="1" x14ac:dyDescent="0.3">
      <c r="A31" s="173" t="s">
        <v>288</v>
      </c>
      <c r="B31" s="186"/>
      <c r="C31" s="186"/>
      <c r="D31" s="186"/>
      <c r="E31" s="186"/>
      <c r="F31" s="186"/>
      <c r="G31" s="186"/>
      <c r="H31" s="186"/>
    </row>
    <row r="32" spans="1:8" ht="15.75" thickTop="1" x14ac:dyDescent="0.25">
      <c r="A32" s="182" t="s">
        <v>289</v>
      </c>
      <c r="B32" s="184"/>
      <c r="C32" s="183" t="s">
        <v>282</v>
      </c>
      <c r="D32" s="183" t="s">
        <v>283</v>
      </c>
      <c r="E32" s="183" t="s">
        <v>284</v>
      </c>
      <c r="F32" s="183" t="s">
        <v>285</v>
      </c>
      <c r="G32" s="183" t="s">
        <v>286</v>
      </c>
      <c r="H32" s="183" t="s">
        <v>287</v>
      </c>
    </row>
    <row r="33" spans="1:8" x14ac:dyDescent="0.25">
      <c r="A33" s="176" t="s">
        <v>5</v>
      </c>
      <c r="B33" s="175"/>
      <c r="C33" s="177" t="s">
        <v>282</v>
      </c>
      <c r="D33" s="177" t="s">
        <v>283</v>
      </c>
      <c r="E33" s="177" t="s">
        <v>284</v>
      </c>
      <c r="F33" s="177" t="s">
        <v>285</v>
      </c>
      <c r="G33" s="177" t="s">
        <v>286</v>
      </c>
      <c r="H33" s="177" t="s">
        <v>287</v>
      </c>
    </row>
    <row r="34" spans="1:8" x14ac:dyDescent="0.25">
      <c r="A34" s="176" t="s">
        <v>290</v>
      </c>
      <c r="B34" s="175"/>
      <c r="C34" s="177" t="s">
        <v>282</v>
      </c>
      <c r="D34" s="177" t="s">
        <v>283</v>
      </c>
      <c r="E34" s="177" t="s">
        <v>284</v>
      </c>
      <c r="F34" s="177" t="s">
        <v>285</v>
      </c>
      <c r="G34" s="177" t="s">
        <v>286</v>
      </c>
      <c r="H34" s="177" t="s">
        <v>287</v>
      </c>
    </row>
    <row r="35" spans="1:8" x14ac:dyDescent="0.25">
      <c r="A35" s="178" t="s">
        <v>291</v>
      </c>
      <c r="B35" s="175"/>
      <c r="C35" s="179" t="s">
        <v>292</v>
      </c>
      <c r="D35" s="179" t="s">
        <v>293</v>
      </c>
      <c r="E35" s="179" t="s">
        <v>294</v>
      </c>
      <c r="F35" s="179" t="s">
        <v>295</v>
      </c>
      <c r="G35" s="179" t="s">
        <v>296</v>
      </c>
      <c r="H35" s="179" t="s">
        <v>297</v>
      </c>
    </row>
    <row r="36" spans="1:8" x14ac:dyDescent="0.25">
      <c r="A36" s="176" t="s">
        <v>298</v>
      </c>
      <c r="B36" s="175"/>
      <c r="C36" s="177" t="s">
        <v>282</v>
      </c>
      <c r="D36" s="177" t="s">
        <v>283</v>
      </c>
      <c r="E36" s="177" t="s">
        <v>284</v>
      </c>
      <c r="F36" s="177" t="s">
        <v>285</v>
      </c>
      <c r="G36" s="177" t="s">
        <v>286</v>
      </c>
      <c r="H36" s="177" t="s">
        <v>287</v>
      </c>
    </row>
    <row r="37" spans="1:8" x14ac:dyDescent="0.25">
      <c r="A37" s="178" t="s">
        <v>299</v>
      </c>
      <c r="B37" s="175"/>
      <c r="C37" s="179" t="s">
        <v>292</v>
      </c>
      <c r="D37" s="179" t="s">
        <v>293</v>
      </c>
      <c r="E37" s="179" t="s">
        <v>294</v>
      </c>
      <c r="F37" s="179" t="s">
        <v>295</v>
      </c>
      <c r="G37" s="179" t="s">
        <v>296</v>
      </c>
      <c r="H37" s="179" t="s">
        <v>297</v>
      </c>
    </row>
    <row r="38" spans="1:8" x14ac:dyDescent="0.25">
      <c r="A38" s="178" t="s">
        <v>300</v>
      </c>
      <c r="B38" s="170"/>
      <c r="C38" s="170"/>
      <c r="D38" s="170"/>
      <c r="E38" s="170"/>
      <c r="F38" s="170"/>
      <c r="G38" s="170"/>
      <c r="H38" s="170"/>
    </row>
    <row r="39" spans="1:8" x14ac:dyDescent="0.25">
      <c r="A39" s="173" t="s">
        <v>301</v>
      </c>
      <c r="B39" s="175"/>
      <c r="C39" s="174" t="s">
        <v>302</v>
      </c>
      <c r="D39" s="174" t="s">
        <v>303</v>
      </c>
      <c r="E39" s="174" t="s">
        <v>304</v>
      </c>
      <c r="F39" s="174" t="s">
        <v>305</v>
      </c>
      <c r="G39" s="174" t="s">
        <v>306</v>
      </c>
      <c r="H39" s="174" t="s">
        <v>307</v>
      </c>
    </row>
    <row r="40" spans="1:8" x14ac:dyDescent="0.25">
      <c r="A40" s="187" t="s">
        <v>151</v>
      </c>
      <c r="B40" s="175"/>
      <c r="C40" s="175"/>
      <c r="D40" s="189" t="s">
        <v>308</v>
      </c>
      <c r="E40" s="189" t="s">
        <v>309</v>
      </c>
      <c r="F40" s="189" t="s">
        <v>310</v>
      </c>
      <c r="G40" s="189" t="s">
        <v>311</v>
      </c>
      <c r="H40" s="190"/>
    </row>
    <row r="41" spans="1:8" x14ac:dyDescent="0.25">
      <c r="A41" s="173" t="s">
        <v>312</v>
      </c>
      <c r="B41" s="175"/>
      <c r="C41" s="174" t="s">
        <v>313</v>
      </c>
      <c r="D41" s="174" t="s">
        <v>314</v>
      </c>
      <c r="E41" s="174" t="s">
        <v>315</v>
      </c>
      <c r="F41" s="174" t="s">
        <v>316</v>
      </c>
      <c r="G41" s="174" t="s">
        <v>317</v>
      </c>
      <c r="H41" s="174" t="s">
        <v>318</v>
      </c>
    </row>
    <row r="42" spans="1:8" x14ac:dyDescent="0.25">
      <c r="A42" s="187" t="s">
        <v>151</v>
      </c>
      <c r="B42" s="175"/>
      <c r="C42" s="175"/>
      <c r="D42" s="188" t="s">
        <v>319</v>
      </c>
      <c r="E42" s="188" t="s">
        <v>320</v>
      </c>
      <c r="F42" s="188" t="s">
        <v>321</v>
      </c>
      <c r="G42" s="188" t="s">
        <v>322</v>
      </c>
      <c r="H42" s="190"/>
    </row>
    <row r="43" spans="1:8" x14ac:dyDescent="0.25">
      <c r="A43" s="173" t="s">
        <v>323</v>
      </c>
      <c r="B43" s="175"/>
      <c r="C43" s="174" t="s">
        <v>324</v>
      </c>
      <c r="D43" s="174" t="s">
        <v>325</v>
      </c>
      <c r="E43" s="174" t="s">
        <v>326</v>
      </c>
      <c r="F43" s="174" t="s">
        <v>327</v>
      </c>
      <c r="G43" s="174" t="s">
        <v>328</v>
      </c>
      <c r="H43" s="174" t="s">
        <v>329</v>
      </c>
    </row>
    <row r="44" spans="1:8" x14ac:dyDescent="0.25">
      <c r="A44" s="187" t="s">
        <v>151</v>
      </c>
      <c r="B44" s="175"/>
      <c r="C44" s="175"/>
      <c r="D44" s="189" t="s">
        <v>330</v>
      </c>
      <c r="E44" s="188" t="s">
        <v>331</v>
      </c>
      <c r="F44" s="188" t="s">
        <v>321</v>
      </c>
      <c r="G44" s="188" t="s">
        <v>332</v>
      </c>
      <c r="H44" s="190"/>
    </row>
    <row r="45" spans="1:8" x14ac:dyDescent="0.25">
      <c r="A45" s="173" t="s">
        <v>333</v>
      </c>
      <c r="B45" s="175"/>
      <c r="C45" s="174" t="s">
        <v>334</v>
      </c>
      <c r="D45" s="174" t="s">
        <v>335</v>
      </c>
      <c r="E45" s="174" t="s">
        <v>336</v>
      </c>
      <c r="F45" s="174" t="s">
        <v>337</v>
      </c>
      <c r="G45" s="174" t="s">
        <v>338</v>
      </c>
      <c r="H45" s="174" t="s">
        <v>339</v>
      </c>
    </row>
    <row r="46" spans="1:8" x14ac:dyDescent="0.25">
      <c r="A46" s="173" t="s">
        <v>3</v>
      </c>
      <c r="B46" s="175"/>
      <c r="C46" s="174" t="s">
        <v>340</v>
      </c>
      <c r="D46" s="174" t="s">
        <v>341</v>
      </c>
      <c r="E46" s="174" t="s">
        <v>342</v>
      </c>
      <c r="F46" s="174" t="s">
        <v>343</v>
      </c>
      <c r="G46" s="174" t="s">
        <v>344</v>
      </c>
      <c r="H46" s="174" t="s">
        <v>345</v>
      </c>
    </row>
    <row r="47" spans="1:8" x14ac:dyDescent="0.25">
      <c r="A47" s="187" t="s">
        <v>151</v>
      </c>
      <c r="B47" s="175"/>
      <c r="C47" s="175"/>
      <c r="D47" s="189" t="s">
        <v>346</v>
      </c>
      <c r="E47" s="189" t="s">
        <v>347</v>
      </c>
      <c r="F47" s="189" t="s">
        <v>348</v>
      </c>
      <c r="G47" s="189" t="s">
        <v>349</v>
      </c>
      <c r="H47" s="190"/>
    </row>
    <row r="48" spans="1:8" x14ac:dyDescent="0.25">
      <c r="A48" s="173" t="s">
        <v>350</v>
      </c>
      <c r="B48" s="175"/>
      <c r="C48" s="174" t="s">
        <v>351</v>
      </c>
      <c r="D48" s="186"/>
      <c r="E48" s="186"/>
      <c r="F48" s="174" t="s">
        <v>352</v>
      </c>
      <c r="G48" s="174" t="s">
        <v>353</v>
      </c>
      <c r="H48" s="186"/>
    </row>
    <row r="49" spans="1:8" x14ac:dyDescent="0.25">
      <c r="A49" s="173" t="s">
        <v>354</v>
      </c>
      <c r="B49" s="175"/>
      <c r="C49" s="174" t="s">
        <v>355</v>
      </c>
      <c r="D49" s="174" t="s">
        <v>356</v>
      </c>
      <c r="E49" s="174" t="s">
        <v>357</v>
      </c>
      <c r="F49" s="174" t="s">
        <v>358</v>
      </c>
      <c r="G49" s="174" t="s">
        <v>359</v>
      </c>
      <c r="H49" s="174" t="s">
        <v>360</v>
      </c>
    </row>
    <row r="50" spans="1:8" x14ac:dyDescent="0.25">
      <c r="A50" s="173" t="s">
        <v>361</v>
      </c>
      <c r="B50" s="175"/>
      <c r="C50" s="174" t="s">
        <v>362</v>
      </c>
      <c r="D50" s="174" t="s">
        <v>363</v>
      </c>
      <c r="E50" s="174" t="s">
        <v>364</v>
      </c>
      <c r="F50" s="174" t="s">
        <v>365</v>
      </c>
      <c r="G50" s="174" t="s">
        <v>366</v>
      </c>
      <c r="H50" s="174" t="s">
        <v>367</v>
      </c>
    </row>
    <row r="51" spans="1:8" x14ac:dyDescent="0.25">
      <c r="A51" s="173" t="s">
        <v>368</v>
      </c>
      <c r="B51" s="175"/>
      <c r="C51" s="174" t="s">
        <v>369</v>
      </c>
      <c r="D51" s="174" t="s">
        <v>370</v>
      </c>
      <c r="E51" s="174" t="s">
        <v>371</v>
      </c>
      <c r="F51" s="174" t="s">
        <v>372</v>
      </c>
      <c r="G51" s="174" t="s">
        <v>373</v>
      </c>
      <c r="H51" s="174" t="s">
        <v>374</v>
      </c>
    </row>
    <row r="52" spans="1:8" x14ac:dyDescent="0.25">
      <c r="A52" s="173" t="s">
        <v>375</v>
      </c>
      <c r="B52" s="175"/>
      <c r="C52" s="174" t="s">
        <v>376</v>
      </c>
      <c r="D52" s="174" t="s">
        <v>377</v>
      </c>
      <c r="E52" s="174" t="s">
        <v>378</v>
      </c>
      <c r="F52" s="174" t="s">
        <v>346</v>
      </c>
      <c r="G52" s="174" t="s">
        <v>346</v>
      </c>
      <c r="H52" s="174" t="s">
        <v>379</v>
      </c>
    </row>
    <row r="65" s="65" customFormat="1" x14ac:dyDescent="0.25"/>
    <row r="93" s="65" customFormat="1" x14ac:dyDescent="0.25"/>
  </sheetData>
  <mergeCells count="1">
    <mergeCell ref="A1:H1"/>
  </mergeCells>
  <hyperlinks>
    <hyperlink ref="B4" r:id="rId1" display="https://app.tikr.com/account/subs?ref=q5ht48" xr:uid="{48AEE7E0-FEB1-4660-90FE-86648FA5A739}"/>
    <hyperlink ref="B5" r:id="rId2" display="https://app.tikr.com/account/subs?ref=q5ht48" xr:uid="{58D31995-2D1E-4895-A11D-5B856E55FD4D}"/>
    <hyperlink ref="B6" r:id="rId3" display="https://app.tikr.com/account/subs?ref=q5ht48" xr:uid="{E2E6F7F0-C8B0-40BF-8B47-03D734E23C9D}"/>
    <hyperlink ref="C6" r:id="rId4" display="https://app.tikr.com/account/subs?ref=q5ht48" xr:uid="{1F92BB1C-7477-4205-B8E3-4477098BF5F5}"/>
    <hyperlink ref="B7" r:id="rId5" display="https://app.tikr.com/account/subs?ref=q5ht48" xr:uid="{EE6B0A55-4C67-457D-A79E-C28369B963F7}"/>
    <hyperlink ref="B8" r:id="rId6" display="https://app.tikr.com/account/subs?ref=q5ht48" xr:uid="{BA491610-A643-43C4-BAC0-62E7178FB53C}"/>
    <hyperlink ref="B9" r:id="rId7" display="https://app.tikr.com/account/subs?ref=q5ht48" xr:uid="{0C82F6DC-F8AF-4DF4-A863-1F93CD36C784}"/>
    <hyperlink ref="C9" r:id="rId8" display="https://app.tikr.com/account/subs?ref=q5ht48" xr:uid="{F2CF3FD4-1059-4A0E-B9F0-05D1DCFA421C}"/>
    <hyperlink ref="B10" r:id="rId9" display="https://app.tikr.com/account/subs?ref=q5ht48" xr:uid="{810A14D3-1C35-45FD-AF4C-D84E9F7AAAF3}"/>
    <hyperlink ref="B11" r:id="rId10" display="https://app.tikr.com/account/subs?ref=q5ht48" xr:uid="{B8F3032E-0AD4-4D90-8059-616F44E8FC6E}"/>
    <hyperlink ref="B12" r:id="rId11" display="https://app.tikr.com/account/subs?ref=q5ht48" xr:uid="{F6A2FB7B-38D8-4995-8CDC-23FD13CDBD85}"/>
    <hyperlink ref="B13" r:id="rId12" display="https://app.tikr.com/account/subs?ref=q5ht48" xr:uid="{D589C720-879C-4515-A110-7D405886EC1C}"/>
    <hyperlink ref="B14" r:id="rId13" display="https://app.tikr.com/account/subs?ref=q5ht48" xr:uid="{53ECBA16-0721-43FA-AD2D-E81E06AF94BF}"/>
    <hyperlink ref="B15" r:id="rId14" display="https://app.tikr.com/account/subs?ref=q5ht48" xr:uid="{3A368700-9620-4921-B075-228C804016E3}"/>
    <hyperlink ref="C15" r:id="rId15" display="https://app.tikr.com/account/subs?ref=q5ht48" xr:uid="{BED52537-9632-4C57-BEE6-8A6502EA5AF4}"/>
    <hyperlink ref="B16" r:id="rId16" display="https://app.tikr.com/account/subs?ref=q5ht48" xr:uid="{B739C72E-D070-4D4B-BBA8-1FD0B6DF0379}"/>
    <hyperlink ref="B17" r:id="rId17" display="https://app.tikr.com/account/subs?ref=q5ht48" xr:uid="{9FB65355-6616-4AE3-86B6-5CED8E9AF485}"/>
    <hyperlink ref="B18" r:id="rId18" display="https://app.tikr.com/account/subs?ref=q5ht48" xr:uid="{C92B351C-2A23-48E3-90AD-013416B23D8E}"/>
    <hyperlink ref="B19" r:id="rId19" display="https://app.tikr.com/account/subs?ref=q5ht48" xr:uid="{6C536497-CA8C-4550-814A-C5F9DF009815}"/>
    <hyperlink ref="B20" r:id="rId20" display="https://app.tikr.com/account/subs?ref=q5ht48" xr:uid="{730B3A95-B0F3-4E15-A739-3DBB2DCBE144}"/>
    <hyperlink ref="B21" r:id="rId21" display="https://app.tikr.com/account/subs?ref=q5ht48" xr:uid="{5863767F-5D90-42FA-B6DB-F2B67B06BB13}"/>
    <hyperlink ref="B22" r:id="rId22" display="https://app.tikr.com/account/subs?ref=q5ht48" xr:uid="{CFE2059A-7087-4F17-9D01-43003A4F0B93}"/>
    <hyperlink ref="B28" r:id="rId23" display="https://app.tikr.com/account/subs?ref=q5ht48" xr:uid="{7E7AF7B7-E1AC-4267-9EDD-B0F3687CA9F6}"/>
    <hyperlink ref="B29" r:id="rId24" display="https://app.tikr.com/account/subs?ref=q5ht48" xr:uid="{11BE9EF0-2745-419D-A941-162B8C7BDE79}"/>
    <hyperlink ref="B30" r:id="rId25" display="https://app.tikr.com/account/subs?ref=q5ht48" xr:uid="{0DD48796-7054-431C-99C6-4F8AEDB33277}"/>
    <hyperlink ref="B32" r:id="rId26" display="https://app.tikr.com/account/subs?ref=q5ht48" xr:uid="{7E573DDF-FAAF-4652-BD66-314978CE9541}"/>
    <hyperlink ref="B33" r:id="rId27" display="https://app.tikr.com/account/subs?ref=q5ht48" xr:uid="{464A0370-0512-439C-A470-444C5EB5C1BC}"/>
    <hyperlink ref="B34" r:id="rId28" display="https://app.tikr.com/account/subs?ref=q5ht48" xr:uid="{D401ABF1-D429-4A37-816C-6461965D3239}"/>
    <hyperlink ref="B35" r:id="rId29" display="https://app.tikr.com/account/subs?ref=q5ht48" xr:uid="{0702E00B-4B2D-4D4E-A85B-1A60DF14FA33}"/>
    <hyperlink ref="B36" r:id="rId30" display="https://app.tikr.com/account/subs?ref=q5ht48" xr:uid="{FCA6A95F-23DA-4A74-8052-26CA5875459C}"/>
    <hyperlink ref="B37" r:id="rId31" display="https://app.tikr.com/account/subs?ref=q5ht48" xr:uid="{5167851C-6F62-4B57-99AA-FD0EE9AA5A84}"/>
    <hyperlink ref="B39" r:id="rId32" display="https://app.tikr.com/account/subs?ref=q5ht48" xr:uid="{B9B7106B-2E32-4C6F-88EA-AA0630A8D96F}"/>
    <hyperlink ref="B40" r:id="rId33" display="https://app.tikr.com/account/subs?ref=q5ht48" xr:uid="{C98E28BB-8715-435F-81A9-8BEE95C1E329}"/>
    <hyperlink ref="C40" r:id="rId34" display="https://app.tikr.com/account/subs?ref=q5ht48" xr:uid="{E5BB30C1-6977-4823-B60F-18F0546BE991}"/>
    <hyperlink ref="B41" r:id="rId35" display="https://app.tikr.com/account/subs?ref=q5ht48" xr:uid="{9C6B6A63-FA0D-40CB-853F-310045B6D8C8}"/>
    <hyperlink ref="B42" r:id="rId36" display="https://app.tikr.com/account/subs?ref=q5ht48" xr:uid="{E689302A-728D-45C1-87B3-39CE2F9872B3}"/>
    <hyperlink ref="C42" r:id="rId37" display="https://app.tikr.com/account/subs?ref=q5ht48" xr:uid="{0ACEEC07-395E-4653-A3E8-91F0F5A22EA5}"/>
    <hyperlink ref="B43" r:id="rId38" display="https://app.tikr.com/account/subs?ref=q5ht48" xr:uid="{25910C50-F5C3-4B2B-9E4B-EA87A3593636}"/>
    <hyperlink ref="B44" r:id="rId39" display="https://app.tikr.com/account/subs?ref=q5ht48" xr:uid="{1F613B42-4100-401D-9EB1-3FC9E1E1A168}"/>
    <hyperlink ref="C44" r:id="rId40" display="https://app.tikr.com/account/subs?ref=q5ht48" xr:uid="{C5CE3485-3589-4CE8-B545-9CBE27BB6E8A}"/>
    <hyperlink ref="B45" r:id="rId41" display="https://app.tikr.com/account/subs?ref=q5ht48" xr:uid="{5DB77F6D-5AEA-4640-9602-2AA95B427B32}"/>
    <hyperlink ref="B46" r:id="rId42" display="https://app.tikr.com/account/subs?ref=q5ht48" xr:uid="{3385AA4B-5B2B-4E98-8DD3-937EB39C008B}"/>
    <hyperlink ref="B47" r:id="rId43" display="https://app.tikr.com/account/subs?ref=q5ht48" xr:uid="{4E014A18-2717-456D-A5CB-5D2AE17F3720}"/>
    <hyperlink ref="C47" r:id="rId44" display="https://app.tikr.com/account/subs?ref=q5ht48" xr:uid="{C9AEA800-A150-4A04-9218-DAB09D3BB9FD}"/>
    <hyperlink ref="B48" r:id="rId45" display="https://app.tikr.com/account/subs?ref=q5ht48" xr:uid="{C6393A83-37A7-46D4-A3C7-26FFAFF0D65C}"/>
    <hyperlink ref="B49" r:id="rId46" display="https://app.tikr.com/account/subs?ref=q5ht48" xr:uid="{A02DF3F8-7E60-4860-BD5C-91073D4C0CA1}"/>
    <hyperlink ref="B50" r:id="rId47" display="https://app.tikr.com/account/subs?ref=q5ht48" xr:uid="{9E0C6A80-46CD-409F-852D-A40006567B63}"/>
    <hyperlink ref="B51" r:id="rId48" display="https://app.tikr.com/account/subs?ref=q5ht48" xr:uid="{D2AE9776-7A2F-4FBB-B20F-ED46AA9505CE}"/>
    <hyperlink ref="B52" r:id="rId49" display="https://app.tikr.com/account/subs?ref=q5ht48" xr:uid="{7DAAC521-61BA-4071-8708-17641F21871E}"/>
  </hyperlinks>
  <pageMargins left="0.7" right="0.7" top="0.75" bottom="0.75" header="0.3" footer="0.3"/>
  <pageSetup paperSize="9" orientation="portrait" r:id="rId5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9177-8C12-4DAE-BC92-341E1BE91BF7}">
  <sheetPr codeName="Hoja14"/>
  <dimension ref="A1"/>
  <sheetViews>
    <sheetView workbookViewId="0"/>
    <sheetView workbookViewId="1"/>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Financials</vt:lpstr>
      <vt:lpstr>Tracking</vt:lpstr>
      <vt:lpstr>Options</vt:lpstr>
      <vt:lpstr>IncomeStatement</vt:lpstr>
      <vt:lpstr>BalanceSheet</vt:lpstr>
      <vt:lpstr>CashFlow</vt:lpstr>
      <vt:lpstr>Ratios</vt:lpstr>
      <vt:lpstr>Bible</vt:lpstr>
      <vt:lpstr>Processed</vt:lpstr>
      <vt:lpstr>ProcessedQ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J700070 Hernandx</dc:creator>
  <cp:lastModifiedBy>J700070 Hernandx</cp:lastModifiedBy>
  <dcterms:created xsi:type="dcterms:W3CDTF">2015-06-05T18:17:20Z</dcterms:created>
  <dcterms:modified xsi:type="dcterms:W3CDTF">2023-01-21T16:18:31Z</dcterms:modified>
</cp:coreProperties>
</file>