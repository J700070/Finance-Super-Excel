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juani\Documents\Coding Projects\Python Projects\Excel_python\Finance-Super-Excel\"/>
    </mc:Choice>
  </mc:AlternateContent>
  <xr:revisionPtr revIDLastSave="0" documentId="13_ncr:1_{CD105213-8D79-4065-8055-2C35D704B6BC}" xr6:coauthVersionLast="47" xr6:coauthVersionMax="47" xr10:uidLastSave="{00000000-0000-0000-0000-000000000000}"/>
  <bookViews>
    <workbookView xWindow="-120" yWindow="-120" windowWidth="28110" windowHeight="16440" xr2:uid="{00000000-000D-0000-FFFF-FFFF00000000}"/>
  </bookViews>
  <sheets>
    <sheet name="Financials" sheetId="4" r:id="rId1"/>
    <sheet name="Tracking" sheetId="7" r:id="rId2"/>
    <sheet name="Bible" sheetId="6" r:id="rId3"/>
    <sheet name="Options" sheetId="5" r:id="rId4"/>
    <sheet name="Processed" sheetId="3" r:id="rId5"/>
    <sheet name="Dump" sheetId="2" r:id="rId6"/>
    <sheet name="DumpQ" sheetId="8" r:id="rId7"/>
    <sheet name="ProcessedQ" sheetId="9" r:id="rId8"/>
  </sheets>
  <calcPr calcId="191029"/>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printX">
          <x14:argumentDescriptions count="1">
            <x14:argumentDescription index="0">Positional argument 1</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17" i="7" l="1"/>
  <c r="T14" i="4" l="1"/>
  <c r="AE16" i="4" l="1"/>
  <c r="E28" i="7" a="1"/>
  <c r="E28" i="7" s="1"/>
  <c r="C28" i="7" a="1"/>
  <c r="C28" i="7" s="1"/>
  <c r="A28" i="7" a="1"/>
  <c r="A28" i="7" s="1"/>
  <c r="E3" i="7" a="1"/>
  <c r="E3" i="7" s="1"/>
  <c r="G3" i="7" s="1"/>
  <c r="E23" i="7" a="1"/>
  <c r="E23" i="7" s="1"/>
  <c r="C23" i="7" a="1"/>
  <c r="C23" i="7" s="1"/>
  <c r="A23" i="7" a="1"/>
  <c r="A23" i="7" s="1"/>
  <c r="E19" i="7" a="1"/>
  <c r="E19" i="7" s="1"/>
  <c r="C19" i="7" a="1"/>
  <c r="C19" i="7" s="1"/>
  <c r="A19" i="7" a="1"/>
  <c r="A19" i="7" s="1"/>
  <c r="T34" i="7"/>
  <c r="Q34" i="7"/>
  <c r="P34" i="7"/>
  <c r="O34" i="7"/>
  <c r="N34" i="7"/>
  <c r="M34" i="7"/>
  <c r="L34" i="7"/>
  <c r="I34" i="7"/>
  <c r="B34" i="7"/>
  <c r="E26" i="7" a="1"/>
  <c r="E26" i="7" s="1"/>
  <c r="C26" i="7" a="1"/>
  <c r="C26" i="7" s="1"/>
  <c r="A26" i="7" a="1"/>
  <c r="A26" i="7" s="1"/>
  <c r="H23" i="7" l="1"/>
  <c r="G23" i="7"/>
  <c r="H26" i="7"/>
  <c r="G26" i="7"/>
  <c r="H28" i="7"/>
  <c r="G28" i="7"/>
  <c r="H19" i="7"/>
  <c r="G19" i="7"/>
  <c r="E13" i="7" a="1"/>
  <c r="E13" i="7" s="1"/>
  <c r="C13" i="7" a="1"/>
  <c r="C13" i="7" s="1"/>
  <c r="A13" i="7" a="1"/>
  <c r="A13" i="7" s="1"/>
  <c r="I2" i="4" a="1"/>
  <c r="I2" i="4" s="1"/>
  <c r="E33" i="7" a="1"/>
  <c r="E33" i="7" s="1"/>
  <c r="E9" i="7" a="1"/>
  <c r="E9" i="7" s="1"/>
  <c r="E8" i="7" a="1"/>
  <c r="E8" i="7" s="1"/>
  <c r="C20" i="7" a="1"/>
  <c r="C20" i="7" s="1"/>
  <c r="C5" i="7" a="1"/>
  <c r="C5" i="7" s="1"/>
  <c r="C21" i="7" a="1"/>
  <c r="C21" i="7" s="1"/>
  <c r="C32" i="7" a="1"/>
  <c r="C32" i="7" s="1"/>
  <c r="C30" i="7" a="1"/>
  <c r="C30" i="7" s="1"/>
  <c r="C31" i="7" a="1"/>
  <c r="C31" i="7" s="1"/>
  <c r="C33" i="7" a="1"/>
  <c r="C33" i="7" s="1"/>
  <c r="C4" i="7" a="1"/>
  <c r="C4" i="7" s="1"/>
  <c r="C22" i="7" a="1"/>
  <c r="C22" i="7" s="1"/>
  <c r="C9" i="7" a="1"/>
  <c r="C9" i="7" s="1"/>
  <c r="C11" i="7" a="1"/>
  <c r="C11" i="7" s="1"/>
  <c r="C8" i="7" a="1"/>
  <c r="C8" i="7" s="1"/>
  <c r="C29" i="7" a="1"/>
  <c r="C29" i="7" s="1"/>
  <c r="C27" i="7" a="1"/>
  <c r="C27" i="7" s="1"/>
  <c r="C24" i="7" a="1"/>
  <c r="C24" i="7" s="1"/>
  <c r="A21" i="7" a="1"/>
  <c r="A21" i="7" s="1"/>
  <c r="A32" i="7" a="1"/>
  <c r="A32" i="7" s="1"/>
  <c r="A30" i="7" a="1"/>
  <c r="A30" i="7" s="1"/>
  <c r="A31" i="7" a="1"/>
  <c r="A31" i="7" s="1"/>
  <c r="A33" i="7" a="1"/>
  <c r="A33" i="7" s="1"/>
  <c r="A4" i="7" a="1"/>
  <c r="A4" i="7" s="1"/>
  <c r="A22" i="7" a="1"/>
  <c r="A22" i="7" s="1"/>
  <c r="A9" i="7" a="1"/>
  <c r="A9" i="7" s="1"/>
  <c r="A11" i="7" a="1"/>
  <c r="A11" i="7" s="1"/>
  <c r="A8" i="7" a="1"/>
  <c r="A8" i="7" s="1"/>
  <c r="A29" i="7" a="1"/>
  <c r="A29" i="7" s="1"/>
  <c r="A27" i="7" a="1"/>
  <c r="A27" i="7" s="1"/>
  <c r="A24" i="7" a="1"/>
  <c r="A24" i="7" s="1"/>
  <c r="E4" i="7" a="1"/>
  <c r="E4" i="7" s="1"/>
  <c r="E22" i="7" a="1"/>
  <c r="E22" i="7" s="1"/>
  <c r="E11" i="7" a="1"/>
  <c r="E11" i="7" s="1"/>
  <c r="E29" i="7" a="1"/>
  <c r="E29" i="7" s="1"/>
  <c r="E27" i="7" a="1"/>
  <c r="E27" i="7" s="1"/>
  <c r="E24" i="7" a="1"/>
  <c r="E24" i="7" s="1"/>
  <c r="H17" i="7"/>
  <c r="C25" i="7" a="1"/>
  <c r="C25" i="7" s="1"/>
  <c r="C2" i="7" a="1"/>
  <c r="C2" i="7" s="1"/>
  <c r="C16" i="7" a="1"/>
  <c r="C16" i="7" s="1"/>
  <c r="C14" i="7" a="1"/>
  <c r="C14" i="7" s="1"/>
  <c r="C10" i="7" a="1"/>
  <c r="C10" i="7" s="1"/>
  <c r="C12" i="7" a="1"/>
  <c r="C12" i="7" s="1"/>
  <c r="C18" i="7" a="1"/>
  <c r="C18" i="7" s="1"/>
  <c r="C7" i="7" a="1"/>
  <c r="C7" i="7" s="1"/>
  <c r="C6" i="7" a="1"/>
  <c r="C6" i="7" s="1"/>
  <c r="C15" i="7" a="1"/>
  <c r="C15" i="7" s="1"/>
  <c r="C3" i="7" a="1"/>
  <c r="C3" i="7" s="1"/>
  <c r="E5" i="7" a="1"/>
  <c r="E5" i="7" s="1"/>
  <c r="E30" i="7" a="1"/>
  <c r="E30" i="7" s="1"/>
  <c r="E32" i="7" a="1"/>
  <c r="E32" i="7" s="1"/>
  <c r="E21" i="7" a="1"/>
  <c r="E21" i="7" s="1"/>
  <c r="E31" i="7" a="1"/>
  <c r="E31" i="7" s="1"/>
  <c r="E25" i="7" a="1"/>
  <c r="E25" i="7" s="1"/>
  <c r="E20" i="7" a="1"/>
  <c r="E20" i="7" s="1"/>
  <c r="E2" i="7" a="1"/>
  <c r="E2" i="7" s="1"/>
  <c r="E16" i="7" a="1"/>
  <c r="E16" i="7" s="1"/>
  <c r="E14" i="7" a="1"/>
  <c r="E14" i="7" s="1"/>
  <c r="E10" i="7" a="1"/>
  <c r="E10" i="7" s="1"/>
  <c r="E12" i="7" a="1"/>
  <c r="E12" i="7" s="1"/>
  <c r="E18" i="7" a="1"/>
  <c r="E18" i="7" s="1"/>
  <c r="E7" i="7" a="1"/>
  <c r="E7" i="7" s="1"/>
  <c r="E6" i="7" a="1"/>
  <c r="E6" i="7" s="1"/>
  <c r="E15" i="7" a="1"/>
  <c r="E15" i="7" s="1"/>
  <c r="H3" i="7"/>
  <c r="A7" i="7" a="1"/>
  <c r="A7" i="7" s="1"/>
  <c r="A18" i="7" a="1"/>
  <c r="A18" i="7" s="1"/>
  <c r="A12" i="7" a="1"/>
  <c r="A12" i="7" s="1"/>
  <c r="A10" i="7" a="1"/>
  <c r="A10" i="7" s="1"/>
  <c r="A14" i="7" a="1"/>
  <c r="A14" i="7" s="1"/>
  <c r="A16" i="7" a="1"/>
  <c r="A16" i="7" s="1"/>
  <c r="A2" i="7" a="1"/>
  <c r="A2" i="7" s="1"/>
  <c r="A20" i="7" a="1"/>
  <c r="A20" i="7" s="1"/>
  <c r="A25" i="7" a="1"/>
  <c r="A25" i="7" s="1"/>
  <c r="A5" i="7" a="1"/>
  <c r="A5" i="7" s="1"/>
  <c r="A6" i="7" a="1"/>
  <c r="A6" i="7" s="1"/>
  <c r="A15" i="7" a="1"/>
  <c r="A15" i="7" s="1"/>
  <c r="A3" i="7" a="1"/>
  <c r="A3" i="7" s="1"/>
  <c r="A12" i="4"/>
  <c r="A6" i="4"/>
  <c r="R34" i="4"/>
  <c r="R47" i="4"/>
  <c r="U54" i="4"/>
  <c r="T54" i="4"/>
  <c r="S54" i="4"/>
  <c r="R54" i="4"/>
  <c r="R53" i="4"/>
  <c r="R52" i="4"/>
  <c r="R51" i="4"/>
  <c r="R50" i="4"/>
  <c r="U34" i="4"/>
  <c r="T34" i="4"/>
  <c r="S34" i="4"/>
  <c r="AD4" i="4"/>
  <c r="AD5" i="4" s="1"/>
  <c r="J5" i="4" a="1"/>
  <c r="J5" i="4" s="1"/>
  <c r="N8" i="4" s="1"/>
  <c r="N9" i="4"/>
  <c r="K9" i="4" a="1"/>
  <c r="K9" i="4" s="1"/>
  <c r="K8" i="4" a="1"/>
  <c r="K8" i="4" s="1"/>
  <c r="M6" i="4" a="1"/>
  <c r="M6" i="4" s="1"/>
  <c r="L6" i="4" a="1"/>
  <c r="L6" i="4" s="1"/>
  <c r="L2" i="4" a="1"/>
  <c r="L2" i="4" s="1"/>
  <c r="D4" i="4" a="1"/>
  <c r="D4" i="4" s="1"/>
  <c r="U21" i="4"/>
  <c r="T21" i="4"/>
  <c r="S21" i="4"/>
  <c r="R21" i="4"/>
  <c r="U23" i="4"/>
  <c r="T23" i="4"/>
  <c r="S23" i="4"/>
  <c r="R23" i="4"/>
  <c r="U22" i="4"/>
  <c r="T22" i="4"/>
  <c r="S22" i="4"/>
  <c r="R22" i="4"/>
  <c r="U52" i="4"/>
  <c r="T52" i="4"/>
  <c r="S52" i="4"/>
  <c r="U51" i="4"/>
  <c r="T51" i="4"/>
  <c r="S51" i="4"/>
  <c r="U50" i="4"/>
  <c r="T50" i="4"/>
  <c r="S50" i="4"/>
  <c r="U33" i="4"/>
  <c r="T33" i="4"/>
  <c r="S33" i="4"/>
  <c r="R33" i="4"/>
  <c r="U32" i="4"/>
  <c r="T32" i="4"/>
  <c r="S32" i="4"/>
  <c r="R32" i="4"/>
  <c r="U47" i="4"/>
  <c r="T47" i="4"/>
  <c r="S47" i="4"/>
  <c r="U46" i="4"/>
  <c r="T46" i="4"/>
  <c r="S46" i="4"/>
  <c r="R46" i="4"/>
  <c r="U45" i="4"/>
  <c r="T45" i="4"/>
  <c r="S45" i="4"/>
  <c r="R45" i="4"/>
  <c r="U44" i="4"/>
  <c r="T44" i="4"/>
  <c r="S44" i="4"/>
  <c r="R44" i="4"/>
  <c r="U43" i="4"/>
  <c r="T43" i="4"/>
  <c r="S43" i="4"/>
  <c r="R43" i="4"/>
  <c r="U42" i="4"/>
  <c r="T42" i="4"/>
  <c r="S42" i="4"/>
  <c r="R42" i="4"/>
  <c r="U41" i="4"/>
  <c r="T41" i="4"/>
  <c r="S41" i="4"/>
  <c r="R41" i="4"/>
  <c r="U40" i="4"/>
  <c r="T40" i="4"/>
  <c r="S40" i="4"/>
  <c r="R40" i="4"/>
  <c r="U39" i="4"/>
  <c r="T39" i="4"/>
  <c r="S39" i="4"/>
  <c r="R39" i="4"/>
  <c r="U38" i="4"/>
  <c r="T38" i="4"/>
  <c r="S38" i="4"/>
  <c r="R38" i="4"/>
  <c r="U37" i="4"/>
  <c r="T37" i="4"/>
  <c r="S37" i="4"/>
  <c r="R37" i="4"/>
  <c r="U30" i="4"/>
  <c r="T30" i="4"/>
  <c r="A9" i="4" s="1"/>
  <c r="S30" i="4"/>
  <c r="R30" i="4"/>
  <c r="U29" i="4"/>
  <c r="T29" i="4"/>
  <c r="S29" i="4"/>
  <c r="R29" i="4"/>
  <c r="R28" i="4"/>
  <c r="S28" i="4"/>
  <c r="T28" i="4"/>
  <c r="U28" i="4"/>
  <c r="U27" i="4"/>
  <c r="T27" i="4"/>
  <c r="S27" i="4"/>
  <c r="R27" i="4"/>
  <c r="U26" i="4"/>
  <c r="T26" i="4"/>
  <c r="S26" i="4"/>
  <c r="R26" i="4"/>
  <c r="U25" i="4"/>
  <c r="T25" i="4"/>
  <c r="S25" i="4"/>
  <c r="R25" i="4"/>
  <c r="U24" i="4"/>
  <c r="T24" i="4"/>
  <c r="S24" i="4"/>
  <c r="R24" i="4"/>
  <c r="U31" i="4"/>
  <c r="T31" i="4"/>
  <c r="S31" i="4"/>
  <c r="R31" i="4"/>
  <c r="H32" i="7" l="1"/>
  <c r="G32" i="7"/>
  <c r="H14" i="7"/>
  <c r="G14" i="7"/>
  <c r="H30" i="7"/>
  <c r="G30" i="7"/>
  <c r="H29" i="7"/>
  <c r="G29" i="7"/>
  <c r="H8" i="7"/>
  <c r="G8" i="7"/>
  <c r="H16" i="7"/>
  <c r="G16" i="7"/>
  <c r="H5" i="7"/>
  <c r="G5" i="7"/>
  <c r="H11" i="7"/>
  <c r="G11" i="7"/>
  <c r="H9" i="7"/>
  <c r="G9" i="7"/>
  <c r="H27" i="7"/>
  <c r="G27" i="7"/>
  <c r="H15" i="7"/>
  <c r="G15" i="7"/>
  <c r="H2" i="7"/>
  <c r="H34" i="7" s="1"/>
  <c r="G2" i="7"/>
  <c r="H22" i="7"/>
  <c r="G22" i="7"/>
  <c r="H33" i="7"/>
  <c r="G33" i="7"/>
  <c r="H10" i="7"/>
  <c r="G10" i="7"/>
  <c r="H6" i="7"/>
  <c r="G6" i="7"/>
  <c r="H20" i="7"/>
  <c r="G20" i="7"/>
  <c r="H4" i="7"/>
  <c r="G4" i="7"/>
  <c r="H25" i="7"/>
  <c r="G25" i="7"/>
  <c r="H7" i="7"/>
  <c r="G7" i="7"/>
  <c r="H18" i="7"/>
  <c r="G18" i="7"/>
  <c r="H31" i="7"/>
  <c r="G31" i="7"/>
  <c r="H12" i="7"/>
  <c r="G12" i="7"/>
  <c r="H21" i="7"/>
  <c r="G21" i="7"/>
  <c r="H24" i="7"/>
  <c r="G24" i="7"/>
  <c r="H13" i="7"/>
  <c r="G13" i="7"/>
  <c r="K17" i="4"/>
  <c r="S7" i="4" s="1"/>
  <c r="R5" i="4"/>
  <c r="U55" i="4"/>
  <c r="S55" i="4"/>
  <c r="R55" i="4"/>
  <c r="T55" i="4"/>
  <c r="U53" i="4"/>
  <c r="S53" i="4"/>
  <c r="T53" i="4"/>
  <c r="AD6" i="4"/>
  <c r="S5" i="4"/>
  <c r="R7" i="4" l="1"/>
  <c r="U7" i="4"/>
  <c r="A15" i="4" s="1"/>
  <c r="T7" i="4"/>
  <c r="AD7" i="4"/>
  <c r="T5" i="4"/>
  <c r="U5" i="4"/>
  <c r="AD8" i="4" l="1"/>
  <c r="AD9" i="4" s="1"/>
  <c r="AD10" i="4" s="1"/>
  <c r="AD11" i="4" s="1"/>
  <c r="AD12" i="4" s="1"/>
  <c r="AD13" i="4" s="1"/>
  <c r="AD14" i="4" s="1"/>
  <c r="AE15" i="4" s="1"/>
  <c r="S16" i="4" l="1"/>
  <c r="U17" i="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1">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1"/>
        </ext>
      </extLst>
    </bk>
    <bk>
      <extLst>
        <ext uri="{3e2802c4-a4d2-4d8b-9148-e3be6c30e623}">
          <xlrd:rvb i="44"/>
        </ext>
      </extLst>
    </bk>
    <bk>
      <extLst>
        <ext uri="{3e2802c4-a4d2-4d8b-9148-e3be6c30e623}">
          <xlrd:rvb i="47"/>
        </ext>
      </extLst>
    </bk>
    <bk>
      <extLst>
        <ext uri="{3e2802c4-a4d2-4d8b-9148-e3be6c30e623}">
          <xlrd:rvb i="50"/>
        </ext>
      </extLst>
    </bk>
    <bk>
      <extLst>
        <ext uri="{3e2802c4-a4d2-4d8b-9148-e3be6c30e623}">
          <xlrd:rvb i="53"/>
        </ext>
      </extLst>
    </bk>
    <bk>
      <extLst>
        <ext uri="{3e2802c4-a4d2-4d8b-9148-e3be6c30e623}">
          <xlrd:rvb i="56"/>
        </ext>
      </extLst>
    </bk>
    <bk>
      <extLst>
        <ext uri="{3e2802c4-a4d2-4d8b-9148-e3be6c30e623}">
          <xlrd:rvb i="59"/>
        </ext>
      </extLst>
    </bk>
    <bk>
      <extLst>
        <ext uri="{3e2802c4-a4d2-4d8b-9148-e3be6c30e623}">
          <xlrd:rvb i="62"/>
        </ext>
      </extLst>
    </bk>
    <bk>
      <extLst>
        <ext uri="{3e2802c4-a4d2-4d8b-9148-e3be6c30e623}">
          <xlrd:rvb i="65"/>
        </ext>
      </extLst>
    </bk>
    <bk>
      <extLst>
        <ext uri="{3e2802c4-a4d2-4d8b-9148-e3be6c30e623}">
          <xlrd:rvb i="68"/>
        </ext>
      </extLst>
    </bk>
    <bk>
      <extLst>
        <ext uri="{3e2802c4-a4d2-4d8b-9148-e3be6c30e623}">
          <xlrd:rvb i="71"/>
        </ext>
      </extLst>
    </bk>
    <bk>
      <extLst>
        <ext uri="{3e2802c4-a4d2-4d8b-9148-e3be6c30e623}">
          <xlrd:rvb i="74"/>
        </ext>
      </extLst>
    </bk>
    <bk>
      <extLst>
        <ext uri="{3e2802c4-a4d2-4d8b-9148-e3be6c30e623}">
          <xlrd:rvb i="77"/>
        </ext>
      </extLst>
    </bk>
    <bk>
      <extLst>
        <ext uri="{3e2802c4-a4d2-4d8b-9148-e3be6c30e623}">
          <xlrd:rvb i="80"/>
        </ext>
      </extLst>
    </bk>
    <bk>
      <extLst>
        <ext uri="{3e2802c4-a4d2-4d8b-9148-e3be6c30e623}">
          <xlrd:rvb i="83"/>
        </ext>
      </extLst>
    </bk>
    <bk>
      <extLst>
        <ext uri="{3e2802c4-a4d2-4d8b-9148-e3be6c30e623}">
          <xlrd:rvb i="86"/>
        </ext>
      </extLst>
    </bk>
    <bk>
      <extLst>
        <ext uri="{3e2802c4-a4d2-4d8b-9148-e3be6c30e623}">
          <xlrd:rvb i="89"/>
        </ext>
      </extLst>
    </bk>
    <bk>
      <extLst>
        <ext uri="{3e2802c4-a4d2-4d8b-9148-e3be6c30e623}">
          <xlrd:rvb i="92"/>
        </ext>
      </extLst>
    </bk>
  </futureMetadata>
  <cellMetadata count="1">
    <bk>
      <rc t="1" v="0"/>
    </bk>
  </cellMetadata>
  <valueMetadata count="31">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valueMetadata>
</metadata>
</file>

<file path=xl/sharedStrings.xml><?xml version="1.0" encoding="utf-8"?>
<sst xmlns="http://schemas.openxmlformats.org/spreadsheetml/2006/main" count="251" uniqueCount="132">
  <si>
    <t xml:space="preserve"> </t>
  </si>
  <si>
    <t>Revenue</t>
  </si>
  <si>
    <t>Gross Profit</t>
  </si>
  <si>
    <t>EBITDA</t>
  </si>
  <si>
    <t>Operating Income</t>
  </si>
  <si>
    <t>Net Income</t>
  </si>
  <si>
    <t>EPS</t>
  </si>
  <si>
    <t>Short-Term Investments</t>
  </si>
  <si>
    <t>Cash and Short-Term Investments</t>
  </si>
  <si>
    <t>Short-Term Debt</t>
  </si>
  <si>
    <t>Long-Term Debt</t>
  </si>
  <si>
    <t>Free Cash Flow</t>
  </si>
  <si>
    <t>FCF per share</t>
  </si>
  <si>
    <t>Book value per share</t>
  </si>
  <si>
    <t>Total Debt</t>
  </si>
  <si>
    <t>Net Debt</t>
  </si>
  <si>
    <t>Revenue per share</t>
  </si>
  <si>
    <t>Operating Income per share</t>
  </si>
  <si>
    <t>Dividends per share</t>
  </si>
  <si>
    <t>Units in:</t>
  </si>
  <si>
    <t>R&amp;D %</t>
  </si>
  <si>
    <t>SG&amp;A %</t>
  </si>
  <si>
    <t>Other %</t>
  </si>
  <si>
    <t>Depreciation &amp; Amortization %</t>
  </si>
  <si>
    <t>Interest Income %</t>
  </si>
  <si>
    <t>y/y</t>
  </si>
  <si>
    <t>3y. CAGR</t>
  </si>
  <si>
    <t>5y. CAGR</t>
  </si>
  <si>
    <t>9y. CAGR</t>
  </si>
  <si>
    <t>Shares</t>
  </si>
  <si>
    <t>Shares Diluted</t>
  </si>
  <si>
    <t>Revenue %</t>
  </si>
  <si>
    <t>Return on Assets %</t>
  </si>
  <si>
    <t>Return on Equity %</t>
  </si>
  <si>
    <t>Return on Invested Capital %</t>
  </si>
  <si>
    <t>Price</t>
  </si>
  <si>
    <t>Industry:</t>
  </si>
  <si>
    <t>Change:</t>
  </si>
  <si>
    <t>Billions</t>
  </si>
  <si>
    <t>52 W. High:</t>
  </si>
  <si>
    <t>52 W. Low:</t>
  </si>
  <si>
    <t>Market Cap:</t>
  </si>
  <si>
    <t>Valuation Summary</t>
  </si>
  <si>
    <t>Dividend Yield:</t>
  </si>
  <si>
    <t>Dividend Payout:</t>
  </si>
  <si>
    <t>Institutional Ownership</t>
  </si>
  <si>
    <t>Insider Ownership</t>
  </si>
  <si>
    <t>PER</t>
  </si>
  <si>
    <t>P/FCF</t>
  </si>
  <si>
    <t>PEG</t>
  </si>
  <si>
    <t>Earnings Yield</t>
  </si>
  <si>
    <t>Enterprise Value</t>
  </si>
  <si>
    <t>Cash &amp; Investments</t>
  </si>
  <si>
    <t>Net Debt w/Investments</t>
  </si>
  <si>
    <t>Cash &amp; Cash Equivalents</t>
  </si>
  <si>
    <t>Cash &amp; Short-Term Investments</t>
  </si>
  <si>
    <t>Long-Term Investements</t>
  </si>
  <si>
    <t>B</t>
  </si>
  <si>
    <t>EV/FCF</t>
  </si>
  <si>
    <t>EV/E</t>
  </si>
  <si>
    <t>EV/FCF/G</t>
  </si>
  <si>
    <t>FCF Yield</t>
  </si>
  <si>
    <t>Growth 1-5 years:</t>
  </si>
  <si>
    <t>Growth 6-10 years:</t>
  </si>
  <si>
    <t>Interest Rate:</t>
  </si>
  <si>
    <t>Exit Multiple:</t>
  </si>
  <si>
    <t>Earnings:</t>
  </si>
  <si>
    <t>Mult:</t>
  </si>
  <si>
    <t>ROE:</t>
  </si>
  <si>
    <t>ROA:</t>
  </si>
  <si>
    <t>Assets required to generate a certain amount of net income</t>
  </si>
  <si>
    <t>Equity required to generate a certain amount of net income</t>
  </si>
  <si>
    <t>ROIC:</t>
  </si>
  <si>
    <t>How much net income does a company generate with all its capital</t>
  </si>
  <si>
    <t>Asset Turnover Ratio:</t>
  </si>
  <si>
    <t>How dependent is a company on its assets to generate revenue / How efficient is using its assets to generate revenue</t>
  </si>
  <si>
    <t>Asset Turnover Ratio</t>
  </si>
  <si>
    <t>Inventory Turnover</t>
  </si>
  <si>
    <t>Inventory Turnover:</t>
  </si>
  <si>
    <t>How many times per year does a company sell off all its Inventory?</t>
  </si>
  <si>
    <t>Receivables Turnover</t>
  </si>
  <si>
    <t>Return on Capital Employed %</t>
  </si>
  <si>
    <t>Cash Flow Return on Investment %</t>
  </si>
  <si>
    <t>Gross Margin %</t>
  </si>
  <si>
    <t>EBITDA Margin %</t>
  </si>
  <si>
    <t>Operating Margin %</t>
  </si>
  <si>
    <t>Net Margin %</t>
  </si>
  <si>
    <t>Free Cash Flow Margin %</t>
  </si>
  <si>
    <t>Roic</t>
  </si>
  <si>
    <t>FCF Growth</t>
  </si>
  <si>
    <t>Gross Margin</t>
  </si>
  <si>
    <t>Upside</t>
  </si>
  <si>
    <t>X</t>
  </si>
  <si>
    <t>ALTO</t>
  </si>
  <si>
    <t>MUY ALINEADA</t>
  </si>
  <si>
    <t>MEDIO</t>
  </si>
  <si>
    <t>MUY BAJO</t>
  </si>
  <si>
    <t>CAJA</t>
  </si>
  <si>
    <t>AMPLIO</t>
  </si>
  <si>
    <t>BAJO</t>
  </si>
  <si>
    <t>GRANDE</t>
  </si>
  <si>
    <t>BAJA</t>
  </si>
  <si>
    <t>MEDIA</t>
  </si>
  <si>
    <t>ALINEADA</t>
  </si>
  <si>
    <t>Premier Antiaging Co</t>
  </si>
  <si>
    <t>Cosmetics</t>
  </si>
  <si>
    <t>Ticker</t>
  </si>
  <si>
    <t>Nombre</t>
  </si>
  <si>
    <t>Sector</t>
  </si>
  <si>
    <t>Precio</t>
  </si>
  <si>
    <t>Objetivo</t>
  </si>
  <si>
    <t>Valoración</t>
  </si>
  <si>
    <t>Moat</t>
  </si>
  <si>
    <t>Deuda</t>
  </si>
  <si>
    <t>Directiva</t>
  </si>
  <si>
    <t>Last Modified</t>
  </si>
  <si>
    <t>ALTA</t>
  </si>
  <si>
    <t>CFROIC</t>
  </si>
  <si>
    <t>Current Ratio</t>
  </si>
  <si>
    <t>Z-Score</t>
  </si>
  <si>
    <t>EBITDA / Net Debt</t>
  </si>
  <si>
    <t>M. Bruto</t>
  </si>
  <si>
    <t>M. Neto</t>
  </si>
  <si>
    <t>Riesgo</t>
  </si>
  <si>
    <t>Δ FCF</t>
  </si>
  <si>
    <t>Δ EPS</t>
  </si>
  <si>
    <t>Δ Rev.</t>
  </si>
  <si>
    <t>Total</t>
  </si>
  <si>
    <t>MALA</t>
  </si>
  <si>
    <t>IR</t>
  </si>
  <si>
    <t>CAGR</t>
  </si>
  <si>
    <t>TTM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</si>
</sst>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 #,##0.00\ &quot;€&quot;_-;\-* #,##0.00\ &quot;€&quot;_-;_-* &quot;-&quot;??\ &quot;€&quot;_-;_-@_-"/>
    <numFmt numFmtId="164" formatCode="#,##0.0"/>
    <numFmt numFmtId="165" formatCode="_([$$-409]* #,##0.00_);_([$$-409]* \(#,##0.00\);_([$$-409]* &quot;-&quot;??_);_(@_)"/>
    <numFmt numFmtId="166" formatCode="0.0"/>
    <numFmt numFmtId="167" formatCode="_-[$$-409]* #,##0.00_ ;_-[$$-409]* \-#,##0.00\ ;_-[$$-409]* &quot;-&quot;??_ ;_-@_ "/>
    <numFmt numFmtId="168" formatCode="_([$€-2]\ * #,##0.00_);_([$€-2]\ * \(#,##0.00\);_([$€-2]\ * &quot;-&quot;??_);_(@_)"/>
    <numFmt numFmtId="169" formatCode="_-* #,##0.00\ [$zł-415]_-;\-* #,##0.00\ [$zł-415]_-;_-* &quot;-&quot;??\ [$zł-415]_-;_-@_-"/>
    <numFmt numFmtId="170" formatCode="_([$$-409]* #,##0.00_);_([$$-409]* \(#,##0.00\);_([$$-409]* &quot;-&quot;_);_(@_)"/>
    <numFmt numFmtId="171" formatCode="##.0\x"/>
  </numFmts>
  <fonts count="34" x14ac:knownFonts="1">
    <font>
      <sz val="11"/>
      <color theme="1"/>
      <name val="Calibri"/>
      <family val="2"/>
      <scheme val="minor"/>
    </font>
    <font>
      <sz val="11"/>
      <color theme="1"/>
      <name val="Calibri"/>
      <family val="2"/>
      <scheme val="minor"/>
    </font>
    <font>
      <u/>
      <sz val="11"/>
      <color theme="10"/>
      <name val="Calibri"/>
      <family val="2"/>
      <scheme val="minor"/>
    </font>
    <font>
      <sz val="11"/>
      <color theme="1"/>
      <name val="Calibri Light"/>
      <family val="2"/>
      <scheme val="major"/>
    </font>
    <font>
      <i/>
      <sz val="11"/>
      <color theme="1"/>
      <name val="Calibri Light"/>
      <family val="2"/>
      <scheme val="major"/>
    </font>
    <font>
      <b/>
      <sz val="11"/>
      <color theme="1"/>
      <name val="Calibri Light"/>
      <family val="2"/>
      <scheme val="major"/>
    </font>
    <font>
      <b/>
      <sz val="18"/>
      <color theme="1"/>
      <name val="Calibri Light"/>
      <family val="2"/>
      <scheme val="major"/>
    </font>
    <font>
      <sz val="18"/>
      <color theme="1"/>
      <name val="Calibri Light"/>
      <family val="2"/>
      <scheme val="major"/>
    </font>
    <font>
      <sz val="11"/>
      <color theme="10"/>
      <name val="Calibri"/>
      <family val="2"/>
      <scheme val="minor"/>
    </font>
    <font>
      <sz val="12"/>
      <color theme="1"/>
      <name val="Calibri Light"/>
      <family val="2"/>
      <scheme val="major"/>
    </font>
    <font>
      <sz val="14"/>
      <color theme="1"/>
      <name val="Calibri Light"/>
      <family val="2"/>
      <scheme val="major"/>
    </font>
    <font>
      <sz val="16"/>
      <color theme="1"/>
      <name val="Calibri Light"/>
      <family val="2"/>
      <scheme val="major"/>
    </font>
    <font>
      <sz val="20"/>
      <color theme="1"/>
      <name val="Calibri Light"/>
      <family val="2"/>
      <scheme val="major"/>
    </font>
    <font>
      <sz val="10"/>
      <color theme="1"/>
      <name val="Calibri Light"/>
      <family val="2"/>
      <scheme val="major"/>
    </font>
    <font>
      <b/>
      <sz val="11"/>
      <color theme="1"/>
      <name val="Calibri"/>
      <family val="2"/>
      <scheme val="minor"/>
    </font>
    <font>
      <b/>
      <sz val="20"/>
      <color theme="1"/>
      <name val="Calibri Light"/>
      <family val="2"/>
      <scheme val="major"/>
    </font>
    <font>
      <u/>
      <sz val="11"/>
      <color theme="1"/>
      <name val="Calibri"/>
      <family val="2"/>
      <scheme val="minor"/>
    </font>
    <font>
      <sz val="11"/>
      <color rgb="FF000000"/>
      <name val="Calibri"/>
      <family val="2"/>
    </font>
    <font>
      <sz val="12"/>
      <color theme="1"/>
      <name val="Calibri"/>
      <family val="2"/>
    </font>
    <font>
      <b/>
      <sz val="12"/>
      <color rgb="FFEA4335"/>
      <name val="Calibri"/>
      <family val="2"/>
    </font>
    <font>
      <b/>
      <sz val="12"/>
      <color rgb="FF0B5394"/>
      <name val="Calibri"/>
      <family val="2"/>
    </font>
    <font>
      <b/>
      <sz val="12"/>
      <color rgb="FFFFFFFF"/>
      <name val="Calibri"/>
      <family val="2"/>
    </font>
    <font>
      <b/>
      <sz val="12"/>
      <color rgb="FFFFC000"/>
      <name val="Calibri"/>
      <family val="2"/>
    </font>
    <font>
      <b/>
      <sz val="12"/>
      <color rgb="FF57BB8A"/>
      <name val="Calibri"/>
      <family val="2"/>
    </font>
    <font>
      <b/>
      <sz val="12"/>
      <color rgb="FF92D050"/>
      <name val="Calibri"/>
      <family val="2"/>
    </font>
    <font>
      <b/>
      <sz val="12"/>
      <color rgb="FFF09300"/>
      <name val="Calibri"/>
      <family val="2"/>
    </font>
    <font>
      <sz val="10"/>
      <color theme="1"/>
      <name val="Arial"/>
      <family val="2"/>
    </font>
    <font>
      <b/>
      <sz val="12"/>
      <name val="Calibri"/>
      <family val="2"/>
    </font>
    <font>
      <b/>
      <i/>
      <sz val="12"/>
      <name val="Calibri"/>
      <family val="2"/>
    </font>
    <font>
      <sz val="11"/>
      <name val="Calibri"/>
      <family val="2"/>
      <scheme val="minor"/>
    </font>
    <font>
      <sz val="12"/>
      <color theme="0"/>
      <name val="Calibri"/>
      <family val="2"/>
    </font>
    <font>
      <b/>
      <sz val="12"/>
      <color theme="0"/>
      <name val="Calibri"/>
      <family val="2"/>
    </font>
    <font>
      <b/>
      <sz val="12"/>
      <color theme="0" tint="-0.249977111117893"/>
      <name val="Calibri"/>
      <family val="2"/>
    </font>
    <font>
      <sz val="12"/>
      <color theme="0" tint="-0.249977111117893"/>
      <name val="Calibri"/>
      <family val="2"/>
      <scheme val="minor"/>
    </font>
  </fonts>
  <fills count="11">
    <fill>
      <patternFill patternType="none"/>
    </fill>
    <fill>
      <patternFill patternType="gray125"/>
    </fill>
    <fill>
      <patternFill patternType="solid">
        <fgColor theme="0"/>
        <bgColor indexed="64"/>
      </patternFill>
    </fill>
    <fill>
      <patternFill patternType="solid">
        <fgColor rgb="FFF8F8F8"/>
        <bgColor indexed="64"/>
      </patternFill>
    </fill>
    <fill>
      <patternFill patternType="solid">
        <fgColor rgb="FFF3F3F3"/>
        <bgColor indexed="64"/>
      </patternFill>
    </fill>
    <fill>
      <patternFill patternType="solid">
        <fgColor rgb="FFD9D9D9"/>
        <bgColor indexed="64"/>
      </patternFill>
    </fill>
    <fill>
      <patternFill patternType="solid">
        <fgColor rgb="FF57BB8A"/>
        <bgColor indexed="64"/>
      </patternFill>
    </fill>
    <fill>
      <patternFill patternType="solid">
        <fgColor rgb="FF0B5394"/>
        <bgColor indexed="64"/>
      </patternFill>
    </fill>
    <fill>
      <patternFill patternType="solid">
        <fgColor rgb="FF9FC5E8"/>
        <bgColor indexed="64"/>
      </patternFill>
    </fill>
    <fill>
      <patternFill patternType="solid">
        <fgColor theme="8" tint="-0.249977111117893"/>
        <bgColor indexed="64"/>
      </patternFill>
    </fill>
    <fill>
      <patternFill patternType="solid">
        <fgColor theme="0" tint="-4.9989318521683403E-2"/>
        <bgColor indexed="64"/>
      </patternFill>
    </fill>
  </fills>
  <borders count="70">
    <border>
      <left/>
      <right/>
      <top/>
      <bottom/>
      <diagonal/>
    </border>
    <border>
      <left/>
      <right/>
      <top style="thin">
        <color rgb="FFC0C0C0"/>
      </top>
      <bottom style="thin">
        <color rgb="FFC0C0C0"/>
      </bottom>
      <diagonal/>
    </border>
    <border>
      <left/>
      <right style="thin">
        <color rgb="FFC0C0C0"/>
      </right>
      <top style="thin">
        <color rgb="FFC0C0C0"/>
      </top>
      <bottom style="thin">
        <color rgb="FFC0C0C0"/>
      </bottom>
      <diagonal/>
    </border>
    <border>
      <left style="thin">
        <color rgb="FFC0C0C0"/>
      </left>
      <right/>
      <top style="thin">
        <color rgb="FFC0C0C0"/>
      </top>
      <bottom/>
      <diagonal/>
    </border>
    <border>
      <left/>
      <right/>
      <top style="thin">
        <color rgb="FFC0C0C0"/>
      </top>
      <bottom/>
      <diagonal/>
    </border>
    <border>
      <left/>
      <right style="thin">
        <color rgb="FFC0C0C0"/>
      </right>
      <top style="thin">
        <color rgb="FFC0C0C0"/>
      </top>
      <bottom/>
      <diagonal/>
    </border>
    <border>
      <left style="thin">
        <color rgb="FFC0C0C0"/>
      </left>
      <right/>
      <top/>
      <bottom/>
      <diagonal/>
    </border>
    <border>
      <left/>
      <right style="thin">
        <color rgb="FFC0C0C0"/>
      </right>
      <top/>
      <bottom/>
      <diagonal/>
    </border>
    <border>
      <left style="thin">
        <color rgb="FFC0C0C0"/>
      </left>
      <right/>
      <top/>
      <bottom style="thin">
        <color rgb="FFC0C0C0"/>
      </bottom>
      <diagonal/>
    </border>
    <border>
      <left/>
      <right/>
      <top/>
      <bottom style="thin">
        <color rgb="FFC0C0C0"/>
      </bottom>
      <diagonal/>
    </border>
    <border>
      <left/>
      <right style="thin">
        <color rgb="FFC0C0C0"/>
      </right>
      <top/>
      <bottom style="thin">
        <color rgb="FFC0C0C0"/>
      </bottom>
      <diagonal/>
    </border>
    <border>
      <left/>
      <right style="thin">
        <color rgb="FFC0C0C0"/>
      </right>
      <top/>
      <bottom style="thin">
        <color theme="2" tint="-9.9978637043366805E-2"/>
      </bottom>
      <diagonal/>
    </border>
    <border>
      <left/>
      <right/>
      <top style="thin">
        <color rgb="FFC0C0C0"/>
      </top>
      <bottom style="thin">
        <color theme="2" tint="-0.249977111117893"/>
      </bottom>
      <diagonal/>
    </border>
    <border>
      <left/>
      <right style="thin">
        <color rgb="FFC0C0C0"/>
      </right>
      <top style="thin">
        <color rgb="FFC0C0C0"/>
      </top>
      <bottom style="thin">
        <color theme="2" tint="-0.249977111117893"/>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theme="2" tint="-9.9978637043366805E-2"/>
      </left>
      <right/>
      <top style="thin">
        <color theme="2" tint="-9.9978637043366805E-2"/>
      </top>
      <bottom/>
      <diagonal/>
    </border>
    <border>
      <left/>
      <right/>
      <top style="thin">
        <color theme="2" tint="-9.9978637043366805E-2"/>
      </top>
      <bottom/>
      <diagonal/>
    </border>
    <border>
      <left/>
      <right style="thin">
        <color theme="2" tint="-9.9978637043366805E-2"/>
      </right>
      <top style="thin">
        <color theme="2" tint="-9.9978637043366805E-2"/>
      </top>
      <bottom/>
      <diagonal/>
    </border>
    <border>
      <left style="thin">
        <color theme="2" tint="-9.9978637043366805E-2"/>
      </left>
      <right/>
      <top/>
      <bottom/>
      <diagonal/>
    </border>
    <border>
      <left/>
      <right style="thin">
        <color theme="2" tint="-9.9978637043366805E-2"/>
      </right>
      <top/>
      <bottom/>
      <diagonal/>
    </border>
    <border>
      <left style="thin">
        <color theme="2" tint="-9.9978637043366805E-2"/>
      </left>
      <right/>
      <top/>
      <bottom style="thin">
        <color theme="2" tint="-9.9978637043366805E-2"/>
      </bottom>
      <diagonal/>
    </border>
    <border>
      <left/>
      <right/>
      <top/>
      <bottom style="thin">
        <color theme="2" tint="-9.9978637043366805E-2"/>
      </bottom>
      <diagonal/>
    </border>
    <border>
      <left/>
      <right style="thin">
        <color theme="2" tint="-9.9978637043366805E-2"/>
      </right>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theme="2" tint="-9.9978637043366805E-2"/>
      </left>
      <right style="thin">
        <color theme="2" tint="-9.9978637043366805E-2"/>
      </right>
      <top/>
      <bottom/>
      <diagonal/>
    </border>
    <border>
      <left style="thin">
        <color theme="2" tint="-9.9978637043366805E-2"/>
      </left>
      <right/>
      <top style="thin">
        <color theme="2" tint="-9.9978637043366805E-2"/>
      </top>
      <bottom style="thin">
        <color theme="2" tint="-9.9978637043366805E-2"/>
      </bottom>
      <diagonal/>
    </border>
    <border>
      <left/>
      <right style="thin">
        <color theme="2" tint="-9.9978637043366805E-2"/>
      </right>
      <top style="thin">
        <color theme="2" tint="-9.9978637043366805E-2"/>
      </top>
      <bottom style="thin">
        <color theme="2" tint="-9.9978637043366805E-2"/>
      </bottom>
      <diagonal/>
    </border>
    <border>
      <left/>
      <right/>
      <top style="thin">
        <color theme="2" tint="-9.9978637043366805E-2"/>
      </top>
      <bottom style="thin">
        <color theme="2" tint="-9.9978637043366805E-2"/>
      </bottom>
      <diagonal/>
    </border>
    <border>
      <left style="thin">
        <color rgb="FFC0C0C0"/>
      </left>
      <right/>
      <top/>
      <bottom style="thin">
        <color theme="2" tint="-9.9978637043366805E-2"/>
      </bottom>
      <diagonal/>
    </border>
    <border>
      <left/>
      <right/>
      <top/>
      <bottom style="thin">
        <color theme="0" tint="-4.9989318521683403E-2"/>
      </bottom>
      <diagonal/>
    </border>
    <border>
      <left style="thin">
        <color theme="2" tint="-9.9978637043366805E-2"/>
      </left>
      <right style="thin">
        <color theme="2" tint="-9.9978637043366805E-2"/>
      </right>
      <top/>
      <bottom style="thin">
        <color theme="2" tint="-9.9978637043366805E-2"/>
      </bottom>
      <diagonal/>
    </border>
    <border>
      <left style="medium">
        <color theme="1" tint="0.499984740745262"/>
      </left>
      <right/>
      <top style="medium">
        <color theme="1" tint="0.499984740745262"/>
      </top>
      <bottom/>
      <diagonal/>
    </border>
    <border>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diagonal/>
    </border>
    <border>
      <left/>
      <right style="medium">
        <color theme="1" tint="0.499984740745262"/>
      </right>
      <top/>
      <bottom/>
      <diagonal/>
    </border>
    <border>
      <left style="medium">
        <color theme="1" tint="0.499984740745262"/>
      </left>
      <right/>
      <top/>
      <bottom style="medium">
        <color theme="1" tint="0.499984740745262"/>
      </bottom>
      <diagonal/>
    </border>
    <border>
      <left/>
      <right/>
      <top/>
      <bottom style="medium">
        <color theme="1" tint="0.499984740745262"/>
      </bottom>
      <diagonal/>
    </border>
    <border>
      <left/>
      <right style="medium">
        <color theme="1" tint="0.499984740745262"/>
      </right>
      <top/>
      <bottom style="medium">
        <color theme="1" tint="0.499984740745262"/>
      </bottom>
      <diagonal/>
    </border>
    <border>
      <left/>
      <right/>
      <top style="thin">
        <color indexed="64"/>
      </top>
      <bottom style="thin">
        <color indexed="64"/>
      </bottom>
      <diagonal/>
    </border>
    <border>
      <left/>
      <right/>
      <top/>
      <bottom style="thin">
        <color indexed="64"/>
      </bottom>
      <diagonal/>
    </border>
    <border>
      <left style="thin">
        <color theme="2"/>
      </left>
      <right style="thin">
        <color theme="2"/>
      </right>
      <top style="thin">
        <color theme="2"/>
      </top>
      <bottom style="thin">
        <color theme="2"/>
      </bottom>
      <diagonal/>
    </border>
    <border>
      <left/>
      <right/>
      <top style="thin">
        <color indexed="64"/>
      </top>
      <bottom/>
      <diagonal/>
    </border>
    <border>
      <left style="thin">
        <color theme="2"/>
      </left>
      <right style="thin">
        <color indexed="64"/>
      </right>
      <top style="thin">
        <color theme="2"/>
      </top>
      <bottom style="thin">
        <color theme="2"/>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style="thin">
        <color indexed="64"/>
      </top>
      <bottom style="thin">
        <color theme="8" tint="-0.249977111117893"/>
      </bottom>
      <diagonal/>
    </border>
    <border>
      <left style="thin">
        <color indexed="64"/>
      </left>
      <right/>
      <top style="thin">
        <color theme="8" tint="-0.249977111117893"/>
      </top>
      <bottom style="thin">
        <color theme="8" tint="-0.249977111117893"/>
      </bottom>
      <diagonal/>
    </border>
    <border>
      <left style="thin">
        <color indexed="64"/>
      </left>
      <right/>
      <top style="thin">
        <color theme="8" tint="-0.249977111117893"/>
      </top>
      <bottom style="thin">
        <color indexed="64"/>
      </bottom>
      <diagonal/>
    </border>
    <border>
      <left/>
      <right/>
      <top style="thin">
        <color theme="8" tint="-0.249977111117893"/>
      </top>
      <bottom style="thin">
        <color theme="8" tint="-0.249977111117893"/>
      </bottom>
      <diagonal/>
    </border>
    <border>
      <left/>
      <right style="thin">
        <color indexed="64"/>
      </right>
      <top/>
      <bottom/>
      <diagonal/>
    </border>
    <border>
      <left style="thin">
        <color theme="2" tint="-9.9978637043366805E-2"/>
      </left>
      <right style="thin">
        <color theme="2" tint="-9.9978637043366805E-2"/>
      </right>
      <top style="thin">
        <color theme="2" tint="-9.9978637043366805E-2"/>
      </top>
      <bottom style="thin">
        <color indexed="64"/>
      </bottom>
      <diagonal/>
    </border>
    <border>
      <left style="thin">
        <color theme="2"/>
      </left>
      <right style="thin">
        <color theme="2"/>
      </right>
      <top style="thin">
        <color theme="2"/>
      </top>
      <bottom style="thin">
        <color indexed="64"/>
      </bottom>
      <diagonal/>
    </border>
    <border>
      <left style="thin">
        <color theme="2"/>
      </left>
      <right style="thin">
        <color indexed="64"/>
      </right>
      <top style="thin">
        <color theme="2"/>
      </top>
      <bottom style="thin">
        <color indexed="64"/>
      </bottom>
      <diagonal/>
    </border>
    <border>
      <left/>
      <right style="thin">
        <color indexed="64"/>
      </right>
      <top style="thin">
        <color indexed="64"/>
      </top>
      <bottom style="thin">
        <color indexed="64"/>
      </bottom>
      <diagonal/>
    </border>
    <border>
      <left style="thin">
        <color theme="2"/>
      </left>
      <right style="thin">
        <color theme="2" tint="-9.9978637043366805E-2"/>
      </right>
      <top/>
      <bottom/>
      <diagonal/>
    </border>
    <border>
      <left style="thin">
        <color theme="2"/>
      </left>
      <right style="thin">
        <color theme="2"/>
      </right>
      <top/>
      <bottom/>
      <diagonal/>
    </border>
    <border>
      <left style="thin">
        <color theme="2"/>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theme="0" tint="-4.9989318521683403E-2"/>
      </bottom>
      <diagonal/>
    </border>
    <border>
      <left style="thin">
        <color indexed="64"/>
      </left>
      <right style="thin">
        <color indexed="64"/>
      </right>
      <top style="thin">
        <color theme="0" tint="-4.9989318521683403E-2"/>
      </top>
      <bottom style="thin">
        <color theme="0" tint="-4.9989318521683403E-2"/>
      </bottom>
      <diagonal/>
    </border>
    <border>
      <left style="thin">
        <color indexed="64"/>
      </left>
      <right style="thin">
        <color indexed="64"/>
      </right>
      <top/>
      <bottom style="thin">
        <color theme="0" tint="-4.9989318521683403E-2"/>
      </bottom>
      <diagonal/>
    </border>
    <border>
      <left style="thin">
        <color indexed="64"/>
      </left>
      <right/>
      <top style="thin">
        <color indexed="64"/>
      </top>
      <bottom style="thin">
        <color theme="2"/>
      </bottom>
      <diagonal/>
    </border>
    <border>
      <left style="thin">
        <color theme="2" tint="-9.9978637043366805E-2"/>
      </left>
      <right style="thin">
        <color theme="2" tint="-9.9978637043366805E-2"/>
      </right>
      <top style="thin">
        <color indexed="64"/>
      </top>
      <bottom style="thin">
        <color theme="2" tint="-9.9978637043366805E-2"/>
      </bottom>
      <diagonal/>
    </border>
    <border>
      <left style="thin">
        <color theme="2" tint="-9.9978637043366805E-2"/>
      </left>
      <right/>
      <top style="thin">
        <color indexed="64"/>
      </top>
      <bottom style="thin">
        <color theme="2" tint="-9.9978637043366805E-2"/>
      </bottom>
      <diagonal/>
    </border>
    <border>
      <left style="thin">
        <color theme="2"/>
      </left>
      <right style="thin">
        <color theme="2"/>
      </right>
      <top style="thin">
        <color indexed="64"/>
      </top>
      <bottom style="thin">
        <color theme="2"/>
      </bottom>
      <diagonal/>
    </border>
    <border>
      <left style="thin">
        <color theme="2"/>
      </left>
      <right style="thin">
        <color indexed="64"/>
      </right>
      <top style="thin">
        <color indexed="64"/>
      </top>
      <bottom style="thin">
        <color theme="2"/>
      </bottom>
      <diagonal/>
    </border>
    <border>
      <left style="thin">
        <color indexed="64"/>
      </left>
      <right/>
      <top style="thin">
        <color theme="2"/>
      </top>
      <bottom style="thin">
        <color theme="2"/>
      </bottom>
      <diagonal/>
    </border>
    <border>
      <left style="thin">
        <color indexed="64"/>
      </left>
      <right style="thin">
        <color theme="2" tint="-9.9978637043366805E-2"/>
      </right>
      <top style="thin">
        <color theme="2"/>
      </top>
      <bottom style="thin">
        <color indexed="64"/>
      </bottom>
      <diagonal/>
    </border>
    <border>
      <left style="thin">
        <color theme="2" tint="-9.9978637043366805E-2"/>
      </left>
      <right/>
      <top style="thin">
        <color theme="2" tint="-9.9978637043366805E-2"/>
      </top>
      <bottom style="thin">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cellStyleXfs>
  <cellXfs count="218">
    <xf numFmtId="0" fontId="0" fillId="0" borderId="0" xfId="0"/>
    <xf numFmtId="3" fontId="0" fillId="0" borderId="0" xfId="0" applyNumberFormat="1"/>
    <xf numFmtId="0" fontId="3" fillId="2" borderId="2" xfId="0" applyFont="1" applyFill="1" applyBorder="1" applyAlignment="1">
      <alignment vertical="center"/>
    </xf>
    <xf numFmtId="0" fontId="3" fillId="2" borderId="1" xfId="0" applyFont="1" applyFill="1" applyBorder="1" applyAlignment="1">
      <alignment vertical="center"/>
    </xf>
    <xf numFmtId="2" fontId="3" fillId="2" borderId="2" xfId="0" applyNumberFormat="1" applyFont="1" applyFill="1" applyBorder="1" applyAlignment="1">
      <alignment vertical="center"/>
    </xf>
    <xf numFmtId="3" fontId="3" fillId="2" borderId="1" xfId="0" applyNumberFormat="1" applyFont="1" applyFill="1" applyBorder="1" applyAlignment="1">
      <alignment horizontal="right" vertical="center"/>
    </xf>
    <xf numFmtId="4" fontId="3" fillId="2" borderId="1" xfId="0" applyNumberFormat="1" applyFont="1" applyFill="1" applyBorder="1" applyAlignment="1">
      <alignment horizontal="right" vertical="center"/>
    </xf>
    <xf numFmtId="0" fontId="3" fillId="2" borderId="7" xfId="0" applyFont="1" applyFill="1" applyBorder="1"/>
    <xf numFmtId="0" fontId="3" fillId="2" borderId="0" xfId="0" applyFont="1" applyFill="1"/>
    <xf numFmtId="0" fontId="4" fillId="2" borderId="7" xfId="0" applyFont="1" applyFill="1" applyBorder="1" applyAlignment="1">
      <alignment horizontal="center" vertical="center"/>
    </xf>
    <xf numFmtId="4" fontId="3" fillId="2" borderId="1" xfId="2" applyNumberFormat="1" applyFont="1" applyFill="1" applyBorder="1" applyAlignment="1">
      <alignment horizontal="right" vertical="center"/>
    </xf>
    <xf numFmtId="2" fontId="5" fillId="2" borderId="2" xfId="0" applyNumberFormat="1" applyFont="1" applyFill="1" applyBorder="1" applyAlignment="1">
      <alignment vertical="center"/>
    </xf>
    <xf numFmtId="4" fontId="5" fillId="2" borderId="1" xfId="2" applyNumberFormat="1" applyFont="1" applyFill="1" applyBorder="1" applyAlignment="1">
      <alignment horizontal="right" vertical="center"/>
    </xf>
    <xf numFmtId="4" fontId="5" fillId="2" borderId="1" xfId="0" applyNumberFormat="1" applyFont="1" applyFill="1" applyBorder="1" applyAlignment="1">
      <alignment horizontal="right" vertical="center"/>
    </xf>
    <xf numFmtId="0" fontId="5" fillId="2" borderId="1" xfId="0" applyFont="1" applyFill="1" applyBorder="1" applyAlignment="1">
      <alignment vertical="center"/>
    </xf>
    <xf numFmtId="2" fontId="3" fillId="2" borderId="10" xfId="0" applyNumberFormat="1" applyFont="1" applyFill="1" applyBorder="1" applyAlignment="1">
      <alignment vertical="center"/>
    </xf>
    <xf numFmtId="4" fontId="3" fillId="2" borderId="9" xfId="0" applyNumberFormat="1" applyFont="1" applyFill="1" applyBorder="1" applyAlignment="1">
      <alignment horizontal="right" vertical="center"/>
    </xf>
    <xf numFmtId="2" fontId="3" fillId="2" borderId="13" xfId="0" applyNumberFormat="1" applyFont="1" applyFill="1" applyBorder="1" applyAlignment="1">
      <alignment vertical="center"/>
    </xf>
    <xf numFmtId="3" fontId="3" fillId="2" borderId="12" xfId="0" applyNumberFormat="1" applyFont="1" applyFill="1" applyBorder="1" applyAlignment="1">
      <alignment horizontal="right" vertical="center"/>
    </xf>
    <xf numFmtId="0" fontId="3" fillId="0" borderId="0" xfId="0" applyFont="1"/>
    <xf numFmtId="3" fontId="3" fillId="2" borderId="0" xfId="0" applyNumberFormat="1" applyFont="1" applyFill="1" applyAlignment="1">
      <alignment horizontal="center" vertical="center"/>
    </xf>
    <xf numFmtId="3" fontId="3" fillId="2" borderId="3" xfId="0" applyNumberFormat="1" applyFont="1" applyFill="1" applyBorder="1" applyAlignment="1">
      <alignment horizontal="center" vertical="center"/>
    </xf>
    <xf numFmtId="0" fontId="3" fillId="2" borderId="5" xfId="0" applyFont="1" applyFill="1" applyBorder="1" applyAlignment="1">
      <alignment vertical="center"/>
    </xf>
    <xf numFmtId="0" fontId="3" fillId="2" borderId="0" xfId="0" applyFont="1" applyFill="1" applyAlignment="1">
      <alignment vertical="center"/>
    </xf>
    <xf numFmtId="0" fontId="3" fillId="0" borderId="0" xfId="0" applyFont="1" applyAlignment="1">
      <alignment vertical="center"/>
    </xf>
    <xf numFmtId="0" fontId="3" fillId="2" borderId="6" xfId="0" applyFont="1" applyFill="1" applyBorder="1" applyAlignment="1">
      <alignment vertical="center"/>
    </xf>
    <xf numFmtId="0" fontId="3" fillId="2" borderId="7" xfId="0" applyFont="1" applyFill="1" applyBorder="1" applyAlignment="1">
      <alignment vertical="center"/>
    </xf>
    <xf numFmtId="0" fontId="3" fillId="2" borderId="6" xfId="0" applyFont="1" applyFill="1" applyBorder="1"/>
    <xf numFmtId="0" fontId="3" fillId="2" borderId="8" xfId="0" applyFont="1" applyFill="1" applyBorder="1"/>
    <xf numFmtId="0" fontId="3" fillId="2" borderId="10" xfId="0" applyFont="1" applyFill="1" applyBorder="1"/>
    <xf numFmtId="0" fontId="3" fillId="2" borderId="9" xfId="0" applyFont="1" applyFill="1" applyBorder="1"/>
    <xf numFmtId="0" fontId="0" fillId="0" borderId="0" xfId="0" applyAlignment="1">
      <alignment horizontal="center" vertical="center"/>
    </xf>
    <xf numFmtId="0" fontId="3" fillId="2" borderId="0" xfId="0" applyFont="1" applyFill="1" applyAlignment="1">
      <alignment horizontal="center"/>
    </xf>
    <xf numFmtId="0" fontId="3" fillId="2" borderId="15" xfId="0" applyFont="1" applyFill="1" applyBorder="1" applyAlignment="1">
      <alignment vertical="center"/>
    </xf>
    <xf numFmtId="0" fontId="3" fillId="2" borderId="17" xfId="0" applyFont="1" applyFill="1" applyBorder="1" applyAlignment="1">
      <alignment vertical="center"/>
    </xf>
    <xf numFmtId="0" fontId="3" fillId="2" borderId="18" xfId="0" applyFont="1" applyFill="1" applyBorder="1" applyAlignment="1">
      <alignment vertical="center"/>
    </xf>
    <xf numFmtId="0" fontId="3" fillId="2" borderId="19" xfId="0" applyFont="1" applyFill="1" applyBorder="1" applyAlignment="1">
      <alignment vertical="center"/>
    </xf>
    <xf numFmtId="0" fontId="3" fillId="2" borderId="18" xfId="0" applyFont="1" applyFill="1" applyBorder="1"/>
    <xf numFmtId="0" fontId="3" fillId="2" borderId="19" xfId="0" applyFont="1" applyFill="1" applyBorder="1"/>
    <xf numFmtId="0" fontId="3" fillId="2" borderId="20" xfId="0" applyFont="1" applyFill="1" applyBorder="1"/>
    <xf numFmtId="0" fontId="3" fillId="2" borderId="21" xfId="0" applyFont="1" applyFill="1" applyBorder="1"/>
    <xf numFmtId="0" fontId="3" fillId="2" borderId="22" xfId="0" applyFont="1" applyFill="1" applyBorder="1"/>
    <xf numFmtId="0" fontId="3" fillId="2" borderId="16" xfId="0" applyFont="1" applyFill="1" applyBorder="1" applyAlignment="1">
      <alignment horizontal="center" vertical="center"/>
    </xf>
    <xf numFmtId="9" fontId="3" fillId="2" borderId="1" xfId="2" applyFont="1" applyFill="1" applyBorder="1" applyAlignment="1">
      <alignment horizontal="right" vertical="center"/>
    </xf>
    <xf numFmtId="0" fontId="8" fillId="0" borderId="0" xfId="3" applyFont="1"/>
    <xf numFmtId="0" fontId="1" fillId="0" borderId="0" xfId="0" applyFont="1"/>
    <xf numFmtId="0" fontId="4" fillId="2" borderId="9" xfId="0" applyFont="1" applyFill="1" applyBorder="1" applyAlignment="1">
      <alignment horizontal="center"/>
    </xf>
    <xf numFmtId="0" fontId="4" fillId="2" borderId="9" xfId="0" applyFont="1" applyFill="1" applyBorder="1"/>
    <xf numFmtId="164" fontId="3" fillId="2" borderId="1" xfId="0" applyNumberFormat="1" applyFont="1" applyFill="1" applyBorder="1" applyAlignment="1">
      <alignment horizontal="right" vertical="center"/>
    </xf>
    <xf numFmtId="0" fontId="3" fillId="2" borderId="23" xfId="0" applyFont="1" applyFill="1" applyBorder="1" applyAlignment="1">
      <alignment vertical="center"/>
    </xf>
    <xf numFmtId="0" fontId="3" fillId="2" borderId="24" xfId="0" applyFont="1" applyFill="1" applyBorder="1" applyAlignment="1">
      <alignment vertical="center"/>
    </xf>
    <xf numFmtId="0" fontId="3" fillId="2" borderId="14" xfId="0" applyFont="1" applyFill="1" applyBorder="1" applyAlignment="1">
      <alignment vertical="center"/>
    </xf>
    <xf numFmtId="0" fontId="3" fillId="2" borderId="23" xfId="0" applyFont="1" applyFill="1" applyBorder="1"/>
    <xf numFmtId="0" fontId="3" fillId="2" borderId="24" xfId="0" applyFont="1" applyFill="1" applyBorder="1"/>
    <xf numFmtId="0" fontId="3" fillId="2" borderId="14" xfId="0" applyFont="1" applyFill="1" applyBorder="1"/>
    <xf numFmtId="0" fontId="4" fillId="2" borderId="0" xfId="0" applyFont="1" applyFill="1" applyAlignment="1">
      <alignment horizontal="center"/>
    </xf>
    <xf numFmtId="0" fontId="3" fillId="2" borderId="0" xfId="0" applyFont="1" applyFill="1" applyAlignment="1">
      <alignment horizontal="center" vertical="center"/>
    </xf>
    <xf numFmtId="0" fontId="3" fillId="2" borderId="16" xfId="0" applyFont="1" applyFill="1" applyBorder="1"/>
    <xf numFmtId="0" fontId="4" fillId="2" borderId="16" xfId="0" applyFont="1" applyFill="1" applyBorder="1" applyAlignment="1">
      <alignment horizontal="center"/>
    </xf>
    <xf numFmtId="0" fontId="3" fillId="2" borderId="17" xfId="0" applyFont="1" applyFill="1" applyBorder="1"/>
    <xf numFmtId="0" fontId="6" fillId="2" borderId="21" xfId="0" applyFont="1" applyFill="1" applyBorder="1" applyAlignment="1">
      <alignment horizontal="center" vertical="center"/>
    </xf>
    <xf numFmtId="0" fontId="4" fillId="2" borderId="21" xfId="0" applyFont="1" applyFill="1" applyBorder="1" applyAlignment="1">
      <alignment horizontal="center"/>
    </xf>
    <xf numFmtId="0" fontId="3" fillId="2" borderId="25" xfId="0" applyFont="1" applyFill="1" applyBorder="1"/>
    <xf numFmtId="0" fontId="3" fillId="2" borderId="16" xfId="0" applyFont="1" applyFill="1" applyBorder="1" applyAlignment="1">
      <alignment horizontal="left"/>
    </xf>
    <xf numFmtId="165" fontId="3" fillId="2" borderId="0" xfId="1" applyNumberFormat="1" applyFont="1" applyFill="1" applyBorder="1"/>
    <xf numFmtId="0" fontId="4" fillId="2" borderId="19" xfId="0" applyFont="1" applyFill="1" applyBorder="1" applyAlignment="1">
      <alignment horizontal="center"/>
    </xf>
    <xf numFmtId="10" fontId="4" fillId="2" borderId="0" xfId="0" applyNumberFormat="1" applyFont="1" applyFill="1" applyAlignment="1">
      <alignment horizontal="right" vertical="center"/>
    </xf>
    <xf numFmtId="165" fontId="4" fillId="2" borderId="0" xfId="0" applyNumberFormat="1" applyFont="1" applyFill="1" applyAlignment="1">
      <alignment horizontal="right" vertical="center"/>
    </xf>
    <xf numFmtId="165" fontId="3" fillId="2" borderId="0" xfId="0" applyNumberFormat="1" applyFont="1" applyFill="1" applyAlignment="1">
      <alignment horizontal="left" vertical="center"/>
    </xf>
    <xf numFmtId="0" fontId="3" fillId="2" borderId="26" xfId="0" applyFont="1" applyFill="1" applyBorder="1" applyAlignment="1">
      <alignment horizontal="left" vertical="center"/>
    </xf>
    <xf numFmtId="0" fontId="13" fillId="2" borderId="25" xfId="0" applyFont="1" applyFill="1" applyBorder="1" applyAlignment="1">
      <alignment horizontal="right" vertical="center"/>
    </xf>
    <xf numFmtId="44" fontId="3" fillId="2" borderId="0" xfId="0" applyNumberFormat="1" applyFont="1" applyFill="1" applyAlignment="1">
      <alignment horizontal="left" vertical="center"/>
    </xf>
    <xf numFmtId="0" fontId="3" fillId="2" borderId="28" xfId="0" applyFont="1" applyFill="1" applyBorder="1"/>
    <xf numFmtId="0" fontId="3" fillId="2" borderId="11" xfId="0" applyFont="1" applyFill="1" applyBorder="1"/>
    <xf numFmtId="10" fontId="3" fillId="2" borderId="0" xfId="2" applyNumberFormat="1" applyFont="1" applyFill="1" applyBorder="1"/>
    <xf numFmtId="2" fontId="7" fillId="2" borderId="0" xfId="0" applyNumberFormat="1" applyFont="1" applyFill="1" applyAlignment="1">
      <alignment horizontal="left" vertical="top"/>
    </xf>
    <xf numFmtId="0" fontId="3" fillId="2" borderId="0" xfId="0" applyFont="1" applyFill="1" applyAlignment="1">
      <alignment horizontal="left"/>
    </xf>
    <xf numFmtId="166" fontId="7" fillId="2" borderId="0" xfId="0" applyNumberFormat="1" applyFont="1" applyFill="1" applyAlignment="1">
      <alignment horizontal="left" vertical="top"/>
    </xf>
    <xf numFmtId="9" fontId="7" fillId="2" borderId="0" xfId="2" applyFont="1" applyFill="1" applyBorder="1" applyAlignment="1">
      <alignment horizontal="left" vertical="top"/>
    </xf>
    <xf numFmtId="0" fontId="4" fillId="2" borderId="0" xfId="0" applyFont="1" applyFill="1"/>
    <xf numFmtId="0" fontId="14" fillId="0" borderId="0" xfId="0" applyFont="1"/>
    <xf numFmtId="0" fontId="5" fillId="2" borderId="0" xfId="0" applyFont="1" applyFill="1"/>
    <xf numFmtId="3" fontId="3" fillId="2" borderId="0" xfId="0" applyNumberFormat="1" applyFont="1" applyFill="1"/>
    <xf numFmtId="3" fontId="5" fillId="2" borderId="0" xfId="0" applyNumberFormat="1" applyFont="1" applyFill="1"/>
    <xf numFmtId="0" fontId="9" fillId="2" borderId="0" xfId="0" applyFont="1" applyFill="1"/>
    <xf numFmtId="9" fontId="3" fillId="2" borderId="0" xfId="0" applyNumberFormat="1" applyFont="1" applyFill="1" applyAlignment="1">
      <alignment horizontal="center"/>
    </xf>
    <xf numFmtId="9" fontId="3" fillId="2" borderId="0" xfId="2" applyFont="1" applyFill="1" applyBorder="1" applyAlignment="1">
      <alignment horizontal="center"/>
    </xf>
    <xf numFmtId="3" fontId="3" fillId="2" borderId="0" xfId="0" applyNumberFormat="1" applyFont="1" applyFill="1" applyAlignment="1">
      <alignment horizontal="center"/>
    </xf>
    <xf numFmtId="3" fontId="3" fillId="0" borderId="0" xfId="0" applyNumberFormat="1" applyFont="1"/>
    <xf numFmtId="0" fontId="4" fillId="2" borderId="4" xfId="0" applyFont="1" applyFill="1" applyBorder="1" applyAlignment="1">
      <alignment horizontal="center"/>
    </xf>
    <xf numFmtId="0" fontId="3" fillId="2" borderId="29" xfId="0" applyFont="1" applyFill="1" applyBorder="1"/>
    <xf numFmtId="0" fontId="3" fillId="2" borderId="15" xfId="0" applyFont="1" applyFill="1" applyBorder="1"/>
    <xf numFmtId="0" fontId="3" fillId="2" borderId="27" xfId="0" applyFont="1" applyFill="1" applyBorder="1"/>
    <xf numFmtId="0" fontId="16" fillId="0" borderId="0" xfId="0" applyFont="1"/>
    <xf numFmtId="2" fontId="3" fillId="2" borderId="7" xfId="0" applyNumberFormat="1" applyFont="1" applyFill="1" applyBorder="1" applyAlignment="1">
      <alignment vertical="center"/>
    </xf>
    <xf numFmtId="4" fontId="3" fillId="2" borderId="0" xfId="0" applyNumberFormat="1" applyFont="1" applyFill="1" applyAlignment="1">
      <alignment horizontal="right" vertical="center"/>
    </xf>
    <xf numFmtId="0" fontId="3" fillId="2" borderId="23" xfId="0" applyFont="1" applyFill="1" applyBorder="1" applyAlignment="1">
      <alignment horizontal="center"/>
    </xf>
    <xf numFmtId="0" fontId="3" fillId="2" borderId="24" xfId="0" applyFont="1" applyFill="1" applyBorder="1" applyAlignment="1">
      <alignment horizontal="center"/>
    </xf>
    <xf numFmtId="0" fontId="3" fillId="2" borderId="30" xfId="0" applyFont="1" applyFill="1" applyBorder="1" applyAlignment="1">
      <alignment horizontal="center"/>
    </xf>
    <xf numFmtId="9" fontId="3" fillId="2" borderId="24" xfId="2" applyFont="1" applyFill="1" applyBorder="1" applyAlignment="1">
      <alignment horizontal="center"/>
    </xf>
    <xf numFmtId="9" fontId="3" fillId="2" borderId="24" xfId="0" applyNumberFormat="1" applyFont="1" applyFill="1" applyBorder="1" applyAlignment="1">
      <alignment horizontal="center"/>
    </xf>
    <xf numFmtId="9" fontId="3" fillId="2" borderId="0" xfId="2" applyFont="1" applyFill="1" applyBorder="1" applyAlignment="1">
      <alignment horizontal="left" vertical="top"/>
    </xf>
    <xf numFmtId="167" fontId="3" fillId="2" borderId="24" xfId="0" applyNumberFormat="1" applyFont="1" applyFill="1" applyBorder="1" applyAlignment="1">
      <alignment vertical="center"/>
    </xf>
    <xf numFmtId="165" fontId="13" fillId="2" borderId="0" xfId="0" applyNumberFormat="1" applyFont="1" applyFill="1" applyAlignment="1">
      <alignment horizontal="left" vertical="center"/>
    </xf>
    <xf numFmtId="0" fontId="0" fillId="2" borderId="0" xfId="0" applyFill="1"/>
    <xf numFmtId="0" fontId="0" fillId="2" borderId="31" xfId="0" applyFill="1" applyBorder="1"/>
    <xf numFmtId="0" fontId="0" fillId="2" borderId="32" xfId="0" applyFill="1" applyBorder="1"/>
    <xf numFmtId="0" fontId="0" fillId="2" borderId="33" xfId="0" applyFill="1" applyBorder="1"/>
    <xf numFmtId="0" fontId="0" fillId="2" borderId="34" xfId="0" applyFill="1" applyBorder="1"/>
    <xf numFmtId="0" fontId="0" fillId="2" borderId="35" xfId="0" applyFill="1" applyBorder="1"/>
    <xf numFmtId="0" fontId="0" fillId="2" borderId="36" xfId="0" applyFill="1" applyBorder="1"/>
    <xf numFmtId="0" fontId="0" fillId="2" borderId="37" xfId="0" applyFill="1" applyBorder="1"/>
    <xf numFmtId="0" fontId="0" fillId="2" borderId="38" xfId="0" applyFill="1" applyBorder="1"/>
    <xf numFmtId="3" fontId="6" fillId="2" borderId="0" xfId="0" applyNumberFormat="1" applyFont="1" applyFill="1" applyAlignment="1">
      <alignment horizontal="center" vertical="center"/>
    </xf>
    <xf numFmtId="0" fontId="29" fillId="0" borderId="0" xfId="0" applyFont="1"/>
    <xf numFmtId="0" fontId="18" fillId="5" borderId="14" xfId="0" applyFont="1" applyFill="1" applyBorder="1" applyAlignment="1">
      <alignment wrapText="1"/>
    </xf>
    <xf numFmtId="0" fontId="18" fillId="5" borderId="25" xfId="0" applyFont="1" applyFill="1" applyBorder="1" applyAlignment="1">
      <alignment wrapText="1"/>
    </xf>
    <xf numFmtId="165" fontId="18" fillId="4" borderId="41" xfId="0" applyNumberFormat="1" applyFont="1" applyFill="1" applyBorder="1" applyAlignment="1">
      <alignment horizontal="right" wrapText="1"/>
    </xf>
    <xf numFmtId="168" fontId="18" fillId="4" borderId="41" xfId="0" applyNumberFormat="1" applyFont="1" applyFill="1" applyBorder="1" applyAlignment="1">
      <alignment horizontal="right" wrapText="1"/>
    </xf>
    <xf numFmtId="4" fontId="18" fillId="4" borderId="41" xfId="0" applyNumberFormat="1" applyFont="1" applyFill="1" applyBorder="1" applyAlignment="1">
      <alignment horizontal="right" wrapText="1"/>
    </xf>
    <xf numFmtId="169" fontId="18" fillId="4" borderId="41" xfId="0" applyNumberFormat="1" applyFont="1" applyFill="1" applyBorder="1" applyAlignment="1">
      <alignment horizontal="right" wrapText="1"/>
    </xf>
    <xf numFmtId="0" fontId="19" fillId="9" borderId="39" xfId="0" applyFont="1" applyFill="1" applyBorder="1" applyAlignment="1">
      <alignment horizontal="right" vertical="center" wrapText="1"/>
    </xf>
    <xf numFmtId="0" fontId="20" fillId="9" borderId="39" xfId="0" applyFont="1" applyFill="1" applyBorder="1" applyAlignment="1">
      <alignment horizontal="right" vertical="center" wrapText="1"/>
    </xf>
    <xf numFmtId="0" fontId="21" fillId="9" borderId="39" xfId="0" applyFont="1" applyFill="1" applyBorder="1" applyAlignment="1">
      <alignment horizontal="right" vertical="center" wrapText="1"/>
    </xf>
    <xf numFmtId="0" fontId="24" fillId="9" borderId="39" xfId="0" applyFont="1" applyFill="1" applyBorder="1" applyAlignment="1">
      <alignment horizontal="right" vertical="center" wrapText="1"/>
    </xf>
    <xf numFmtId="10" fontId="19" fillId="9" borderId="39" xfId="0" applyNumberFormat="1" applyFont="1" applyFill="1" applyBorder="1" applyAlignment="1">
      <alignment horizontal="right" vertical="center" wrapText="1"/>
    </xf>
    <xf numFmtId="0" fontId="22" fillId="9" borderId="39" xfId="0" applyFont="1" applyFill="1" applyBorder="1" applyAlignment="1">
      <alignment horizontal="right" vertical="center" wrapText="1"/>
    </xf>
    <xf numFmtId="10" fontId="23" fillId="9" borderId="39" xfId="0" applyNumberFormat="1" applyFont="1" applyFill="1" applyBorder="1" applyAlignment="1">
      <alignment horizontal="right" vertical="center" wrapText="1"/>
    </xf>
    <xf numFmtId="10" fontId="21" fillId="9" borderId="39" xfId="0" applyNumberFormat="1" applyFont="1" applyFill="1" applyBorder="1" applyAlignment="1">
      <alignment horizontal="right" vertical="center" wrapText="1"/>
    </xf>
    <xf numFmtId="0" fontId="23" fillId="9" borderId="39" xfId="0" applyFont="1" applyFill="1" applyBorder="1" applyAlignment="1">
      <alignment horizontal="right" vertical="center" wrapText="1"/>
    </xf>
    <xf numFmtId="10" fontId="25" fillId="9" borderId="39" xfId="0" applyNumberFormat="1" applyFont="1" applyFill="1" applyBorder="1" applyAlignment="1">
      <alignment horizontal="right" vertical="center" wrapText="1"/>
    </xf>
    <xf numFmtId="10" fontId="22" fillId="9" borderId="39" xfId="0" applyNumberFormat="1" applyFont="1" applyFill="1" applyBorder="1" applyAlignment="1">
      <alignment horizontal="right" vertical="center" wrapText="1"/>
    </xf>
    <xf numFmtId="10" fontId="21" fillId="9" borderId="40" xfId="0" applyNumberFormat="1" applyFont="1" applyFill="1" applyBorder="1" applyAlignment="1">
      <alignment horizontal="right" vertical="center" wrapText="1"/>
    </xf>
    <xf numFmtId="0" fontId="7" fillId="2" borderId="0" xfId="0" applyFont="1" applyFill="1" applyAlignment="1">
      <alignment horizontal="left" vertical="top"/>
    </xf>
    <xf numFmtId="170" fontId="9" fillId="2" borderId="27" xfId="0" applyNumberFormat="1" applyFont="1" applyFill="1" applyBorder="1" applyAlignment="1">
      <alignment vertical="center"/>
    </xf>
    <xf numFmtId="9" fontId="22" fillId="9" borderId="39" xfId="2" applyFont="1" applyFill="1" applyBorder="1" applyAlignment="1">
      <alignment horizontal="right" vertical="center" wrapText="1"/>
    </xf>
    <xf numFmtId="9" fontId="21" fillId="9" borderId="39" xfId="2" applyFont="1" applyFill="1" applyBorder="1" applyAlignment="1">
      <alignment horizontal="right" vertical="center" wrapText="1"/>
    </xf>
    <xf numFmtId="0" fontId="18" fillId="4" borderId="43" xfId="0" applyFont="1" applyFill="1" applyBorder="1" applyAlignment="1">
      <alignment horizontal="right" wrapText="1"/>
    </xf>
    <xf numFmtId="10" fontId="21" fillId="9" borderId="42" xfId="0" applyNumberFormat="1" applyFont="1" applyFill="1" applyBorder="1" applyAlignment="1">
      <alignment horizontal="right" vertical="center" wrapText="1"/>
    </xf>
    <xf numFmtId="9" fontId="19" fillId="9" borderId="39" xfId="2" applyFont="1" applyFill="1" applyBorder="1" applyAlignment="1">
      <alignment horizontal="right" vertical="center" wrapText="1"/>
    </xf>
    <xf numFmtId="9" fontId="24" fillId="9" borderId="39" xfId="2" applyFont="1" applyFill="1" applyBorder="1" applyAlignment="1">
      <alignment horizontal="right" vertical="center" wrapText="1"/>
    </xf>
    <xf numFmtId="10" fontId="31" fillId="9" borderId="39" xfId="0" applyNumberFormat="1" applyFont="1" applyFill="1" applyBorder="1" applyAlignment="1">
      <alignment horizontal="right" vertical="center" wrapText="1"/>
    </xf>
    <xf numFmtId="0" fontId="27" fillId="8" borderId="45" xfId="0" applyFont="1" applyFill="1" applyBorder="1" applyAlignment="1">
      <alignment horizontal="center" wrapText="1"/>
    </xf>
    <xf numFmtId="0" fontId="28" fillId="8" borderId="0" xfId="0" applyFont="1" applyFill="1" applyAlignment="1">
      <alignment horizontal="center" wrapText="1"/>
    </xf>
    <xf numFmtId="0" fontId="27" fillId="8" borderId="0" xfId="0" applyFont="1" applyFill="1" applyAlignment="1">
      <alignment horizontal="center" wrapText="1"/>
    </xf>
    <xf numFmtId="0" fontId="27" fillId="8" borderId="40" xfId="0" applyFont="1" applyFill="1" applyBorder="1" applyAlignment="1">
      <alignment horizontal="center" wrapText="1"/>
    </xf>
    <xf numFmtId="14" fontId="30" fillId="7" borderId="46" xfId="0" applyNumberFormat="1" applyFont="1" applyFill="1" applyBorder="1" applyAlignment="1">
      <alignment horizontal="center" wrapText="1"/>
    </xf>
    <xf numFmtId="14" fontId="30" fillId="7" borderId="47" xfId="0" applyNumberFormat="1" applyFont="1" applyFill="1" applyBorder="1" applyAlignment="1">
      <alignment horizontal="center" wrapText="1"/>
    </xf>
    <xf numFmtId="14" fontId="30" fillId="7" borderId="48" xfId="0" applyNumberFormat="1" applyFont="1" applyFill="1" applyBorder="1" applyAlignment="1">
      <alignment horizontal="center" wrapText="1"/>
    </xf>
    <xf numFmtId="14" fontId="30" fillId="7" borderId="49" xfId="0" applyNumberFormat="1" applyFont="1" applyFill="1" applyBorder="1" applyAlignment="1">
      <alignment horizontal="center" wrapText="1"/>
    </xf>
    <xf numFmtId="14" fontId="30" fillId="7" borderId="0" xfId="0" applyNumberFormat="1" applyFont="1" applyFill="1" applyAlignment="1">
      <alignment horizontal="center" wrapText="1"/>
    </xf>
    <xf numFmtId="0" fontId="18" fillId="4" borderId="55" xfId="0" applyFont="1" applyFill="1" applyBorder="1" applyAlignment="1">
      <alignment horizontal="center" wrapText="1"/>
    </xf>
    <xf numFmtId="0" fontId="18" fillId="5" borderId="24" xfId="0" applyFont="1" applyFill="1" applyBorder="1" applyAlignment="1">
      <alignment wrapText="1"/>
    </xf>
    <xf numFmtId="0" fontId="18" fillId="4" borderId="56" xfId="0" applyFont="1" applyFill="1" applyBorder="1" applyAlignment="1">
      <alignment horizontal="right" wrapText="1"/>
    </xf>
    <xf numFmtId="0" fontId="18" fillId="4" borderId="57" xfId="0" applyFont="1" applyFill="1" applyBorder="1" applyAlignment="1">
      <alignment horizontal="right" wrapText="1"/>
    </xf>
    <xf numFmtId="171" fontId="18" fillId="6" borderId="45" xfId="0" applyNumberFormat="1" applyFont="1" applyFill="1" applyBorder="1" applyAlignment="1">
      <alignment horizontal="center" wrapText="1"/>
    </xf>
    <xf numFmtId="0" fontId="18" fillId="5" borderId="51" xfId="0" applyFont="1" applyFill="1" applyBorder="1" applyAlignment="1">
      <alignment wrapText="1"/>
    </xf>
    <xf numFmtId="165" fontId="18" fillId="4" borderId="52" xfId="0" applyNumberFormat="1" applyFont="1" applyFill="1" applyBorder="1" applyAlignment="1">
      <alignment horizontal="right" wrapText="1"/>
    </xf>
    <xf numFmtId="0" fontId="18" fillId="4" borderId="53" xfId="0" applyFont="1" applyFill="1" applyBorder="1" applyAlignment="1">
      <alignment horizontal="right" wrapText="1"/>
    </xf>
    <xf numFmtId="0" fontId="26" fillId="9" borderId="39" xfId="0" applyFont="1" applyFill="1" applyBorder="1" applyAlignment="1">
      <alignment horizontal="right" vertical="center" wrapText="1"/>
    </xf>
    <xf numFmtId="0" fontId="26" fillId="9" borderId="40" xfId="0" applyFont="1" applyFill="1" applyBorder="1" applyAlignment="1">
      <alignment horizontal="right" vertical="center" wrapText="1"/>
    </xf>
    <xf numFmtId="0" fontId="26" fillId="9" borderId="54" xfId="0" applyFont="1" applyFill="1" applyBorder="1" applyAlignment="1">
      <alignment horizontal="right" vertical="center" wrapText="1"/>
    </xf>
    <xf numFmtId="9" fontId="32" fillId="9" borderId="45" xfId="0" applyNumberFormat="1" applyFont="1" applyFill="1" applyBorder="1" applyAlignment="1">
      <alignment horizontal="right" vertical="center" wrapText="1"/>
    </xf>
    <xf numFmtId="0" fontId="32" fillId="9" borderId="0" xfId="0" applyFont="1" applyFill="1" applyAlignment="1">
      <alignment horizontal="right" vertical="center" wrapText="1"/>
    </xf>
    <xf numFmtId="10" fontId="32" fillId="9" borderId="0" xfId="0" applyNumberFormat="1" applyFont="1" applyFill="1" applyAlignment="1">
      <alignment horizontal="right" vertical="center" wrapText="1"/>
    </xf>
    <xf numFmtId="0" fontId="33" fillId="9" borderId="0" xfId="0" applyFont="1" applyFill="1" applyAlignment="1">
      <alignment horizontal="right" vertical="center" wrapText="1"/>
    </xf>
    <xf numFmtId="10" fontId="33" fillId="9" borderId="0" xfId="0" applyNumberFormat="1" applyFont="1" applyFill="1" applyAlignment="1">
      <alignment horizontal="right" vertical="center" wrapText="1"/>
    </xf>
    <xf numFmtId="0" fontId="33" fillId="9" borderId="50" xfId="0" applyFont="1" applyFill="1" applyBorder="1" applyAlignment="1">
      <alignment horizontal="right" vertical="center" wrapText="1"/>
    </xf>
    <xf numFmtId="9" fontId="21" fillId="9" borderId="39" xfId="0" applyNumberFormat="1" applyFont="1" applyFill="1" applyBorder="1" applyAlignment="1">
      <alignment horizontal="right" vertical="center" wrapText="1"/>
    </xf>
    <xf numFmtId="9" fontId="21" fillId="9" borderId="44" xfId="2" applyFont="1" applyFill="1" applyBorder="1" applyAlignment="1">
      <alignment horizontal="right" vertical="center" wrapText="1"/>
    </xf>
    <xf numFmtId="9" fontId="32" fillId="9" borderId="0" xfId="0" applyNumberFormat="1" applyFont="1" applyFill="1" applyAlignment="1">
      <alignment horizontal="right" vertical="center" wrapText="1"/>
    </xf>
    <xf numFmtId="9" fontId="21" fillId="9" borderId="40" xfId="2" applyFont="1" applyFill="1" applyBorder="1" applyAlignment="1">
      <alignment horizontal="right" vertical="center" wrapText="1"/>
    </xf>
    <xf numFmtId="10" fontId="22" fillId="9" borderId="42" xfId="0" applyNumberFormat="1" applyFont="1" applyFill="1" applyBorder="1" applyAlignment="1">
      <alignment horizontal="right" vertical="center" wrapText="1"/>
    </xf>
    <xf numFmtId="10" fontId="19" fillId="9" borderId="40" xfId="0" applyNumberFormat="1" applyFont="1" applyFill="1" applyBorder="1" applyAlignment="1">
      <alignment horizontal="right" vertical="center" wrapText="1"/>
    </xf>
    <xf numFmtId="0" fontId="21" fillId="9" borderId="40" xfId="0" applyFont="1" applyFill="1" applyBorder="1" applyAlignment="1">
      <alignment horizontal="right" vertical="center" wrapText="1"/>
    </xf>
    <xf numFmtId="10" fontId="19" fillId="9" borderId="42" xfId="0" applyNumberFormat="1" applyFont="1" applyFill="1" applyBorder="1" applyAlignment="1">
      <alignment horizontal="right" vertical="center" wrapText="1"/>
    </xf>
    <xf numFmtId="9" fontId="18" fillId="5" borderId="25" xfId="2" applyFont="1" applyFill="1" applyBorder="1" applyAlignment="1">
      <alignment wrapText="1"/>
    </xf>
    <xf numFmtId="9" fontId="19" fillId="9" borderId="40" xfId="2" applyFont="1" applyFill="1" applyBorder="1" applyAlignment="1">
      <alignment horizontal="right" vertical="center" wrapText="1"/>
    </xf>
    <xf numFmtId="0" fontId="21" fillId="9" borderId="54" xfId="0" applyFont="1" applyFill="1" applyBorder="1" applyAlignment="1">
      <alignment horizontal="right" vertical="center" wrapText="1"/>
    </xf>
    <xf numFmtId="171" fontId="18" fillId="2" borderId="54" xfId="0" applyNumberFormat="1" applyFont="1" applyFill="1" applyBorder="1" applyAlignment="1">
      <alignment horizontal="center" wrapText="1"/>
    </xf>
    <xf numFmtId="171" fontId="18" fillId="6" borderId="54" xfId="0" applyNumberFormat="1" applyFont="1" applyFill="1" applyBorder="1" applyAlignment="1">
      <alignment horizontal="center" wrapText="1"/>
    </xf>
    <xf numFmtId="171" fontId="18" fillId="2" borderId="39" xfId="0" applyNumberFormat="1" applyFont="1" applyFill="1" applyBorder="1" applyAlignment="1">
      <alignment horizontal="center" wrapText="1"/>
    </xf>
    <xf numFmtId="9" fontId="18" fillId="10" borderId="58" xfId="2" applyFont="1" applyFill="1" applyBorder="1" applyAlignment="1">
      <alignment horizontal="right" wrapText="1"/>
    </xf>
    <xf numFmtId="9" fontId="18" fillId="10" borderId="59" xfId="2" applyFont="1" applyFill="1" applyBorder="1" applyAlignment="1">
      <alignment horizontal="right" wrapText="1"/>
    </xf>
    <xf numFmtId="9" fontId="18" fillId="10" borderId="60" xfId="2" applyFont="1" applyFill="1" applyBorder="1" applyAlignment="1">
      <alignment horizontal="right" wrapText="1"/>
    </xf>
    <xf numFmtId="9" fontId="18" fillId="10" borderId="61" xfId="2" applyFont="1" applyFill="1" applyBorder="1" applyAlignment="1">
      <alignment horizontal="right" wrapText="1"/>
    </xf>
    <xf numFmtId="0" fontId="18" fillId="4" borderId="62" xfId="0" applyFont="1" applyFill="1" applyBorder="1" applyAlignment="1">
      <alignment horizontal="center" wrapText="1"/>
    </xf>
    <xf numFmtId="0" fontId="18" fillId="5" borderId="63" xfId="0" applyFont="1" applyFill="1" applyBorder="1" applyAlignment="1">
      <alignment wrapText="1"/>
    </xf>
    <xf numFmtId="0" fontId="18" fillId="5" borderId="64" xfId="0" applyFont="1" applyFill="1" applyBorder="1" applyAlignment="1">
      <alignment wrapText="1"/>
    </xf>
    <xf numFmtId="9" fontId="18" fillId="5" borderId="64" xfId="2" applyFont="1" applyFill="1" applyBorder="1" applyAlignment="1">
      <alignment wrapText="1"/>
    </xf>
    <xf numFmtId="165" fontId="18" fillId="4" borderId="65" xfId="0" applyNumberFormat="1" applyFont="1" applyFill="1" applyBorder="1" applyAlignment="1">
      <alignment horizontal="right" wrapText="1"/>
    </xf>
    <xf numFmtId="3" fontId="18" fillId="4" borderId="66" xfId="0" applyNumberFormat="1" applyFont="1" applyFill="1" applyBorder="1" applyAlignment="1">
      <alignment horizontal="right" wrapText="1"/>
    </xf>
    <xf numFmtId="0" fontId="18" fillId="4" borderId="67" xfId="0" applyFont="1" applyFill="1" applyBorder="1" applyAlignment="1">
      <alignment horizontal="center" wrapText="1"/>
    </xf>
    <xf numFmtId="3" fontId="18" fillId="4" borderId="43" xfId="0" applyNumberFormat="1" applyFont="1" applyFill="1" applyBorder="1" applyAlignment="1">
      <alignment horizontal="right" wrapText="1"/>
    </xf>
    <xf numFmtId="0" fontId="18" fillId="4" borderId="68" xfId="0" applyFont="1" applyFill="1" applyBorder="1" applyAlignment="1">
      <alignment horizontal="center" wrapText="1"/>
    </xf>
    <xf numFmtId="9" fontId="18" fillId="5" borderId="69" xfId="2" applyFont="1" applyFill="1" applyBorder="1" applyAlignment="1">
      <alignment wrapText="1"/>
    </xf>
    <xf numFmtId="0" fontId="3" fillId="2" borderId="0" xfId="0" applyFont="1" applyFill="1" applyAlignment="1">
      <alignment horizontal="right"/>
    </xf>
    <xf numFmtId="0" fontId="3" fillId="2" borderId="0" xfId="0" applyFont="1" applyFill="1" applyAlignment="1">
      <alignment horizontal="right"/>
    </xf>
    <xf numFmtId="0" fontId="10" fillId="2" borderId="27" xfId="0" applyFont="1" applyFill="1" applyBorder="1" applyAlignment="1">
      <alignment horizontal="center" vertical="center"/>
    </xf>
    <xf numFmtId="0" fontId="10" fillId="2" borderId="26" xfId="0" applyFont="1" applyFill="1" applyBorder="1" applyAlignment="1">
      <alignment horizontal="center" vertical="center"/>
    </xf>
    <xf numFmtId="0" fontId="3" fillId="2" borderId="0" xfId="0" applyFont="1" applyFill="1" applyAlignment="1">
      <alignment horizontal="left" vertical="top" wrapText="1"/>
    </xf>
    <xf numFmtId="0" fontId="4" fillId="2" borderId="0" xfId="0" applyFont="1" applyFill="1" applyAlignment="1">
      <alignment horizontal="center"/>
    </xf>
    <xf numFmtId="165" fontId="3" fillId="2" borderId="0" xfId="0" applyNumberFormat="1" applyFont="1" applyFill="1" applyAlignment="1">
      <alignment horizontal="center" vertical="center"/>
    </xf>
    <xf numFmtId="165" fontId="9" fillId="2" borderId="0" xfId="0" applyNumberFormat="1" applyFont="1" applyFill="1" applyAlignment="1">
      <alignment horizontal="center"/>
    </xf>
    <xf numFmtId="166" fontId="7" fillId="2" borderId="0" xfId="0" applyNumberFormat="1" applyFont="1" applyFill="1" applyAlignment="1">
      <alignment horizontal="left" vertical="top"/>
    </xf>
    <xf numFmtId="165" fontId="11" fillId="3" borderId="0" xfId="0" applyNumberFormat="1" applyFont="1" applyFill="1" applyAlignment="1">
      <alignment horizontal="center" vertical="center"/>
    </xf>
    <xf numFmtId="0" fontId="3" fillId="2" borderId="16" xfId="0" applyFont="1" applyFill="1" applyBorder="1" applyAlignment="1">
      <alignment horizontal="left"/>
    </xf>
    <xf numFmtId="44" fontId="3" fillId="2" borderId="0" xfId="0" applyNumberFormat="1" applyFont="1" applyFill="1" applyAlignment="1">
      <alignment horizontal="right" vertical="center"/>
    </xf>
    <xf numFmtId="10" fontId="12" fillId="0" borderId="0" xfId="0" applyNumberFormat="1" applyFont="1" applyAlignment="1">
      <alignment horizontal="center"/>
    </xf>
    <xf numFmtId="0" fontId="12" fillId="0" borderId="0" xfId="0" applyFont="1" applyAlignment="1">
      <alignment horizontal="center"/>
    </xf>
    <xf numFmtId="0" fontId="3" fillId="2" borderId="0" xfId="0" applyFont="1" applyFill="1" applyAlignment="1">
      <alignment horizontal="center"/>
    </xf>
    <xf numFmtId="9" fontId="7" fillId="2" borderId="0" xfId="2" applyFont="1" applyFill="1" applyBorder="1" applyAlignment="1">
      <alignment horizontal="left" vertical="top"/>
    </xf>
    <xf numFmtId="2" fontId="15" fillId="2" borderId="0" xfId="0" applyNumberFormat="1" applyFont="1" applyFill="1" applyAlignment="1">
      <alignment horizontal="center" vertical="center"/>
    </xf>
    <xf numFmtId="0" fontId="3" fillId="2" borderId="27" xfId="0" applyFont="1" applyFill="1" applyBorder="1" applyAlignment="1">
      <alignment horizontal="center" vertical="center"/>
    </xf>
    <xf numFmtId="0" fontId="3" fillId="2" borderId="26" xfId="0" applyFont="1" applyFill="1" applyBorder="1" applyAlignment="1">
      <alignment horizontal="center" vertical="center"/>
    </xf>
    <xf numFmtId="10" fontId="12" fillId="2" borderId="0" xfId="0" applyNumberFormat="1" applyFont="1" applyFill="1" applyAlignment="1">
      <alignment horizontal="center"/>
    </xf>
    <xf numFmtId="0" fontId="5" fillId="2" borderId="1" xfId="0" applyFont="1" applyFill="1" applyBorder="1" applyAlignment="1">
      <alignment horizontal="right" vertical="center"/>
    </xf>
    <xf numFmtId="0" fontId="4" fillId="2" borderId="0" xfId="0" applyFont="1" applyFill="1" applyAlignment="1">
      <alignment horizontal="right"/>
    </xf>
  </cellXfs>
  <cellStyles count="4">
    <cellStyle name="Hipervínculo" xfId="3" builtinId="8"/>
    <cellStyle name="Moneda" xfId="1" builtinId="4"/>
    <cellStyle name="Normal" xfId="0" builtinId="0"/>
    <cellStyle name="Porcentaje" xfId="2" builtinId="5"/>
  </cellStyles>
  <dxfs count="42">
    <dxf>
      <font>
        <b val="0"/>
        <i val="0"/>
        <strike val="0"/>
        <condense val="0"/>
        <extend val="0"/>
        <outline val="0"/>
        <shadow val="0"/>
        <u val="none"/>
        <vertAlign val="baseline"/>
        <sz val="12"/>
        <color theme="0"/>
        <name val="Calibri"/>
        <family val="2"/>
        <scheme val="none"/>
      </font>
      <numFmt numFmtId="19" formatCode="dd/mm/yyyy"/>
      <fill>
        <patternFill patternType="solid">
          <fgColor indexed="64"/>
          <bgColor rgb="FF0B5394"/>
        </patternFill>
      </fill>
      <alignment horizontal="center" vertical="bottom" textRotation="0" wrapText="1" indent="0" justifyLastLine="0" shrinkToFit="0" readingOrder="0"/>
    </dxf>
    <dxf>
      <font>
        <b val="0"/>
        <i val="0"/>
        <strike val="0"/>
        <condense val="0"/>
        <extend val="0"/>
        <outline val="0"/>
        <shadow val="0"/>
        <u val="none"/>
        <vertAlign val="baseline"/>
        <sz val="12"/>
        <color theme="0"/>
        <name val="Calibri"/>
        <family val="2"/>
        <scheme val="none"/>
      </font>
      <numFmt numFmtId="19" formatCode="dd/mm/yyyy"/>
      <fill>
        <patternFill patternType="solid">
          <fgColor indexed="64"/>
          <bgColor rgb="FF0B5394"/>
        </patternFill>
      </fill>
      <alignment horizontal="center" vertical="bottom" textRotation="0" wrapText="1" indent="0" justifyLastLine="0" shrinkToFit="0" readingOrder="0"/>
      <border diagonalUp="0" diagonalDown="0">
        <left/>
        <right/>
        <top style="thin">
          <color theme="8" tint="-0.249977111117893"/>
        </top>
        <bottom style="thin">
          <color theme="8" tint="-0.249977111117893"/>
        </bottom>
      </border>
    </dxf>
    <dxf>
      <font>
        <b val="0"/>
        <i val="0"/>
        <strike val="0"/>
        <condense val="0"/>
        <extend val="0"/>
        <outline val="0"/>
        <shadow val="0"/>
        <u val="none"/>
        <vertAlign val="baseline"/>
        <sz val="12"/>
        <color theme="0" tint="-0.249977111117893"/>
        <name val="Calibri"/>
        <family val="2"/>
        <scheme val="minor"/>
      </font>
      <fill>
        <patternFill patternType="solid">
          <fgColor indexed="64"/>
          <bgColor theme="8" tint="-0.249977111117893"/>
        </patternFill>
      </fill>
      <alignment horizontal="right" vertical="center" textRotation="0" wrapText="1" indent="0" justifyLastLine="0" shrinkToFit="0" readingOrder="0"/>
      <border diagonalUp="0" diagonalDown="0" outline="0">
        <left/>
        <right style="thin">
          <color indexed="64"/>
        </right>
        <top/>
        <bottom/>
      </border>
    </dxf>
    <dxf>
      <fill>
        <patternFill patternType="solid">
          <fgColor indexed="64"/>
          <bgColor theme="8" tint="-0.249977111117893"/>
        </patternFill>
      </fill>
      <alignment horizontal="right" vertical="center" textRotation="0" wrapText="1" indent="0" justifyLastLine="0" shrinkToFit="0" readingOrder="0"/>
      <border diagonalUp="0" diagonalDown="0">
        <left/>
        <right style="thin">
          <color indexed="64"/>
        </right>
      </border>
    </dxf>
    <dxf>
      <font>
        <b val="0"/>
        <i val="0"/>
        <strike val="0"/>
        <condense val="0"/>
        <extend val="0"/>
        <outline val="0"/>
        <shadow val="0"/>
        <u val="none"/>
        <vertAlign val="baseline"/>
        <sz val="12"/>
        <color theme="0" tint="-0.249977111117893"/>
        <name val="Calibri"/>
        <family val="2"/>
        <scheme val="minor"/>
      </font>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val="0"/>
        <i val="0"/>
        <strike val="0"/>
        <condense val="0"/>
        <extend val="0"/>
        <outline val="0"/>
        <shadow val="0"/>
        <u val="none"/>
        <vertAlign val="baseline"/>
        <sz val="12"/>
        <color theme="0" tint="-0.249977111117893"/>
        <name val="Calibri"/>
        <family val="2"/>
        <scheme val="minor"/>
      </font>
      <numFmt numFmtId="14" formatCode="0.00%"/>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border diagonalUp="0" diagonalDown="0">
        <left/>
        <right/>
        <top style="thin">
          <color indexed="64"/>
        </top>
        <bottom style="thin">
          <color indexed="64"/>
        </bottom>
        <vertical/>
        <horizontal/>
      </border>
    </dxf>
    <dxf>
      <font>
        <b/>
        <i val="0"/>
        <strike val="0"/>
        <condense val="0"/>
        <extend val="0"/>
        <outline val="0"/>
        <shadow val="0"/>
        <u val="none"/>
        <vertAlign val="baseline"/>
        <sz val="12"/>
        <color theme="0" tint="-0.249977111117893"/>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val="0"/>
        <i val="0"/>
        <strike val="0"/>
        <condense val="0"/>
        <extend val="0"/>
        <outline val="0"/>
        <shadow val="0"/>
        <u val="none"/>
        <vertAlign val="baseline"/>
        <sz val="12"/>
        <color theme="0" tint="-0.249977111117893"/>
        <name val="Calibri"/>
        <family val="2"/>
        <scheme val="minor"/>
      </font>
      <numFmt numFmtId="14" formatCode="0.00%"/>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3" formatCode="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fill>
        <patternFill patternType="solid">
          <fgColor indexed="64"/>
          <bgColor theme="8" tint="-0.249977111117893"/>
        </patternFill>
      </fill>
      <alignment horizontal="right" vertical="center" textRotation="0" wrapText="1" indent="0" justifyLastLine="0" shrinkToFit="0" readingOrder="0"/>
      <border diagonalUp="0" diagonalDown="0">
        <left/>
        <right/>
        <top style="thin">
          <color indexed="64"/>
        </top>
        <bottom style="thin">
          <color indexed="64"/>
        </bottom>
        <vertical/>
        <horizontal/>
      </border>
    </dxf>
    <dxf>
      <font>
        <b/>
        <i val="0"/>
        <strike val="0"/>
        <condense val="0"/>
        <extend val="0"/>
        <outline val="0"/>
        <shadow val="0"/>
        <u val="none"/>
        <vertAlign val="baseline"/>
        <sz val="12"/>
        <color theme="0" tint="-0.249977111117893"/>
        <name val="Calibri"/>
        <family val="2"/>
        <scheme val="none"/>
      </font>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fill>
        <patternFill patternType="solid">
          <fgColor indexed="64"/>
          <bgColor theme="8" tint="-0.249977111117893"/>
        </patternFill>
      </fill>
      <alignment horizontal="right" vertical="center" textRotation="0" wrapText="1" indent="0" justifyLastLine="0" shrinkToFit="0" readingOrder="0"/>
    </dxf>
    <dxf>
      <font>
        <b val="0"/>
        <i val="0"/>
        <strike val="0"/>
        <condense val="0"/>
        <extend val="0"/>
        <outline val="0"/>
        <shadow val="0"/>
        <u val="none"/>
        <vertAlign val="baseline"/>
        <sz val="12"/>
        <color theme="0" tint="-0.249977111117893"/>
        <name val="Calibri"/>
        <family val="2"/>
        <scheme val="minor"/>
      </font>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3" formatCode="0%"/>
      <fill>
        <patternFill patternType="solid">
          <fgColor indexed="64"/>
          <bgColor theme="8" tint="-0.249977111117893"/>
        </patternFill>
      </fill>
      <alignment horizontal="right" vertical="center" textRotation="0" wrapText="1" indent="0" justifyLastLine="0" shrinkToFit="0" readingOrder="0"/>
      <border diagonalUp="0" diagonalDown="0" outline="0">
        <left style="thin">
          <color indexed="64"/>
        </left>
        <right/>
        <top/>
        <bottom/>
      </border>
    </dxf>
    <dxf>
      <font>
        <b/>
        <i val="0"/>
        <strike val="0"/>
        <condense val="0"/>
        <extend val="0"/>
        <outline val="0"/>
        <shadow val="0"/>
        <u val="none"/>
        <vertAlign val="baseline"/>
        <sz val="12"/>
        <color rgb="FFFFFFFF"/>
        <name val="Calibri"/>
        <family val="2"/>
        <scheme val="none"/>
      </font>
      <fill>
        <patternFill patternType="solid">
          <fgColor indexed="64"/>
          <bgColor theme="8" tint="-0.249977111117893"/>
        </patternFill>
      </fill>
      <alignment horizontal="right" vertical="center" textRotation="0" wrapText="1"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theme="1"/>
        <name val="Calibri"/>
        <family val="2"/>
        <scheme val="none"/>
      </font>
      <numFmt numFmtId="171" formatCode="##.0\x"/>
      <fill>
        <patternFill patternType="solid">
          <fgColor indexed="64"/>
          <bgColor rgb="FF57BB8A"/>
        </patternFill>
      </fill>
      <alignment horizontal="center"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2"/>
        <color theme="1"/>
        <name val="Calibri"/>
        <family val="2"/>
        <scheme val="none"/>
      </font>
      <numFmt numFmtId="171" formatCode="##.0\x"/>
      <fill>
        <patternFill patternType="solid">
          <fgColor indexed="64"/>
          <bgColor rgb="FF57BB8A"/>
        </patternFill>
      </fill>
      <alignment horizontal="center" vertical="bottom"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theme="1"/>
        <name val="Calibri"/>
        <family val="2"/>
        <scheme val="none"/>
      </font>
      <fill>
        <patternFill patternType="solid">
          <fgColor indexed="64"/>
          <bgColor theme="0" tint="-4.9989318521683403E-2"/>
        </patternFill>
      </fill>
      <alignment horizontal="right" vertical="bottom" textRotation="0" wrapText="1" indent="0" justifyLastLine="0" shrinkToFit="0" readingOrder="0"/>
      <border diagonalUp="0" diagonalDown="0">
        <left style="thin">
          <color indexed="64"/>
        </left>
        <right style="thin">
          <color indexed="64"/>
        </right>
        <top/>
        <bottom/>
        <vertical/>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right" vertical="bottom" textRotation="0" wrapText="1" indent="0" justifyLastLine="0" shrinkToFit="0" readingOrder="0"/>
      <border diagonalUp="0" diagonalDown="0" outline="0">
        <left style="thin">
          <color theme="2"/>
        </left>
        <right style="thin">
          <color indexed="64"/>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right" vertical="bottom" textRotation="0" wrapText="1" indent="0" justifyLastLine="0" shrinkToFit="0" readingOrder="0"/>
      <border diagonalUp="0" diagonalDown="0">
        <left style="thin">
          <color theme="2"/>
        </left>
        <right style="thin">
          <color indexed="64"/>
        </right>
        <top style="thin">
          <color theme="2"/>
        </top>
        <bottom style="thin">
          <color theme="2"/>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right" vertical="bottom" textRotation="0" wrapText="1" indent="0" justifyLastLine="0" shrinkToFit="0" readingOrder="0"/>
      <border diagonalUp="0" diagonalDown="0" outline="0">
        <left style="thin">
          <color theme="2"/>
        </left>
        <right style="thin">
          <color theme="2"/>
        </right>
        <top/>
        <bottom/>
      </border>
    </dxf>
    <dxf>
      <font>
        <b val="0"/>
        <i val="0"/>
        <strike val="0"/>
        <condense val="0"/>
        <extend val="0"/>
        <outline val="0"/>
        <shadow val="0"/>
        <u val="none"/>
        <vertAlign val="baseline"/>
        <sz val="12"/>
        <color theme="1"/>
        <name val="Calibri"/>
        <family val="2"/>
        <scheme val="none"/>
      </font>
      <numFmt numFmtId="165" formatCode="_([$$-409]* #,##0.00_);_([$$-409]* \(#,##0.00\);_([$$-409]* &quot;-&quot;??_);_(@_)"/>
      <fill>
        <patternFill patternType="solid">
          <fgColor indexed="64"/>
          <bgColor rgb="FFF3F3F3"/>
        </patternFill>
      </fill>
      <alignment horizontal="right" vertical="bottom" textRotation="0" wrapText="1" indent="0" justifyLastLine="0" shrinkToFit="0" readingOrder="0"/>
      <border diagonalUp="0" diagonalDown="0">
        <left style="thin">
          <color theme="2"/>
        </left>
        <right style="thin">
          <color theme="2"/>
        </right>
        <top style="thin">
          <color theme="2"/>
        </top>
        <bottom style="thin">
          <color theme="2"/>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outline="0">
        <left style="thin">
          <color theme="2" tint="-9.9978637043366805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left style="thin">
          <color theme="2" tint="-9.9978637043366805E-2"/>
        </left>
        <right/>
        <top style="thin">
          <color theme="2" tint="-9.9978637043366805E-2"/>
        </top>
        <bottom style="thin">
          <color theme="2" tint="-9.9978637043366805E-2"/>
        </bottom>
        <vertical/>
        <horizontal/>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outline="0">
        <left style="thin">
          <color theme="2" tint="-9.9978637043366805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outline="0">
        <left style="thin">
          <color theme="2" tint="-9.9978637043366805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center" vertical="bottom" textRotation="0" wrapText="1" indent="0" justifyLastLine="0" shrinkToFit="0" readingOrder="0"/>
      <border diagonalUp="0" diagonalDown="0" outline="0">
        <left style="thin">
          <color them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center" vertical="bottom" textRotation="0" wrapText="1" indent="0" justifyLastLine="0" shrinkToFit="0" readingOrder="0"/>
      <border diagonalUp="0" diagonalDown="0">
        <left style="thin">
          <color indexed="64"/>
        </left>
        <right style="thin">
          <color theme="2" tint="-9.9978637043366805E-2"/>
        </right>
        <top style="thin">
          <color theme="2"/>
        </top>
        <bottom style="thin">
          <color theme="2"/>
        </bottom>
      </border>
    </dxf>
    <dxf>
      <border diagonalUp="0" diagonalDown="0">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2"/>
        <color auto="1"/>
        <name val="Calibri"/>
        <family val="2"/>
        <scheme val="none"/>
      </font>
      <fill>
        <patternFill patternType="solid">
          <fgColor indexed="64"/>
          <bgColor rgb="FF9FC5E8"/>
        </patternFill>
      </fill>
      <alignment horizontal="center" vertical="bottom" textRotation="0" wrapText="1" indent="0" justifyLastLine="0" shrinkToFit="0" readingOrder="0"/>
      <border diagonalUp="0" diagonalDown="0">
        <left/>
        <right/>
        <top/>
        <bottom/>
        <vertical/>
        <horizontal/>
      </border>
    </dxf>
  </dxfs>
  <tableStyles count="0" defaultTableStyle="TableStyleMedium2" defaultPivotStyle="PivotStyleLight16"/>
  <colors>
    <mruColors>
      <color rgb="FFB48D51"/>
      <color rgb="FF966F33"/>
      <color rgb="FFD1A375"/>
      <color rgb="FF996633"/>
      <color rgb="FFFF5050"/>
      <color rgb="FFF8F8F8"/>
      <color rgb="FFFFFFFF"/>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06/relationships/rdRichValue" Target="richData/rdrichvalue.xml"/><Relationship Id="rId18"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17/06/relationships/rdSupportingPropertyBagStructure" Target="richData/rdsupportingpropertybagstructure.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ichStyles" Target="richData/richStyles.xml"/><Relationship Id="rId10" Type="http://schemas.openxmlformats.org/officeDocument/2006/relationships/styles" Target="styles.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Structure" Target="richData/rdrichvaluestructur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Financials!$D$78</c:f>
              <c:strCache>
                <c:ptCount val="1"/>
                <c:pt idx="0">
                  <c:v>Cash and Short-Term Investments</c:v>
                </c:pt>
              </c:strCache>
            </c:strRef>
          </c:tx>
          <c:spPr>
            <a:solidFill>
              <a:schemeClr val="accent6">
                <a:lumMod val="60000"/>
                <a:lumOff val="40000"/>
              </a:schemeClr>
            </a:solidFill>
            <a:ln>
              <a:noFill/>
            </a:ln>
            <a:effectLst/>
          </c:spPr>
          <c:invertIfNegative val="0"/>
          <c:cat>
            <c:strRef>
              <c:f>Financials!$E$77:$N$77</c:f>
              <c:strCache>
                <c:ptCount val="10"/>
                <c:pt idx="0">
                  <c:v>2013</c:v>
                </c:pt>
                <c:pt idx="1">
                  <c:v>2014</c:v>
                </c:pt>
                <c:pt idx="2">
                  <c:v>2015</c:v>
                </c:pt>
                <c:pt idx="3">
                  <c:v>2016</c:v>
                </c:pt>
                <c:pt idx="4">
                  <c:v>2017</c:v>
                </c:pt>
                <c:pt idx="5">
                  <c:v>2018</c:v>
                </c:pt>
                <c:pt idx="6">
                  <c:v>2019</c:v>
                </c:pt>
                <c:pt idx="7">
                  <c:v>2020</c:v>
                </c:pt>
                <c:pt idx="8">
                  <c:v>2021</c:v>
                </c:pt>
                <c:pt idx="9">
                  <c:v>TTM</c:v>
                </c:pt>
              </c:strCache>
            </c:strRef>
          </c:cat>
          <c:val>
            <c:numRef>
              <c:f>Financials!$E$78:$N$78</c:f>
              <c:numCache>
                <c:formatCode>#,##0.0</c:formatCode>
                <c:ptCount val="10"/>
                <c:pt idx="0">
                  <c:v>11449</c:v>
                </c:pt>
                <c:pt idx="1">
                  <c:v>11199</c:v>
                </c:pt>
                <c:pt idx="2">
                  <c:v>18434</c:v>
                </c:pt>
                <c:pt idx="3">
                  <c:v>29449</c:v>
                </c:pt>
                <c:pt idx="4">
                  <c:v>41711</c:v>
                </c:pt>
                <c:pt idx="5">
                  <c:v>41114</c:v>
                </c:pt>
                <c:pt idx="6">
                  <c:v>54855</c:v>
                </c:pt>
                <c:pt idx="7">
                  <c:v>61954</c:v>
                </c:pt>
                <c:pt idx="8">
                  <c:v>47998</c:v>
                </c:pt>
                <c:pt idx="9">
                  <c:v>41776</c:v>
                </c:pt>
              </c:numCache>
            </c:numRef>
          </c:val>
          <c:extLst>
            <c:ext xmlns:c16="http://schemas.microsoft.com/office/drawing/2014/chart" uri="{C3380CC4-5D6E-409C-BE32-E72D297353CC}">
              <c16:uniqueId val="{00000000-A72C-4B47-B086-214D27DB9E2F}"/>
            </c:ext>
          </c:extLst>
        </c:ser>
        <c:ser>
          <c:idx val="1"/>
          <c:order val="1"/>
          <c:tx>
            <c:strRef>
              <c:f>Financials!$D$79</c:f>
              <c:strCache>
                <c:ptCount val="1"/>
                <c:pt idx="0">
                  <c:v>Total Debt</c:v>
                </c:pt>
              </c:strCache>
            </c:strRef>
          </c:tx>
          <c:spPr>
            <a:solidFill>
              <a:srgbClr val="FF5050"/>
            </a:solidFill>
            <a:ln>
              <a:noFill/>
            </a:ln>
            <a:effectLst/>
          </c:spPr>
          <c:invertIfNegative val="0"/>
          <c:cat>
            <c:strRef>
              <c:f>Financials!$E$77:$N$77</c:f>
              <c:strCache>
                <c:ptCount val="10"/>
                <c:pt idx="0">
                  <c:v>2013</c:v>
                </c:pt>
                <c:pt idx="1">
                  <c:v>2014</c:v>
                </c:pt>
                <c:pt idx="2">
                  <c:v>2015</c:v>
                </c:pt>
                <c:pt idx="3">
                  <c:v>2016</c:v>
                </c:pt>
                <c:pt idx="4">
                  <c:v>2017</c:v>
                </c:pt>
                <c:pt idx="5">
                  <c:v>2018</c:v>
                </c:pt>
                <c:pt idx="6">
                  <c:v>2019</c:v>
                </c:pt>
                <c:pt idx="7">
                  <c:v>2020</c:v>
                </c:pt>
                <c:pt idx="8">
                  <c:v>2021</c:v>
                </c:pt>
                <c:pt idx="9">
                  <c:v>TTM</c:v>
                </c:pt>
              </c:strCache>
            </c:strRef>
          </c:cat>
          <c:val>
            <c:numRef>
              <c:f>Financials!$E$79:$N$79</c:f>
              <c:numCache>
                <c:formatCode>#,##0.0</c:formatCode>
                <c:ptCount val="10"/>
                <c:pt idx="0">
                  <c:v>476</c:v>
                </c:pt>
                <c:pt idx="1">
                  <c:v>233</c:v>
                </c:pt>
                <c:pt idx="2">
                  <c:v>315</c:v>
                </c:pt>
                <c:pt idx="3">
                  <c:v>-90</c:v>
                </c:pt>
                <c:pt idx="4">
                  <c:v>132</c:v>
                </c:pt>
                <c:pt idx="5">
                  <c:v>353</c:v>
                </c:pt>
                <c:pt idx="6">
                  <c:v>10601</c:v>
                </c:pt>
                <c:pt idx="7">
                  <c:v>10654</c:v>
                </c:pt>
                <c:pt idx="8">
                  <c:v>13873</c:v>
                </c:pt>
                <c:pt idx="9">
                  <c:v>25900</c:v>
                </c:pt>
              </c:numCache>
            </c:numRef>
          </c:val>
          <c:extLst>
            <c:ext xmlns:c16="http://schemas.microsoft.com/office/drawing/2014/chart" uri="{C3380CC4-5D6E-409C-BE32-E72D297353CC}">
              <c16:uniqueId val="{00000001-A72C-4B47-B086-214D27DB9E2F}"/>
            </c:ext>
          </c:extLst>
        </c:ser>
        <c:dLbls>
          <c:showLegendKey val="0"/>
          <c:showVal val="0"/>
          <c:showCatName val="0"/>
          <c:showSerName val="0"/>
          <c:showPercent val="0"/>
          <c:showBubbleSize val="0"/>
        </c:dLbls>
        <c:gapWidth val="80"/>
        <c:overlap val="25"/>
        <c:axId val="586676944"/>
        <c:axId val="586679440"/>
      </c:barChart>
      <c:catAx>
        <c:axId val="586676944"/>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586679440"/>
        <c:crosses val="autoZero"/>
        <c:auto val="1"/>
        <c:lblAlgn val="ctr"/>
        <c:lblOffset val="100"/>
        <c:noMultiLvlLbl val="0"/>
      </c:catAx>
      <c:valAx>
        <c:axId val="586679440"/>
        <c:scaling>
          <c:orientation val="minMax"/>
        </c:scaling>
        <c:delete val="0"/>
        <c:axPos val="l"/>
        <c:majorGridlines>
          <c:spPr>
            <a:ln w="9525" cap="flat" cmpd="sng" algn="ctr">
              <a:solidFill>
                <a:schemeClr val="tx1">
                  <a:lumMod val="5000"/>
                  <a:lumOff val="9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586676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strRef>
              <c:f>Financials!$D$33</c:f>
              <c:strCache>
                <c:ptCount val="1"/>
                <c:pt idx="0">
                  <c:v>Shares Diluted</c:v>
                </c:pt>
              </c:strCache>
            </c:strRef>
          </c:tx>
          <c:spPr>
            <a:solidFill>
              <a:schemeClr val="accent1">
                <a:alpha val="70000"/>
              </a:schemeClr>
            </a:solidFill>
            <a:ln>
              <a:noFill/>
            </a:ln>
            <a:effectLst/>
          </c:spPr>
          <c:invertIfNegative val="0"/>
          <c:cat>
            <c:strRef>
              <c:f>Financials!$E$20:$N$20</c:f>
              <c:strCache>
                <c:ptCount val="10"/>
                <c:pt idx="0">
                  <c:v>2013</c:v>
                </c:pt>
                <c:pt idx="1">
                  <c:v>2014</c:v>
                </c:pt>
                <c:pt idx="2">
                  <c:v>2015</c:v>
                </c:pt>
                <c:pt idx="3">
                  <c:v>2016</c:v>
                </c:pt>
                <c:pt idx="4">
                  <c:v>2017</c:v>
                </c:pt>
                <c:pt idx="5">
                  <c:v>2018</c:v>
                </c:pt>
                <c:pt idx="6">
                  <c:v>2019</c:v>
                </c:pt>
                <c:pt idx="7">
                  <c:v>2020</c:v>
                </c:pt>
                <c:pt idx="8">
                  <c:v>2021</c:v>
                </c:pt>
                <c:pt idx="9">
                  <c:v>TTM</c:v>
                </c:pt>
              </c:strCache>
            </c:strRef>
          </c:cat>
          <c:val>
            <c:numRef>
              <c:f>Financials!$E$33:$N$33</c:f>
              <c:numCache>
                <c:formatCode>#,##0.00</c:formatCode>
                <c:ptCount val="10"/>
                <c:pt idx="0">
                  <c:v>2517</c:v>
                </c:pt>
                <c:pt idx="1">
                  <c:v>2664</c:v>
                </c:pt>
                <c:pt idx="2">
                  <c:v>2853</c:v>
                </c:pt>
                <c:pt idx="3">
                  <c:v>2925</c:v>
                </c:pt>
                <c:pt idx="4">
                  <c:v>2956</c:v>
                </c:pt>
                <c:pt idx="5">
                  <c:v>2921</c:v>
                </c:pt>
                <c:pt idx="6">
                  <c:v>2876</c:v>
                </c:pt>
                <c:pt idx="7">
                  <c:v>2888</c:v>
                </c:pt>
                <c:pt idx="8">
                  <c:v>2859</c:v>
                </c:pt>
                <c:pt idx="9">
                  <c:v>2687</c:v>
                </c:pt>
              </c:numCache>
            </c:numRef>
          </c:val>
          <c:extLst>
            <c:ext xmlns:c16="http://schemas.microsoft.com/office/drawing/2014/chart" uri="{C3380CC4-5D6E-409C-BE32-E72D297353CC}">
              <c16:uniqueId val="{00000000-3841-4392-9346-20873EF385B3}"/>
            </c:ext>
          </c:extLst>
        </c:ser>
        <c:dLbls>
          <c:showLegendKey val="0"/>
          <c:showVal val="0"/>
          <c:showCatName val="0"/>
          <c:showSerName val="0"/>
          <c:showPercent val="0"/>
          <c:showBubbleSize val="0"/>
        </c:dLbls>
        <c:gapWidth val="80"/>
        <c:overlap val="25"/>
        <c:axId val="586676528"/>
        <c:axId val="586677360"/>
      </c:barChart>
      <c:catAx>
        <c:axId val="586676528"/>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586677360"/>
        <c:crosses val="autoZero"/>
        <c:auto val="1"/>
        <c:lblAlgn val="ctr"/>
        <c:lblOffset val="100"/>
        <c:noMultiLvlLbl val="0"/>
      </c:catAx>
      <c:valAx>
        <c:axId val="586677360"/>
        <c:scaling>
          <c:orientation val="minMax"/>
        </c:scaling>
        <c:delete val="0"/>
        <c:axPos val="l"/>
        <c:majorGridlines>
          <c:spPr>
            <a:ln w="9525" cap="flat" cmpd="sng" algn="ctr">
              <a:solidFill>
                <a:schemeClr val="tx1">
                  <a:lumMod val="5000"/>
                  <a:lumOff val="9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586676528"/>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16</xdr:col>
      <xdr:colOff>114300</xdr:colOff>
      <xdr:row>58</xdr:row>
      <xdr:rowOff>114300</xdr:rowOff>
    </xdr:from>
    <xdr:to>
      <xdr:col>21</xdr:col>
      <xdr:colOff>123825</xdr:colOff>
      <xdr:row>68</xdr:row>
      <xdr:rowOff>219075</xdr:rowOff>
    </xdr:to>
    <xdr:graphicFrame macro="">
      <xdr:nvGraphicFramePr>
        <xdr:cNvPr id="2" name="Gráfico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104775</xdr:colOff>
      <xdr:row>69</xdr:row>
      <xdr:rowOff>66674</xdr:rowOff>
    </xdr:from>
    <xdr:to>
      <xdr:col>21</xdr:col>
      <xdr:colOff>119062</xdr:colOff>
      <xdr:row>81</xdr:row>
      <xdr:rowOff>76199</xdr:rowOff>
    </xdr:to>
    <xdr:graphicFrame macro="">
      <xdr:nvGraphicFramePr>
        <xdr:cNvPr id="6" name="Gráfico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381000</xdr:colOff>
          <xdr:row>1</xdr:row>
          <xdr:rowOff>0</xdr:rowOff>
        </xdr:from>
        <xdr:to>
          <xdr:col>15</xdr:col>
          <xdr:colOff>85725</xdr:colOff>
          <xdr:row>3</xdr:row>
          <xdr:rowOff>171450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Limpiar Dump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514350</xdr:colOff>
          <xdr:row>0</xdr:row>
          <xdr:rowOff>104775</xdr:rowOff>
        </xdr:from>
        <xdr:to>
          <xdr:col>19</xdr:col>
          <xdr:colOff>457200</xdr:colOff>
          <xdr:row>4</xdr:row>
          <xdr:rowOff>66675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93">
  <rv s="0">
    <v>https://www.bing.com/financeapi/forcetrigger?t=a1slm7&amp;q=XNAS%3aMETA&amp;form=skydnc</v>
    <v>Learn more on Bing</v>
  </rv>
  <rv s="1">
    <v>en-US</v>
    <v>a1slm7</v>
    <v>268435456</v>
    <v>1</v>
    <v>Powered by Refinitiv</v>
    <v>0</v>
    <v>Meta Platforms, Inc. (XNAS:META)</v>
    <v>2</v>
    <v>3</v>
    <v>Finance</v>
    <v>4</v>
    <v>335.63</v>
    <v>88.09</v>
    <v>1.1831</v>
    <v>0.27</v>
    <v>-1.7519999999999999E-3</v>
    <v>1.9750000000000002E-3</v>
    <v>-0.24</v>
    <v>USD</v>
    <v>Meta Platforms Inc., formerly Facebook, Inc., builds technologies that help people find communities and grow businesses. The Company's products enable people to connect and share with friends and family through mobile devices, personal computers, virtual reality (VR) headsets, wearables, and in-home devices. The Company operates through two segments: Family of Apps (FoA) and Reality Labs (RL). FoA includes Facebook, Instagram, Messenger, WhatsApp, and other services. RL includes augmented and virtual reality-related consumer hardware, software, and content. Facebook enables people to connect, share, discover and communicate with each other on mobile devices and personal computers. Instagram is a place where people can express themselves through photos, videos, and private messaging, and connect with and shop from their favorite businesses and creators. Messenger is a messaging application for people to connect with friends, family, groups, and businesses across platforms and devices.</v>
    <v>87314</v>
    <v>Nasdaq Stock Market</v>
    <v>XNAS</v>
    <v>XNAS</v>
    <v>1601 Willow Rd, MENLO PARK, CA, 94025 US</v>
    <v>137.38999999999999</v>
    <v>Software &amp; IT Services</v>
    <v>Stock</v>
    <v>44939.928058899997</v>
    <v>0</v>
    <v>134.83500000000001</v>
    <v>359188500000</v>
    <v>Meta Platforms, Inc.</v>
    <v>Meta Platforms, Inc.</v>
    <v>134.97</v>
    <v>13.041399999999999</v>
    <v>136.71</v>
    <v>136.97999999999999</v>
    <v>136.74</v>
    <v>2622197000</v>
    <v>META</v>
    <v>Meta Platforms, Inc. (XNAS:META)</v>
    <v>22423839</v>
    <v>29193013</v>
    <v>2004</v>
  </rv>
  <rv s="2">
    <v>1</v>
  </rv>
  <rv s="0">
    <v>https://www.bing.com/financeapi/forcetrigger?t=a1u3rw&amp;q=XNAS%3aGOOGL&amp;form=skydnc</v>
    <v>Learn more on Bing</v>
  </rv>
  <rv s="1">
    <v>en-US</v>
    <v>a1u3rw</v>
    <v>268435456</v>
    <v>1</v>
    <v>Powered by Refinitiv</v>
    <v>0</v>
    <v>ALPHABET INC. (XNAS:GOOGL)</v>
    <v>2</v>
    <v>3</v>
    <v>Finance</v>
    <v>5</v>
    <v>151.54660000000001</v>
    <v>83.34</v>
    <v>1.0696000000000001</v>
    <v>0.99</v>
    <v>-1.5199999999999999E-3</v>
    <v>1.0864E-2</v>
    <v>-0.14000000000000001</v>
    <v>USD</v>
    <v>Alphabet Inc. is a holding company. The Company's segments include Google Services, Google Cloud, and Other Bets. The Google Services segment includes products and services such as ads, Android, Chrome, hardware, Google Maps, Google Play, Search, and YouTube. The Google Cloud segment includes Google's infrastructure and platform services, collaboration tools, and other services for enterprise customers. The Other Bets segment includes earlier stage technologies that are further afield from its core Google business, and it includes the sale of health technology and Internet services. Its Google Cloud provides enterprise-ready cloud services, including Google Cloud Platform and Google Workspace. Google Cloud Platform enables developers to build, test, and deploy applications on its infrastructure. The Company's Google Workspace collaboration tools include applications, such as Gmail, Docs, Drive, Calendar, Meet, and various others. The Company also has various hardware products.</v>
    <v>186779</v>
    <v>Nasdaq Stock Market</v>
    <v>XNAS</v>
    <v>XNAS</v>
    <v>1600 Amphitheatre Pkwy, MOUNTAIN VIEW, CA, 94043-1351 US</v>
    <v>92.19</v>
    <v>Software &amp; IT Services</v>
    <v>Stock</v>
    <v>44939.93511326328</v>
    <v>3</v>
    <v>90.129900000000006</v>
    <v>1196448000000</v>
    <v>ALPHABET INC.</v>
    <v>ALPHABET INC.</v>
    <v>90.85</v>
    <v>18.099399999999999</v>
    <v>91.13</v>
    <v>92.12</v>
    <v>91.98</v>
    <v>12943000000</v>
    <v>GOOGL</v>
    <v>ALPHABET INC. (XNAS:GOOGL)</v>
    <v>26329212</v>
    <v>30055486</v>
    <v>2015</v>
  </rv>
  <rv s="2">
    <v>4</v>
  </rv>
  <rv s="0">
    <v>https://www.bing.com/financeapi/forcetrigger?t=a1y1qh&amp;q=XNAS%3aMSTR&amp;form=skydnc</v>
    <v>Learn more on Bing</v>
  </rv>
  <rv s="1">
    <v>en-US</v>
    <v>a1y1qh</v>
    <v>268435456</v>
    <v>1</v>
    <v>Powered by Refinitiv</v>
    <v>0</v>
    <v>MICROSTRATEGY INCORPORATED (XNAS:MSTR)</v>
    <v>2</v>
    <v>3</v>
    <v>Finance</v>
    <v>4</v>
    <v>527.68989999999997</v>
    <v>132.56</v>
    <v>2.2991000000000001</v>
    <v>6.8</v>
    <v>3.7608999999999997E-2</v>
    <v>3.2355000000000002E-2</v>
    <v>8.16</v>
    <v>USD</v>
    <v>MicroStrategy Incorporated is an analytics and business intelligence company. The Company is engaged in the design, development, marketing, and sales of its software platform through licensing arrangements and cloud subscriptions and related services. The Company’s core product offering is its software platform. The MicroStrategy Platform provides customers with the features, such as Pervasive, Modern Analytics; Open, Federated Architecture, and Enterprise Platform. The Company provides a range of MicroStrategy Services, which includes MicroStrategy Support, MicroStrategy Consulting, and MicroStrategy Education. It also provides analytics software and services strategy. Its Pervasive, Modern Analytics includes data visualization and reporting, transformational mobility, hyperintelligence, and custom applications. Its Open, Federated Architecture includes Federated Analytics and Multiple Deployment Options. Its Enterprise Platform includes Enterprise Semantic Graph and Security.</v>
    <v>2172</v>
    <v>Nasdaq Stock Market</v>
    <v>XNAS</v>
    <v>XNAS</v>
    <v>1850 Towers Crescent Plz, TYSONS CORNER, VA, 22182 US</v>
    <v>222.17</v>
    <v>Software &amp; IT Services</v>
    <v>Stock</v>
    <v>44939.875052267969</v>
    <v>6</v>
    <v>202.69499999999999</v>
    <v>2029471000</v>
    <v>MICROSTRATEGY INCORPORATED</v>
    <v>MICROSTRATEGY INCORPORATED</v>
    <v>206</v>
    <v>4500.8329999999996</v>
    <v>210.17</v>
    <v>216.97</v>
    <v>225.13</v>
    <v>9353690</v>
    <v>MSTR</v>
    <v>MICROSTRATEGY INCORPORATED (XNAS:MSTR)</v>
    <v>845659</v>
    <v>542582</v>
    <v>1989</v>
  </rv>
  <rv s="2">
    <v>7</v>
  </rv>
  <rv s="0">
    <v>https://www.bing.com/financeapi/forcetrigger?t=bxds4c&amp;q=XNAS%3aTUEM&amp;form=skydnc</v>
    <v>Learn more on Bing</v>
  </rv>
  <rv s="3">
    <v>en-US</v>
    <v>bxds4c</v>
    <v>268435456</v>
    <v>1</v>
    <v>Powered by Refinitiv</v>
    <v>6</v>
    <v>TUESDAY MORNING CORPORATION (OTCM:TUEM)</v>
    <v>2</v>
    <v>7</v>
    <v>Finance</v>
    <v>8</v>
    <v>0.84</v>
    <v>0.35499999999999998</v>
    <v>1.9410000000000001</v>
    <v>-4.9799999999999997E-2</v>
    <v>-9.7684999999999994E-2</v>
    <v>USD</v>
    <v>Tuesday Morning Corporation is an off-price retailer. The Company’s primary merchandise categories are upscale home textiles, home furnishings, housewares, gourmet food, pet supplies, bath and body products, toys and seasonal decor. The Company has approximately 489 stores in over 40 states. The Company's stores operate in both primary and secondary locations in the suburban markets. The Company’s subsidiaries include TMI Holdings, Inc., Tuesday Morning, Inc., Friday Morning, LLC, Days of the Week, Inc., Nights of the Week, Inc. and Tuesday Morning Partners, Ltd.</v>
    <v>1601</v>
    <v>OTC Markets</v>
    <v>OTCM</v>
    <v>OTCM</v>
    <v>6250 Lbj Freeway, DALLAS, TX, 75240 US</v>
    <v>0.505</v>
    <v>Diversified Retail</v>
    <v>Stock</v>
    <v>44939.86978482578</v>
    <v>9</v>
    <v>0.45</v>
    <v>2734770</v>
    <v>TUESDAY MORNING CORPORATION</v>
    <v>TUESDAY MORNING CORPORATION</v>
    <v>0.505</v>
    <v>15.384600000000001</v>
    <v>0.50980000000000003</v>
    <v>0.46</v>
    <v>5945150</v>
    <v>TUEM</v>
    <v>TUESDAY MORNING CORPORATION (OTCM:TUEM)</v>
    <v>47106</v>
    <v>1051100</v>
    <v>1991</v>
  </rv>
  <rv s="2">
    <v>10</v>
  </rv>
  <rv s="0">
    <v>https://www.bing.com/financeapi/forcetrigger?t=a2qfa2&amp;q=OTCM%3aNTDOY&amp;form=skydnc</v>
    <v>Learn more on Bing</v>
  </rv>
  <rv s="1">
    <v>en-US</v>
    <v>a2qfa2</v>
    <v>268435456</v>
    <v>1</v>
    <v>Powered by Refinitiv</v>
    <v>0</v>
    <v>Nintendo Co., Ltd. (OTCM:NTDOY)</v>
    <v>2</v>
    <v>9</v>
    <v>Finance</v>
    <v>10</v>
    <v>13.65</v>
    <v>9.76</v>
    <v>0.70830000000000004</v>
    <v>0.06</v>
    <v>0</v>
    <v>5.7749999999999998E-3</v>
    <v>0</v>
    <v>USD</v>
    <v>Nintendo Co., Ltd. is mainly engaged in the development, manufacture and sale of entertainment products in home entertainment field. The Company's main products include game machines such as portable and console game machines and software, as well as trump and Carta (Japanese-style playing cards). The console game machines are hardware and software for mobile games and home console games, developed by the Company and its affiliates, manufactured mainly by the Company, and sold mainly by the affiliates overseas.</v>
    <v>6717</v>
    <v>OTC Markets</v>
    <v>OTCM</v>
    <v>OTCM</v>
    <v>11-1, Kamitoba, Hokotate-cho, Minami-ku, KYOTO-SHI, KYOTO-FU, 601-8114 JP</v>
    <v>10.49</v>
    <v>Leisure Products</v>
    <v>Stock</v>
    <v>44939.875501805465</v>
    <v>12</v>
    <v>10.33</v>
    <v>7009030000000</v>
    <v>Nintendo Co., Ltd.</v>
    <v>Nintendo Co., Ltd.</v>
    <v>10.36</v>
    <v>1.4535</v>
    <v>10.39</v>
    <v>10.45</v>
    <v>10.45</v>
    <v>1298690000</v>
    <v>NTDOY</v>
    <v>Nintendo Co., Ltd. (OTCM:NTDOY)</v>
    <v>1097595</v>
    <v>4637300</v>
    <v>1947</v>
  </rv>
  <rv s="2">
    <v>13</v>
  </rv>
  <rv s="0">
    <v>https://www.bing.com/financeapi/forcetrigger?t=bqip3m&amp;q=XMIL%3aGBUS&amp;form=skydnc</v>
    <v>Learn more on Bing</v>
  </rv>
  <rv s="4">
    <v>en-US</v>
    <v>bqip3m</v>
    <v>268435456</v>
    <v>1</v>
    <v>Powered by Refinitiv</v>
    <v>11</v>
    <v>Gibus SpA (XMIL:GBUS)</v>
    <v>2</v>
    <v>12</v>
    <v>Finance</v>
    <v>13</v>
    <v>19.8</v>
    <v>10.6</v>
    <v>1.3071999999999999</v>
    <v>-0.3</v>
    <v>-1.7646999999999999E-2</v>
    <v>EUR</v>
    <v>Gibus SpA is an Italy-based outdoor design company. It designs, produces and distributes sun curtains, pergolas and related products and services. The Company operates three business lines: Design, High Tech Luxury and Sustainability. The Design business line, the Company’s core activity, includes pergolas, sun curtains and glass walls. The business line High Tech Luxury comprehend bioclimatic pergolas that through technological sensors regulate the sun light. The Sustainability business line offers special sun curtains designed for save energy. The Company’s customers include hotels, restaurants and cafes, among others in Europe.</v>
    <v>254</v>
    <v>Borsa Italiana</v>
    <v>XMIL</v>
    <v>XMIL</v>
    <v>Via Luigi Einaudi, 35, SACCOLONGO, PADOVA, 35030 IT</v>
    <v>17.2</v>
    <v>Homebuilding &amp; Construction Supplies</v>
    <v>Stock</v>
    <v>44939.704861111109</v>
    <v>15</v>
    <v>16.7</v>
    <v>83637010</v>
    <v>Gibus SpA</v>
    <v>Gibus SpA</v>
    <v>17.100000000000001</v>
    <v>5.6111000000000004</v>
    <v>17</v>
    <v>16.7</v>
    <v>5008200</v>
    <v>GBUS</v>
    <v>Gibus SpA (XMIL:GBUS)</v>
    <v>703</v>
    <v>2210</v>
  </rv>
  <rv s="2">
    <v>16</v>
  </rv>
  <rv s="0">
    <v>https://www.bing.com/financeapi/forcetrigger?t=ah4ck2&amp;q=XHKG%3a327&amp;form=skydnc</v>
    <v>Learn more on Bing</v>
  </rv>
  <rv s="1">
    <v>en-US</v>
    <v>ah4ck2</v>
    <v>268435456</v>
    <v>1</v>
    <v>Powered by Refinitiv</v>
    <v>0</v>
    <v>PAX Global Technology Limited (XHKG:327)</v>
    <v>2</v>
    <v>14</v>
    <v>Finance</v>
    <v>10</v>
    <v>8.3699999999999992</v>
    <v>4.5999999999999996</v>
    <v>0.49459999999999998</v>
    <v>-7.0000000000000007E-2</v>
    <v>2.1277000000000001E-2</v>
    <v>-9.8309999999999995E-3</v>
    <v>0.15</v>
    <v>HKD</v>
    <v>PAX Global Technology Limited is a Hong Kong-based investment holding company principally engaged in the provision of e-payment terminal solutions. The main businesses of the Company include the development and sales of countertop and mobile e-payment terminals. It is also involved in the development and sales of consumer activated devices, contactless card-reading devices and e-payment terminal software. The Company mainly operates businesses in China, the United States and Italy.</v>
    <v>1642</v>
    <v>Hong Kong Stock Exchange</v>
    <v>XHKG</v>
    <v>XHKG</v>
    <v>Room 2504, 25/F, Sun Hung Kai Centre, 30 Harbour Road, Wanchai HK</v>
    <v>7.22</v>
    <v>Office Equipment</v>
    <v>Stock</v>
    <v>44939.339166666665</v>
    <v>18</v>
    <v>7</v>
    <v>7611850000</v>
    <v>PAX Global Technology Limited</v>
    <v>PAX Global Technology Limited</v>
    <v>7.22</v>
    <v>6.05</v>
    <v>7.12</v>
    <v>7.05</v>
    <v>7.2</v>
    <v>1079695000</v>
    <v>327</v>
    <v>PAX Global Technology Limited (XHKG:327)</v>
    <v>1784020</v>
    <v>890130</v>
    <v>2010</v>
  </rv>
  <rv s="2">
    <v>19</v>
  </rv>
  <rv s="0">
    <v>https://www.bing.com/financeapi/forcetrigger?t=a1ukim&amp;q=XNAS%3aHEAR&amp;form=skydnc</v>
    <v>Learn more on Bing</v>
  </rv>
  <rv s="1">
    <v>en-US</v>
    <v>a1ukim</v>
    <v>268435456</v>
    <v>1</v>
    <v>Powered by Refinitiv</v>
    <v>0</v>
    <v>TURTLE BEACH CORPORATION (XNAS:HEAR)</v>
    <v>2</v>
    <v>3</v>
    <v>Finance</v>
    <v>4</v>
    <v>25.33</v>
    <v>6.22</v>
    <v>1.9413</v>
    <v>0.01</v>
    <v>4.9660999999999997E-2</v>
    <v>1.1299999999999999E-3</v>
    <v>0.44</v>
    <v>USD</v>
    <v>Turtle Beach Corporation (Turtle Beach) is an audio and gaming technology company. Turtle Beach is engaged in developing, commercializing, and marketing products under Turtle Beach, ROCCAT and Neat Microphones brands. Turtle Beach is a provider of headset solutions for use across multiple platforms, including video game and entertainment consoles, handheld consoles, personal computers (PC), tablets and mobile devices. Turtle Beach under its ROCCAT brand provides keyboards, mice, headsets, mousepads, and other computer accessories. Turtle Beach designs and markets a gaming headsets and audio accessories for Xbox, PlayStation, personal computer (PC), Mac, and mobile/tablet devices. Turtle Beach’s Neat Microphones brand (www.neatmic.com) creates USB and analog microphones for gamers, streamers, professionals and students.</v>
    <v>272</v>
    <v>Nasdaq Stock Market</v>
    <v>XNAS</v>
    <v>XNAS</v>
    <v>44 South Broadway, 4Th Floor, WHITE PLAINS, NY, 10601 US</v>
    <v>8.93</v>
    <v>Computers, Phones &amp; Household Electronics</v>
    <v>Stock</v>
    <v>44939.876135589846</v>
    <v>21</v>
    <v>8.7850000000000001</v>
    <v>146694700</v>
    <v>TURTLE BEACH CORPORATION</v>
    <v>TURTLE BEACH CORPORATION</v>
    <v>8.8000000000000007</v>
    <v>111.4096</v>
    <v>8.85</v>
    <v>8.86</v>
    <v>9.3000000000000007</v>
    <v>16556960</v>
    <v>HEAR</v>
    <v>TURTLE BEACH CORPORATION (XNAS:HEAR)</v>
    <v>309175</v>
    <v>278513</v>
    <v>2010</v>
  </rv>
  <rv s="2">
    <v>22</v>
  </rv>
  <rv s="0">
    <v>https://www.bing.com/financeapi/forcetrigger?t=ao6n8m&amp;q=XLON%3aBOTB&amp;form=skydnc</v>
    <v>Learn more on Bing</v>
  </rv>
  <rv s="3">
    <v>en-US</v>
    <v>ao6n8m</v>
    <v>268435456</v>
    <v>1</v>
    <v>Powered by Refinitiv</v>
    <v>6</v>
    <v>BEST OF THE BEST PLC (XLON:BOTB)</v>
    <v>2</v>
    <v>15</v>
    <v>Finance</v>
    <v>16</v>
    <v>628.20000000000005</v>
    <v>350</v>
    <v>0.49480000000000002</v>
    <v>8</v>
    <v>2.1621999999999999E-2</v>
    <v>GBp</v>
    <v>Best of the Best Plc is a United Kingdom-based company, which is engaged in operating weekly competitions to win luxury cars and other prizes online. The Company's competitions are Weekly Dream Car and Midweek Lifestyle Competitions. Both competitions offer the opportunity to win brand new cars, with the former operating via Spot the Ball and the latter via a suitably skill-based question. The winner is selected at random from all correct entries at the end of the competition. Midweek Lifestyle Competition features a more focused selection of lower-value cars, top-end motorbikes, luxury watches, holidays, top technology, and cash prizes. The Company's Dream Car competition offers a choice of approximately 200 models, combined with the ability to add up to £50,000 in cash with prize. The Company's bike prizes include brands, such as Harley-Davidson, Kawasaki, Ducati, Aprilia, Triumph, KTM, Yamaha, Royal Enfield, and Suzuki.</v>
    <v>22</v>
    <v>London Stock Exchange</v>
    <v>XLON</v>
    <v>XLON</v>
    <v>Plato Place, 72-74 St. Dionis Road, LONDON, UNITED KINGDOM-NA, SW6 4TU GB</v>
    <v>378</v>
    <v>Hotels &amp; Entertainment Services</v>
    <v>Stock</v>
    <v>44939.714297013285</v>
    <v>24</v>
    <v>360</v>
    <v>31627350</v>
    <v>BEST OF THE BEST PLC</v>
    <v>BEST OF THE BEST PLC</v>
    <v>380</v>
    <v>8.1677999999999997</v>
    <v>370</v>
    <v>378</v>
    <v>8367020</v>
    <v>BOTB</v>
    <v>BEST OF THE BEST PLC (XLON:BOTB)</v>
    <v>72401</v>
    <v>10780</v>
    <v>1999</v>
  </rv>
  <rv s="2">
    <v>25</v>
  </rv>
  <rv s="0">
    <v>https://www.bing.com/financeapi/forcetrigger?t=a1nnec&amp;q=XNAS%3aAQB&amp;form=skydnc</v>
    <v>Learn more on Bing</v>
  </rv>
  <rv s="5">
    <v>en-US</v>
    <v>a1nnec</v>
    <v>268435456</v>
    <v>1</v>
    <v>Powered by Refinitiv</v>
    <v>17</v>
    <v>AQUABOUNTY TECHNOLOGIES, INC. (XNAS:AQB)</v>
    <v>2</v>
    <v>18</v>
    <v>Finance</v>
    <v>4</v>
    <v>2.37</v>
    <v>0.58199999999999996</v>
    <v>1.1509</v>
    <v>3.27E-2</v>
    <v>2.8655E-2</v>
    <v>3.5542999999999998E-2</v>
    <v>2.7300000000000001E-2</v>
    <v>USD</v>
    <v>AquaBounty Technologies, Inc. is engaged in the field of land-based aquaculture. The Company's GE Atlantic salmon is based upon salmon genetics and grows to harvest size faster than conventional Atlantic salmon. It farms its GE Atlantic salmon in land-based, recirculating aquaculture systems (RAS). The closed, contained, land-based production systems using RAS technology that the Company uses for the grow-out of its fish are less susceptible to the disease-related pressures of conventional salmon farming. Its RAS facilities provide water treatment technology, including the use of ozone, salt treatment and ultraviolet radiation to kill potential bacterial, fungal, or viral pathogens, which might enter the system. Its GE Atlantic salmon is based upon a single, specific molecular modification in the fish that results in rapid growth in early development. It has two salmon farms in production, one is located in Indiana and the other located in Prince Edward Island, Canada.</v>
    <v>95</v>
    <v>Nasdaq Stock Market</v>
    <v>XNAS</v>
    <v>XNAS</v>
    <v>2 Clock Tower Pl Ste 395, MAYNARD, MA, 01754-2539 US</v>
    <v>0.96</v>
    <v>Biotechnology &amp; Medical Research</v>
    <v>Stock</v>
    <v>44939.954067580467</v>
    <v>27</v>
    <v>0.91</v>
    <v>67747180</v>
    <v>AQUABOUNTY TECHNOLOGIES, INC.</v>
    <v>AQUABOUNTY TECHNOLOGIES, INC.</v>
    <v>0.93220000000000003</v>
    <v>0.92</v>
    <v>0.95269999999999999</v>
    <v>0.98</v>
    <v>71110710</v>
    <v>AQB</v>
    <v>AQUABOUNTY TECHNOLOGIES, INC. (XNAS:AQB)</v>
    <v>348133</v>
    <v>328131</v>
    <v>1991</v>
  </rv>
  <rv s="2">
    <v>28</v>
  </rv>
  <rv s="0">
    <v>https://www.bing.com/financeapi/forcetrigger?t=a1v3ec&amp;q=XNYS%3aHZO&amp;form=skydnc</v>
    <v>Learn more on Bing</v>
  </rv>
  <rv s="1">
    <v>en-US</v>
    <v>a1v3ec</v>
    <v>268435456</v>
    <v>1</v>
    <v>Powered by Refinitiv</v>
    <v>0</v>
    <v>MARINEMAX, INC. (XNYS:HZO)</v>
    <v>2</v>
    <v>3</v>
    <v>Finance</v>
    <v>5</v>
    <v>54.46</v>
    <v>27.4</v>
    <v>1.5528999999999999</v>
    <v>0.04</v>
    <v>0</v>
    <v>1.1620000000000001E-3</v>
    <v>0</v>
    <v>USD</v>
    <v>MarineMax, Inc. is a recreational boat and yacht retailer in the United States. The Company is engaged in the retail sale, brokerage, and service of new and used boats, motors, trailers, marine parts, and accessories and offers slip and storage accommodations in certain locations. It also arranges related boat financing, insurance, and extended service contracts. It also offers the charter of power yachts in the British Virgin Islands. It operates through approximately 79 retail locations in 21 states, consisting of Alabama, California, Connecticut, Florida, Georgia, Illinois, Maryland, Massachusetts, Michigan, Minnesota, Missouri, New Jersey, New York, North Carolina, Ohio, Oklahoma, Rhode Island, South Carolina, Texas, Washington and Wisconsin. Its Retail Operations segment includes the sale of new and used recreational boats, including pleasure and fishing boats. Its Product Manufacturing segment includes the activity of the Company's subsidiaries Cruisers Yachts and Intrepid.</v>
    <v>3410</v>
    <v>New York Stock Exchange</v>
    <v>XNYS</v>
    <v>XNYS</v>
    <v>2600 McCormick Dr Ste 200, CLEARWATER, FL, 33759-1001 US</v>
    <v>35.11</v>
    <v>Leisure Products</v>
    <v>Stock</v>
    <v>44939.881944444445</v>
    <v>30</v>
    <v>34</v>
    <v>753046900</v>
    <v>MARINEMAX, INC.</v>
    <v>MARINEMAX, INC.</v>
    <v>34</v>
    <v>3.8896999999999999</v>
    <v>34.43</v>
    <v>34.47</v>
    <v>34.47</v>
    <v>21846440</v>
    <v>HZO</v>
    <v>MARINEMAX, INC. (XNYS:HZO)</v>
    <v>310961</v>
    <v>353545</v>
    <v>1998</v>
  </rv>
  <rv s="2">
    <v>31</v>
  </rv>
  <rv s="0">
    <v>https://www.bing.com/financeapi/forcetrigger?t=a1t3im&amp;q=XNAS%3aFLWS&amp;form=skydnc</v>
    <v>Learn more on Bing</v>
  </rv>
  <rv s="1">
    <v>en-US</v>
    <v>a1t3im</v>
    <v>268435456</v>
    <v>1</v>
    <v>Powered by Refinitiv</v>
    <v>0</v>
    <v>1-800-FLOWERS.COM, INC. (XNAS:FLWS)</v>
    <v>2</v>
    <v>3</v>
    <v>Finance</v>
    <v>5</v>
    <v>26.03</v>
    <v>5.82</v>
    <v>1.6256999999999999</v>
    <v>0.18</v>
    <v>3.8349999999999999E-3</v>
    <v>1.7561E-2</v>
    <v>0.04</v>
    <v>USD</v>
    <v>1-800-Flowers.Com, Inc. is a provider of gifts designed to help customers express, connect and celebrate. The Company’s business platform features a range of brands, including: 1-800-Flowers.com, 1-800-Baskets.com, Cheryl’s Cookies, Harry &amp; David, PersonalizationMall.com, Shari’s Berries, FruitBouquets.com, Moose Munch, The Popcorn Factory, Wolferman’s Bakery, Vital Choice, Stock Yards and Simply Chocolate. The Company operates in three business segments: Consumer Floral &amp; Gifts, Gourmet Foods &amp; Gift Baskets, and BloomNet. Its Celebrations Passport loyalty program provides members with free standard shipping and no service charge across its portfolio of brands. It also operates BloomNet, an international floral and gift industry service provider offering a range of products and services designed to help its members grow their businesses; Napco, a resource for floral gifts and seasonal decor; DesignPac Gifts, LLC, a manufacturer of gift baskets and towers and Alice’s Table.</v>
    <v>4700</v>
    <v>Nasdaq Stock Market</v>
    <v>XNAS</v>
    <v>XNAS</v>
    <v>Two Jericho Plaza, Suite 200, JERICHO, NY, 11753 US</v>
    <v>10.45</v>
    <v>Specialty Retailers</v>
    <v>Stock</v>
    <v>44939.991330497658</v>
    <v>33</v>
    <v>10.1</v>
    <v>674096600</v>
    <v>1-800-FLOWERS.COM, INC.</v>
    <v>1-800-FLOWERS.COM, INC.</v>
    <v>10.130000000000001</v>
    <v>87.674300000000002</v>
    <v>10.25</v>
    <v>10.43</v>
    <v>10.47</v>
    <v>64630550</v>
    <v>FLWS</v>
    <v>1-800-FLOWERS.COM, INC. (XNAS:FLWS)</v>
    <v>310608</v>
    <v>483978</v>
    <v>1992</v>
  </rv>
  <rv s="2">
    <v>34</v>
  </rv>
  <rv s="0">
    <v>https://www.bing.com/financeapi/forcetrigger?t=bwo4oc&amp;q=XNAS%3aNGMS&amp;form=skydnc</v>
    <v>Learn more on Bing</v>
  </rv>
  <rv s="6">
    <v>en-US</v>
    <v>bwo4oc</v>
    <v>268435456</v>
    <v>1</v>
    <v>Powered by Refinitiv</v>
    <v>19</v>
    <v>NeoGames SA (XNAS:NGMS)</v>
    <v>2</v>
    <v>20</v>
    <v>Finance</v>
    <v>4</v>
    <v>25.87</v>
    <v>10.69</v>
    <v>-0.03</v>
    <v>0</v>
    <v>-2.441E-3</v>
    <v>0</v>
    <v>USD</v>
    <v>NeoGames SA is an Israel-based software company. The Company operates as technology-driven provider of end-to-end solutions in the lottery industry. NeoGames SA offers comprehensive iLottery solutions through two distinct business lines-turnkey solutions and games. The Lottery is separated into two primary products such as, instant tickets (Instants) and draw based games (DBGs). The Company offers its solutions through technology platforms such as NeoSphere that provides and controls the functionality related to the management of players throughout their entire lifecycle; NeoDraw engaged in online casino games or sports betting, NeoPlay which offers that manages online Instants.</v>
    <v>156</v>
    <v>Nasdaq Stock Market</v>
    <v>XNAS</v>
    <v>XNAS</v>
    <v>10 HaBarzel st., Building C, 16Th Floor, TEL AVIV-YAFO, ISRAEL-NA IL</v>
    <v>12.35</v>
    <v>Software &amp; IT Services</v>
    <v>Stock</v>
    <v>44939.876069235936</v>
    <v>36</v>
    <v>12.08</v>
    <v>317039500</v>
    <v>NeoGames SA</v>
    <v>NeoGames SA</v>
    <v>12.3</v>
    <v>71.247</v>
    <v>12.29</v>
    <v>12.26</v>
    <v>12.26</v>
    <v>25859660</v>
    <v>NGMS</v>
    <v>NeoGames SA (XNAS:NGMS)</v>
    <v>77860</v>
    <v>92027</v>
    <v>2014</v>
  </rv>
  <rv s="2">
    <v>37</v>
  </rv>
  <rv s="0">
    <v>https://www.bing.com/financeapi/forcetrigger?t=a2ve5r&amp;q=OTCM%3aSFTBF&amp;form=skydnc</v>
    <v>Learn more on Bing</v>
  </rv>
  <rv s="3">
    <v>en-US</v>
    <v>a2ve5r</v>
    <v>268435456</v>
    <v>1</v>
    <v>Powered by Refinitiv</v>
    <v>6</v>
    <v>SoftBank Group Corp. (OTCM:SFTBF)</v>
    <v>2</v>
    <v>7</v>
    <v>Finance</v>
    <v>8</v>
    <v>50.27</v>
    <v>33.54</v>
    <v>1.2295</v>
    <v>-0.8</v>
    <v>-1.7391E-2</v>
    <v>USD</v>
    <v>SoftBank Group Corp. is a Japan-based company principally engaged in the communication and Internet related business. The Company operates in six business segments. Softbank segment is involved in the sale of mobile terminals, the provision of mobile communication services and fixed communication services in Japan. The Segment also sells mobile terminal accessories, PC software and peripherals. Sprint segment is involved in the provision of mobile communication services and others in the US. Yahoo segment conducts advertising business on the Internet, e-commerce business and membership service business. ARM segment is involved in the design of IP and related technologies for microprocessors, and the sale of software tools. Softbank Vision Fund and Delta Fund segment conducts investment activities in the technology area. Bright Star segment conducts distribution of mobile terminals overseas. The Company is also involved in Fortress and Fukuoka Softbank Hawks related business.</v>
    <v>59721</v>
    <v>OTC Markets</v>
    <v>OTCM</v>
    <v>OTCM</v>
    <v>TOKYO PORTCITY TAKESHIBA Office Tower, 1-7-1, Kaigan, MINATO-KU, TOKYO-TO, 105-7537 JP</v>
    <v>45.76</v>
    <v>Telecommunications Services</v>
    <v>Stock</v>
    <v>44939.803518390625</v>
    <v>39</v>
    <v>45.2</v>
    <v>78987600000</v>
    <v>SoftBank Group Corp.</v>
    <v>SoftBank Group Corp.</v>
    <v>45.76</v>
    <v>3.2421000000000002</v>
    <v>46</v>
    <v>45.2</v>
    <v>1722954000</v>
    <v>SFTBF</v>
    <v>SoftBank Group Corp. (OTCM:SFTBF)</v>
    <v>12054</v>
    <v>2060</v>
    <v>1981</v>
  </rv>
  <rv s="2">
    <v>40</v>
  </rv>
  <rv s="0">
    <v>https://www.bing.com/financeapi/forcetrigger?t=a1qca2&amp;q=XNAS%3aCRMT&amp;form=skydnc</v>
    <v>Learn more on Bing</v>
  </rv>
  <rv s="1">
    <v>en-US</v>
    <v>a1qca2</v>
    <v>268435456</v>
    <v>1</v>
    <v>Powered by Refinitiv</v>
    <v>0</v>
    <v>AMERICA'S CAR-MART, INC. (XNAS:CRMT)</v>
    <v>2</v>
    <v>3</v>
    <v>Finance</v>
    <v>5</v>
    <v>127.05</v>
    <v>52.24</v>
    <v>1.3725000000000001</v>
    <v>-0.39</v>
    <v>0</v>
    <v>-4.9499999999999995E-3</v>
    <v>0</v>
    <v>USD</v>
    <v>America's Car-Mart, Inc. is an automotive retailer in the United States. The Company operates in the integrated auto sales and finance segment of the used car market, also referred to as the integrated auto sales and finance industry. In this industry, the nature of the sale, the type of customer and the methods used to distribute the Company’s products and services, including the actual servicing of the contracts, as well as the regulatory environment in which the Company operates, all have similar characteristics. The Company operates through its two subsidiaries, including America’s Car Mart, Inc., an Arkansas corporation (Car-Mart of Arkansas) and Colonial Auto Finance, Inc., an Arkansas corporation (Colonial). It primarily sells older model used vehicles and provides financing for substantially all of its customers. The Company operates approximately 154 dealerships located primarily in small cities throughout the South-Central United States.</v>
    <v>2100</v>
    <v>Nasdaq Stock Market</v>
    <v>XNAS</v>
    <v>XNAS</v>
    <v>802 SE Plaza Ave Ste 200, BENTONVILLE, AR, 72712-3220 US</v>
    <v>79.27</v>
    <v>Specialty Retailers</v>
    <v>Stock</v>
    <v>44939.879911191405</v>
    <v>42</v>
    <v>76.599999999999994</v>
    <v>499317000</v>
    <v>AMERICA'S CAR-MART, INC.</v>
    <v>AMERICA'S CAR-MART, INC.</v>
    <v>77.52</v>
    <v>8.4366000000000003</v>
    <v>78.790000000000006</v>
    <v>78.400000000000006</v>
    <v>78.400000000000006</v>
    <v>6368840</v>
    <v>CRMT</v>
    <v>AMERICA'S CAR-MART, INC. (XNAS:CRMT)</v>
    <v>50267</v>
    <v>92832</v>
    <v>1989</v>
  </rv>
  <rv s="2">
    <v>43</v>
  </rv>
  <rv s="0">
    <v>https://www.bing.com/financeapi/forcetrigger?t=a2g6z2&amp;q=OTCM%3aEVVTY&amp;form=skydnc</v>
    <v>Learn more on Bing</v>
  </rv>
  <rv s="5">
    <v>en-US</v>
    <v>a2g6z2</v>
    <v>268435456</v>
    <v>1</v>
    <v>Powered by Refinitiv</v>
    <v>17</v>
    <v>Evolution AB (publ) (OTCM:EVVTY)</v>
    <v>2</v>
    <v>21</v>
    <v>Finance</v>
    <v>10</v>
    <v>145.78</v>
    <v>69.569999999999993</v>
    <v>1.1579999999999999</v>
    <v>1.66</v>
    <v>-6.6340000000000001E-3</v>
    <v>1.5316000000000001E-2</v>
    <v>-0.73</v>
    <v>USD</v>
    <v>Evolution AB (publ), formerly Evolution Gaming Group AB (publ), is a Sweden-based company active in the Internet services sector.The Company develops, produces, markets and licenses fully-integrated business-to-business (B2B) live casino solutions for gaming operators. The gaming operators then market and offer the products to their end users.The Company provides its services through live casino studios across Europe, Canada and the USA.</v>
    <v>11207</v>
    <v>OTC Markets</v>
    <v>OTCM</v>
    <v>OTCM</v>
    <v>Vasagatan 16, STOCKHOLM, STOCKHOLM, 11120 SE</v>
    <v>110.04</v>
    <v>Hotels &amp; Entertainment Services</v>
    <v>Stock</v>
    <v>44939.875013263278</v>
    <v>45</v>
    <v>106.77</v>
    <v>242281400000</v>
    <v>Evolution AB (publ)</v>
    <v>Evolution AB (publ)</v>
    <v>106.89</v>
    <v>108.38</v>
    <v>110.04</v>
    <v>109.31</v>
    <v>215111100</v>
    <v>EVVTY</v>
    <v>Evolution AB (publ) (OTCM:EVVTY)</v>
    <v>71017</v>
    <v>531270</v>
    <v>2014</v>
  </rv>
  <rv s="2">
    <v>46</v>
  </rv>
  <rv s="0">
    <v>https://www.bing.com/financeapi/forcetrigger?t=a1yv52&amp;q=XNAS%3aNVDA&amp;form=skydnc</v>
    <v>Learn more on Bing</v>
  </rv>
  <rv s="1">
    <v>en-US</v>
    <v>a1yv52</v>
    <v>268435456</v>
    <v>1</v>
    <v>Powered by Refinitiv</v>
    <v>0</v>
    <v>NVIDIA CORPORATION (XNAS:NVDA)</v>
    <v>2</v>
    <v>3</v>
    <v>Finance</v>
    <v>4</v>
    <v>289.45999999999998</v>
    <v>108.13</v>
    <v>1.7359</v>
    <v>3.88</v>
    <v>2.9589999999999998E-3</v>
    <v>2.3498999999999999E-2</v>
    <v>0.5</v>
    <v>USD</v>
    <v>NVIDIA Corporation is a personal computer (PC) gaming market. The Company’s segments include Graphics and Compute &amp; Networking. The Graphics segment includes GeForce graphics processing units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software for building three-dimensional (3D) designs and virtual worlds. The Compute &amp; Networking segment includes Data Center platforms and systems for artificial intelligence (AI), high-performance computing (HPC), and accelerated computing; Mellanox networking and interconnect solutions; automotive AI Cockpit, autonomous driving development agreements, and autonomous vehicle solutions; cryptocurrency mining processors (CMP); Jetson for robotics, and NVIDIA AI Enterprise.</v>
    <v>22473</v>
    <v>Nasdaq Stock Market</v>
    <v>XNAS</v>
    <v>XNAS</v>
    <v>2788 San Tomas Expressway, SANTA CLARA, CA, 95051 US</v>
    <v>169.22</v>
    <v>Semiconductors &amp; Semiconductor Equipment</v>
    <v>Stock</v>
    <v>44939.935105450779</v>
    <v>48</v>
    <v>161.65</v>
    <v>415715400000</v>
    <v>NVIDIA CORPORATION</v>
    <v>NVIDIA CORPORATION</v>
    <v>162.78</v>
    <v>70.229100000000003</v>
    <v>165.11</v>
    <v>168.99</v>
    <v>169.49</v>
    <v>2460000000</v>
    <v>NVDA</v>
    <v>NVIDIA CORPORATION (XNAS:NVDA)</v>
    <v>44728706</v>
    <v>43274697</v>
    <v>1998</v>
  </rv>
  <rv s="2">
    <v>49</v>
  </rv>
  <rv s="0">
    <v>https://www.bing.com/financeapi/forcetrigger?t=bvkn2w&amp;q=XNAS%3aCRSR&amp;form=skydnc</v>
    <v>Learn more on Bing</v>
  </rv>
  <rv s="1">
    <v>en-US</v>
    <v>bvkn2w</v>
    <v>268435456</v>
    <v>1</v>
    <v>Powered by Refinitiv</v>
    <v>0</v>
    <v>CORSAIR GAMING, INC. (XNAS:CRSR)</v>
    <v>2</v>
    <v>3</v>
    <v>Finance</v>
    <v>4</v>
    <v>23.98</v>
    <v>10.96</v>
    <v>1.5449999999999999</v>
    <v>0.3</v>
    <v>-2.6192000000000003E-2</v>
    <v>2.0562E-2</v>
    <v>-0.39</v>
    <v>USD</v>
    <v>Corsair Gaming, Inc (Corsair) is engaged in providing high-performance gear for gamers, streamers and content creators. Its segments include Gamer and creator peripherals and Gaming components and systems. Gamer and creator peripherals Include high-performance gaming keyboards, mice, headsets, controllers, and our streaming gear, including capture cards, Stream Decks, Universal Serial Bus (USB) microphones, Facecam streaming camera, studio accessories and EpocCam software, as well as coaching and training services, among others. Gaming components and systems includes high-performance power supply units (PSUs), cooling solutions, computer cases, DRAM modules, as well as high-end prebuilt and custom-built gaming personal computers (PCs), among others. Its product offering includes two software platforms: iCUE for gamers and Elgatos streaming suite for streamers and content creators.</v>
    <v>2490</v>
    <v>Nasdaq Stock Market</v>
    <v>XNAS</v>
    <v>XNAS</v>
    <v>115 N. Mccarthy Boulevard, MILPITAS, CA, 95035 US</v>
    <v>14.95</v>
    <v>Computers, Phones &amp; Household Electronics</v>
    <v>Stock</v>
    <v>44939.875896990627</v>
    <v>51</v>
    <v>14.15</v>
    <v>1506535000</v>
    <v>CORSAIR GAMING, INC.</v>
    <v>CORSAIR GAMING, INC.</v>
    <v>14.38</v>
    <v>31.651299999999999</v>
    <v>14.59</v>
    <v>14.89</v>
    <v>14.5</v>
    <v>101177700</v>
    <v>CRSR</v>
    <v>CORSAIR GAMING, INC. (XNAS:CRSR)</v>
    <v>316052</v>
    <v>491804</v>
    <v>2017</v>
  </rv>
  <rv s="2">
    <v>52</v>
  </rv>
  <rv s="0">
    <v>https://www.bing.com/financeapi/forcetrigger?t=a22gw7&amp;q=XNYS%3aSAND&amp;form=skydnc</v>
    <v>Learn more on Bing</v>
  </rv>
  <rv s="1">
    <v>en-US</v>
    <v>a22gw7</v>
    <v>268435456</v>
    <v>1</v>
    <v>Powered by Refinitiv</v>
    <v>0</v>
    <v>SANDSTORM GOLD LTD. (XNYS:SAND)</v>
    <v>2</v>
    <v>22</v>
    <v>Finance</v>
    <v>5</v>
    <v>9.18</v>
    <v>4.51</v>
    <v>0.92730000000000001</v>
    <v>0.06</v>
    <v>3.4189999999999997E-3</v>
    <v>1.0363000000000001E-2</v>
    <v>0.02</v>
    <v>USD</v>
    <v>Sandstorm Gold Ltd. is a Canada-based gold-focused streaming and royalty company. The Company offers financing solutions to gold mining companies. The Company holds a portfolio of over approximately 250 royalties, of which 39 of the underlying mines are producing. It is focused on investing in the production profile through the acquisition of additional gold royalties. The Company's segment consists of Antamina, Aurizona, Blyvoor, Bonikro, Caserones, Chapada Copper, Diavik, Fruta del Norte, Greenstone, Horne 5, Hod Maden, Hounde, Hugo North Extension and Heruga, Mercedes, Platreef, Relief Canyon, Vale Royalties, Vatukoula, Yamana silver stream, and Other. The Company operates in Africa, Asia, Australia, Europe, North America, Oceania, and South America.</v>
    <v>23</v>
    <v>New York Stock Exchange</v>
    <v>XNYS</v>
    <v>XNYS</v>
    <v>Suite 1400 - 400 Burrard Street, 1400-400 Burrard Street, VANCOUVER, BC, V6C 3A6 CA</v>
    <v>5.8949999999999996</v>
    <v>Metals &amp; Mining</v>
    <v>Stock</v>
    <v>44939.881944444445</v>
    <v>54</v>
    <v>5.76</v>
    <v>2355635000</v>
    <v>SANDSTORM GOLD LTD.</v>
    <v>SANDSTORM GOLD LTD.</v>
    <v>5.81</v>
    <v>13.8078</v>
    <v>5.79</v>
    <v>5.85</v>
    <v>5.87</v>
    <v>298179700</v>
    <v>SAND</v>
    <v>SANDSTORM GOLD LTD. (XNYS:SAND)</v>
    <v>1933190</v>
    <v>2428648</v>
    <v>2015</v>
  </rv>
  <rv s="2">
    <v>55</v>
  </rv>
  <rv s="0">
    <v>https://www.bing.com/financeapi/forcetrigger?t=bjoj8m&amp;q=XNAS%3aOPRA&amp;form=skydnc</v>
    <v>Learn more on Bing</v>
  </rv>
  <rv s="7">
    <v>en-US</v>
    <v>bjoj8m</v>
    <v>268435456</v>
    <v>1</v>
    <v>Powered by Refinitiv</v>
    <v>23</v>
    <v>OPERA LIMITED (XNAS:OPRA)</v>
    <v>2</v>
    <v>24</v>
    <v>Finance</v>
    <v>4</v>
    <v>7.57</v>
    <v>3.92</v>
    <v>1.0408999999999999</v>
    <v>-0.16</v>
    <v>2.3222E-2</v>
    <v>-2.2695E-2</v>
    <v>0.16</v>
    <v>USD</v>
    <v>Opera Ltd is a Norway-based technology company that is engaged in the web browser development. The Company operates as provider of browser and integrated artificial intelligence (AI)-driven digital content discovery and recommendation platforms. The Company’s operations are comprised of search, advertising, technology licensing and other. The search revenue is generated when a user conducts a qualified search using an Opera search partner. The advertising revenue is comprised of industry-standard advertising units, predefined partner bookmarks, or speed dials, and subscriptions of various promoted services. Technology licensing and other revenues include revenues from device manufacturers and mobile communications operators. Licensing agreements include licensing of technology, related professional services, maintenance and support, as well as hosting services.</v>
    <v>630</v>
    <v>Nasdaq Stock Market</v>
    <v>XNAS</v>
    <v>XNAS</v>
    <v>Gjerdrums Vei 19, OSLO, OSLO, 0484 NO</v>
    <v>7.06</v>
    <v>Software &amp; IT Services</v>
    <v>Stock</v>
    <v>44939.875051943753</v>
    <v>57</v>
    <v>6.66</v>
    <v>780073900</v>
    <v>OPERA LIMITED</v>
    <v>OPERA LIMITED</v>
    <v>6.98</v>
    <v>7.6675000000000004</v>
    <v>7.05</v>
    <v>6.89</v>
    <v>7.05</v>
    <v>113218300</v>
    <v>OPRA</v>
    <v>OPERA LIMITED (XNAS:OPRA)</v>
    <v>109315</v>
    <v>59519</v>
  </rv>
  <rv s="2">
    <v>58</v>
  </rv>
  <rv s="0">
    <v>https://www.bing.com/financeapi/forcetrigger?t=a1qclh&amp;q=XNAS%3aCROX&amp;form=skydnc</v>
    <v>Learn more on Bing</v>
  </rv>
  <rv s="1">
    <v>en-US</v>
    <v>a1qclh</v>
    <v>268435456</v>
    <v>1</v>
    <v>Powered by Refinitiv</v>
    <v>0</v>
    <v>CROCS, INC. (XNAS:CROX)</v>
    <v>2</v>
    <v>3</v>
    <v>Finance</v>
    <v>4</v>
    <v>136.44999999999999</v>
    <v>46.08</v>
    <v>1.9274</v>
    <v>-1.29</v>
    <v>-4.5300000000000002E-3</v>
    <v>-1.0148999999999998E-2</v>
    <v>-0.56999999999999995</v>
    <v>USD</v>
    <v>Crocs, Inc. is engaged in the design, development, marketing, distribution, and sale of casual lifestyle footwear and accessories for women, men and children. The Company operates through three segments: the Americas, operating in North and South America; the Asia Pacific, operating throughout Asia, Australia, and New Zealand; and Europe, Middle East, and Africa (EMEA), operating throughout Europe, Russia, the Middle East, and Africa. Its collection contains Croslite material, which is the Company's closed-cell resin brand that uses molded footwear technology. The Company markets its products in approximately 85 countries through two distribution channels: wholesale and direct-to-consumer. Its wholesale channel includes domestic and international multi-brand retailers, mono-branded partner stores, e-tailers, and distributors. The Company's direct-to-consumer channel includes retail stores, e-commerce sites, and third-party marketplaces. Its products include Crocs, LiteRide and Jibbitz.</v>
    <v>5770</v>
    <v>Nasdaq Stock Market</v>
    <v>XNAS</v>
    <v>XNAS</v>
    <v>13601 Via Varra, BROOMFIELD, CO, 80020 US</v>
    <v>127.6581</v>
    <v>Textiles &amp; Apparel</v>
    <v>Stock</v>
    <v>44939.878620312498</v>
    <v>60</v>
    <v>122.715</v>
    <v>7768748000</v>
    <v>CROCS, INC.</v>
    <v>CROCS, INC.</v>
    <v>125</v>
    <v>14.023099999999999</v>
    <v>127.11</v>
    <v>125.82</v>
    <v>125.25</v>
    <v>61744930</v>
    <v>CROX</v>
    <v>CROCS, INC. (XNAS:CROX)</v>
    <v>1459323</v>
    <v>1331907</v>
    <v>2005</v>
  </rv>
  <rv s="2">
    <v>61</v>
  </rv>
  <rv s="0">
    <v>https://www.bing.com/financeapi/forcetrigger?t=a1nvk2&amp;q=XNYS%3aATHM&amp;form=skydnc</v>
    <v>Learn more on Bing</v>
  </rv>
  <rv s="1">
    <v>en-US</v>
    <v>a1nvk2</v>
    <v>268435456</v>
    <v>1</v>
    <v>Powered by Refinitiv</v>
    <v>0</v>
    <v>AUTOHOME INC. (XNYS:ATHM)</v>
    <v>2</v>
    <v>3</v>
    <v>Finance</v>
    <v>5</v>
    <v>40.89</v>
    <v>20.49</v>
    <v>0.14419999999999999</v>
    <v>-0.13</v>
    <v>-8.6420000000000004E-3</v>
    <v>-3.6109999999999996E-3</v>
    <v>-0.31</v>
    <v>USD</v>
    <v>Autohome Inc is a holding company mainly provides online destination for automobile consumers. It is engaged in the provision of online advertising and dealer subscription services. It, through its Websites, autohome.com.cn and che168.com, delivers content to automobile buyers and owners. Media services provide with marketing solutions in connection with brand promotion, new model release and sales promotion. Leads generation services enable dealer subscribers to create their own online stores, list pricing and promotional information, provide dealer contact information, place advertisements and manage customer relationships. Online marketplace and others focus on providing facilitation services and other platform-based services for new and used car transactions. It also provides services to its cooperative financial institutions that involve facilitating the sale of their loans and insurance products. The Company mainly conducts its businesses in the China market.</v>
    <v>5518</v>
    <v>New York Stock Exchange</v>
    <v>XNYS</v>
    <v>XNYS</v>
    <v>18th Floor Tower B, CEC Plaza, 3 Dan Ling Street, Haidian District, BEIJING, BEIJING, 100080 CN</v>
    <v>36.270000000000003</v>
    <v>Media &amp; Publishing</v>
    <v>Stock</v>
    <v>44939.888580740626</v>
    <v>63</v>
    <v>35.36</v>
    <v>4677291000</v>
    <v>AUTOHOME INC.</v>
    <v>AUTOHOME INC.</v>
    <v>36.14</v>
    <v>21.628900000000002</v>
    <v>36</v>
    <v>35.869999999999997</v>
    <v>35.56</v>
    <v>127346900</v>
    <v>ATHM</v>
    <v>AUTOHOME INC. (XNYS:ATHM)</v>
    <v>477500</v>
    <v>712948</v>
    <v>2008</v>
  </rv>
  <rv s="2">
    <v>64</v>
  </rv>
  <rv s="0">
    <v>https://www.bing.com/financeapi/forcetrigger?t=aqbzjc&amp;q=XWAR%3aDNP&amp;form=skydnc</v>
    <v>Learn more on Bing</v>
  </rv>
  <rv s="3">
    <v>en-US</v>
    <v>aqbzjc</v>
    <v>268435456</v>
    <v>1</v>
    <v>Powered by Refinitiv</v>
    <v>6</v>
    <v>DINO POLSKA S.A. (XWAR:DNP)</v>
    <v>2</v>
    <v>25</v>
    <v>Finance</v>
    <v>26</v>
    <v>390.3</v>
    <v>240</v>
    <v>0.65339999999999998</v>
    <v>0</v>
    <v>0</v>
    <v>PLN</v>
    <v>Dino Polska SA is a Poland-based company primarily engaged in the food retail. The Company focuses on operating a supermarkets chain under the Dino brand name. Its offer includes dairy and bakery products, chocolate and non-chocolate confectionary, fruits and vegetables, alcoholic and non-alcoholic beverages, as well as pet food, among others. In addition, the Company provides meat stalls under the Agro-Rydzyna brand name, as well as sells non-food goods, such as cosmetics, household products, kitchen appliances and toys. It also offers mobile phone recharge, cash back service and vouchers. The Company's supermarkets are located in a number of Polish voivodeships, including wielkopolskie, dolnoslaskie, lodzkie, mazowieckie and pomorskie, among others.</v>
    <v>35652</v>
    <v>Warsaw Stock Exchange</v>
    <v>XWAR</v>
    <v>XWAR</v>
    <v>ul. Ostrowska 122, KROTOSZYN, WOJ. WIELKOPOLSKIE, 63-700 PL</v>
    <v>371</v>
    <v>Food &amp; Drug Retailing</v>
    <v>Stock</v>
    <v>44939.669444444444</v>
    <v>66</v>
    <v>363</v>
    <v>35637540000</v>
    <v>DINO POLSKA S.A.</v>
    <v>DINO POLSKA S.A.</v>
    <v>366.7</v>
    <v>34.446300000000001</v>
    <v>363.5</v>
    <v>363.5</v>
    <v>98040000</v>
    <v>DNP</v>
    <v>DINO POLSKA S.A. (XWAR:DNP)</v>
    <v>106776</v>
    <v>175210</v>
    <v>2012</v>
  </rv>
  <rv s="2">
    <v>67</v>
  </rv>
  <rv s="0">
    <v>https://www.bing.com/financeapi/forcetrigger?t=a32har&amp;q=XNAS%3aXPEL&amp;form=skydnc</v>
    <v>Learn more on Bing</v>
  </rv>
  <rv s="1">
    <v>en-US</v>
    <v>a32har</v>
    <v>268435456</v>
    <v>1</v>
    <v>Powered by Refinitiv</v>
    <v>0</v>
    <v>XPEL, INC. (XNAS:XPEL)</v>
    <v>2</v>
    <v>3</v>
    <v>Finance</v>
    <v>5</v>
    <v>87.01</v>
    <v>39.799999999999997</v>
    <v>1.5773999999999999</v>
    <v>1.98</v>
    <v>-3.0120000000000001E-2</v>
    <v>2.7864E-2</v>
    <v>-2.2000000000000002</v>
    <v>USD</v>
    <v>Xpel Inc. manufactures, sells and installs after-market automotive products, including automotive surface and paint protection, headlight protection, and automotive window films. The Company’s products include architectural window film (both commercial and residential) and security film protection for commercial and residential uses, and also provides automotive ceramic coatings products. Its products also include ULTIMATE PLUS paint protection film (PPF), ULTIMATE PLUS BLACK PPF, ULTIMATE PLUS, STEALTH satin PPF, TRACWRAP temporary protection film, ARMOR protective film, RX 8 gloss protective film, RX 8 matte protective film, RX 10 gloss protective film, RX 10 matte protective film and PRIME automotive window. The Company also offers car care services, including anti-static glass cleaner, ceramic boost, detail spray, interior cleaner, iron remover, paint protection film (PPF) cleaner, PPF sealant, rinse-free car wash, water spot remover, cleaning &amp; detailing, towels &amp; microfibers.</v>
    <v>709</v>
    <v>Nasdaq Stock Market</v>
    <v>XNAS</v>
    <v>XNAS</v>
    <v>3251 I-35, SAN ANTONIO, TX, 78219 US</v>
    <v>73.28</v>
    <v>Automobiles &amp; Auto Parts</v>
    <v>Stock</v>
    <v>44939.880846816406</v>
    <v>69</v>
    <v>69.727999999999994</v>
    <v>2017077000</v>
    <v>XPEL, INC.</v>
    <v>XPEL, INC.</v>
    <v>70.11</v>
    <v>50.0246</v>
    <v>71.06</v>
    <v>73.040000000000006</v>
    <v>70.84</v>
    <v>27616060</v>
    <v>XPEL</v>
    <v>XPEL, INC. (XNAS:XPEL)</v>
    <v>174925</v>
    <v>113774</v>
    <v>2003</v>
  </rv>
  <rv s="2">
    <v>70</v>
  </rv>
  <rv s="0">
    <v>https://www.bing.com/financeapi/forcetrigger?t=ah387w&amp;q=XHKG%3a1830&amp;form=skydnc</v>
    <v>Learn more on Bing</v>
  </rv>
  <rv s="1">
    <v>en-US</v>
    <v>ah387w</v>
    <v>268435456</v>
    <v>1</v>
    <v>Powered by Refinitiv</v>
    <v>0</v>
    <v>PERFECT MEDICAL HEALTH MANAGEMENT LIMITED (XHKG:1830)</v>
    <v>2</v>
    <v>14</v>
    <v>Finance</v>
    <v>10</v>
    <v>5.5</v>
    <v>2.7</v>
    <v>1.2559</v>
    <v>0.11</v>
    <v>0</v>
    <v>2.5172E-2</v>
    <v>0</v>
    <v>HKD</v>
    <v>Perfect Medical Health Management Ltd is an investment holding company mainly engaged in the provision of medical health and medical beauty services. The Company is engaged in the provision of medical aesthetic services such as personalized medical aesthetic solutions for men and women. The Company is also engaged in the provision of medical and health services such as hair growth service, pain management service and preventive care service. In addition, the Company is also engaged in the provision of reproductive medical services such as infertility, artificial insemination, egg freezing services, prenatal diagnosis services, obstetrics and gynecology medical services and women's cancer and health management services. The Company mainly operates its business in Hong Kong, Macau, Mainland China, Australia and Singapore.</v>
    <v>1357</v>
    <v>Hong Kong Stock Exchange</v>
    <v>XHKG</v>
    <v>XHKG</v>
    <v>51st Floor, Langham Place Office Tower, 8 Argyle Street, Mong Kok, Kowloon HK</v>
    <v>4.5</v>
    <v>Personal &amp; Household Products &amp; Services</v>
    <v>Stock</v>
    <v>44939.339166666665</v>
    <v>72</v>
    <v>4.28</v>
    <v>5636005000</v>
    <v>PERFECT MEDICAL HEALTH MANAGEMENT LIMITED</v>
    <v>PERFECT MEDICAL HEALTH MANAGEMENT LIMITED</v>
    <v>4.42</v>
    <v>23.19</v>
    <v>4.37</v>
    <v>4.4800000000000004</v>
    <v>4.4800000000000004</v>
    <v>1258037000</v>
    <v>1830</v>
    <v>PERFECT MEDICAL HEALTH MANAGEMENT LIMITED (XHKG:1830)</v>
    <v>714000</v>
    <v>1138640</v>
    <v>2011</v>
  </rv>
  <rv s="2">
    <v>73</v>
  </rv>
  <rv s="0">
    <v>https://www.bing.com/financeapi/forcetrigger?t=a23d9c&amp;q=XNYS%3aSPGI&amp;form=skydnc</v>
    <v>Learn more on Bing</v>
  </rv>
  <rv s="1">
    <v>en-US</v>
    <v>a23d9c</v>
    <v>268435456</v>
    <v>1</v>
    <v>Powered by Refinitiv</v>
    <v>0</v>
    <v>S&amp;P Global Inc. (XNYS:SPGI)</v>
    <v>2</v>
    <v>3</v>
    <v>Finance</v>
    <v>5</v>
    <v>450.07</v>
    <v>279.32</v>
    <v>1.07</v>
    <v>-1.39</v>
    <v>7.3690000000000008E-4</v>
    <v>-3.7799999999999999E-3</v>
    <v>0.27</v>
    <v>USD</v>
    <v>S&amp;P Global Inc. is a provider of credit ratings, benchmarks, analytics and workflow solutions in the global capital, commodity and automotive markets. The Company comprises six operating divisions: S&amp;P Global Market Intelligence (Market Intelligence), S&amp;P Global Ratings (Ratings), S&amp;P Global Commodity Insights (Commodity Insights), S&amp;P Global Mobility (Mobility), S&amp;P Dow Jones Indices (Indices), and S&amp;P Global Engineering Solutions (Engineering Solutions). Its Ratings provides credit ratings, research and analytics to investors and other market participants. Its Market Intelligence consists of three business line: desktop, data management solutions and credit risk solutions. Its Indices is an index provider that maintains a range of indices to meet various investor needs. Its Mobility provides insights, forecasts and advisory services to automotive value chain. Its Commodity Insights is an independent provider of information and benchmark prices for the commodity and energy markets.</v>
    <v>22850</v>
    <v>New York Stock Exchange</v>
    <v>XNYS</v>
    <v>XNYS</v>
    <v>55 Water St, NEW YORK, NY, 10041-0004 US</v>
    <v>366.72</v>
    <v>Professional &amp; Commercial Services</v>
    <v>Stock</v>
    <v>44939.910315312503</v>
    <v>75</v>
    <v>362.93</v>
    <v>119366600000</v>
    <v>S&amp;P Global Inc.</v>
    <v>S&amp;P Global Inc.</v>
    <v>363.95</v>
    <v>30.75</v>
    <v>367.77</v>
    <v>366.38</v>
    <v>366.65</v>
    <v>325800000</v>
    <v>SPGI</v>
    <v>S&amp;P Global Inc. (XNYS:SPGI)</v>
    <v>1447094</v>
    <v>1489966</v>
    <v>1925</v>
  </rv>
  <rv s="2">
    <v>76</v>
  </rv>
  <rv s="0">
    <v>https://www.bing.com/financeapi/forcetrigger?t=a1sz9c&amp;q=XNAS%3aFLEX&amp;form=skydnc</v>
    <v>Learn more on Bing</v>
  </rv>
  <rv s="7">
    <v>en-US</v>
    <v>a1sz9c</v>
    <v>268435456</v>
    <v>1</v>
    <v>Powered by Refinitiv</v>
    <v>23</v>
    <v>FLEX LTD. (XNAS:FLEX)</v>
    <v>2</v>
    <v>24</v>
    <v>Finance</v>
    <v>4</v>
    <v>24.074999999999999</v>
    <v>13.63</v>
    <v>1.4853000000000001</v>
    <v>0.57999999999999996</v>
    <v>4.0365999999999999E-2</v>
    <v>2.4733000000000002E-2</v>
    <v>0.97</v>
    <v>USD</v>
    <v>Flex Ltd. is a Singapore-based company that provides manufacturing solutions and operates global supply chains. The Company's segments include Flex Agility Solutions (FAS), Flex Reliability Solutions (FRS) and Nextracker. The FAS segment consists of end markets, such as Communications, Enterprise and Cloud (CEC), including data infrastructure, edge infrastructure and communications infrastructure; Lifestyle, including appliances, consumer packaging, floorcare, micro mobility and audio; and Consumer Devices, including mobile and high velocity consumer devices. The FRS segment consists of end markets, such as Automotive, including mobility, autonomous, connectivity, electrification, and smart technologies; Health Solutions, including medical devices, medical equipment, and drug delivery; and Industrial, including capital equipment, industrial devices, and renewables and grid edge. The Nextracker segment provides intelligent, integrated solar tracker and software solutions.</v>
    <v>172648</v>
    <v>Nasdaq Stock Market</v>
    <v>XNAS</v>
    <v>XNAS</v>
    <v>2 Changi South Lane, 486123 SG</v>
    <v>24.074999999999999</v>
    <v>Electronic Equipment &amp; Parts</v>
    <v>Stock</v>
    <v>44939.994575647659</v>
    <v>78</v>
    <v>23.14</v>
    <v>10880400000</v>
    <v>FLEX LTD.</v>
    <v>FLEX LTD.</v>
    <v>23.23</v>
    <v>13.4642</v>
    <v>23.45</v>
    <v>24.03</v>
    <v>25</v>
    <v>452784000</v>
    <v>FLEX</v>
    <v>FLEX LTD. (XNAS:FLEX)</v>
    <v>6223675</v>
    <v>4111046</v>
  </rv>
  <rv s="2">
    <v>79</v>
  </rv>
  <rv s="0">
    <v>https://www.bing.com/financeapi/forcetrigger?t=a1y2bh&amp;q=XNAS%3aMTCH&amp;form=skydnc</v>
    <v>Learn more on Bing</v>
  </rv>
  <rv s="1">
    <v>en-US</v>
    <v>a1y2bh</v>
    <v>268435456</v>
    <v>1</v>
    <v>Powered by Refinitiv</v>
    <v>0</v>
    <v>MATCH GROUP, INC. (XNAS:MTCH)</v>
    <v>2</v>
    <v>3</v>
    <v>Finance</v>
    <v>4</v>
    <v>128.87</v>
    <v>38.64</v>
    <v>0.89559999999999995</v>
    <v>7.0000000000000007E-2</v>
    <v>-2.601E-3</v>
    <v>1.5199999999999999E-3</v>
    <v>-0.12</v>
    <v>USD</v>
    <v>Match Group, Inc. provider of dating products through its portfolio companies which are available globally. The Company’s portfolio of brands includes Tinder, Match, Hinge, Meetic, OkCupid, Pairs, PlentyOfFish, OurTime, Azar and Hakuna Live, and other brands which are designed for users' to find a connection. The Company’s Tinder premium features include Tinder Gold, Tinder Platinum, Super Likes, Tinder Explore and the Swipe Night interactive series. Pairs is a dating platform is designed to address social barriers generally associated with the use of dating services in Eastern Asian countries, particularly Japan. Hakuna Live is an interactive, social app that allows for one-to-many live streaming experiences. OurTime is the community of singles over age 50 of any dating service. It offers this service in the United States, Canada, and various European markets. The Company’s products are available in over 40 languages to users all over the world.</v>
    <v>2500</v>
    <v>Nasdaq Stock Market</v>
    <v>XNAS</v>
    <v>XNAS</v>
    <v>8750 NORTH CENTRAL EXPRESSWAY, SUITE 1400, DALLAS, TX, 75231 US</v>
    <v>46.354999999999997</v>
    <v>Software &amp; IT Services</v>
    <v>Stock</v>
    <v>44939.900895914063</v>
    <v>81</v>
    <v>45.3</v>
    <v>12884390000</v>
    <v>MATCH GROUP, INC.</v>
    <v>MATCH GROUP, INC.</v>
    <v>45.47</v>
    <v>121.81</v>
    <v>46.06</v>
    <v>46.13</v>
    <v>46.01</v>
    <v>279306100</v>
    <v>MTCH</v>
    <v>MATCH GROUP, INC. (XNAS:MTCH)</v>
    <v>2971031</v>
    <v>4849098</v>
    <v>1986</v>
  </rv>
  <rv s="2">
    <v>82</v>
  </rv>
  <rv s="0">
    <v>https://www.bing.com/financeapi/forcetrigger?t=a2iear&amp;q=OTCM%3aGMWKF&amp;form=skydnc</v>
    <v>Learn more on Bing</v>
  </rv>
  <rv s="3">
    <v>en-US</v>
    <v>a2iear</v>
    <v>268435456</v>
    <v>1</v>
    <v>Powered by Refinitiv</v>
    <v>6</v>
    <v>GAMES WORKSHOP GROUP PLC (OTCM:GMWKF)</v>
    <v>2</v>
    <v>27</v>
    <v>Finance</v>
    <v>8</v>
    <v>123.75</v>
    <v>63.71</v>
    <v>1.4554</v>
    <v>6.75</v>
    <v>6.2645000000000006E-2</v>
    <v>USD</v>
    <v>Games Workshop Group PLC designs and manufactures miniature figures and games and distributes these through its own network of retail stores, independent retailers and online via the global Web stores. The Company has manufacturing activities in the United Kingdom and sells mainly in the United Kingdom, Continental Europe, North America, Australia, New Zealand and Asia. It also grants licenses to third parties for the development of video games and other products utilizing its intellectual property. It operates through two segments: Core and Licensing. Its Core segment is engaged in the design, manufacture and sales of its fantasy miniatures and related products. Its Core segment has been divided into channels, such as Trade; Retail; Online; Design, manufacturing, logistics and operations, and Group. Its Licensing segment includes licenses granted to external partners, including the development of digital content for animation and TV. It operates over 518 retail stores in 23 countries.</v>
    <v>941</v>
    <v>OTC Markets</v>
    <v>OTCM</v>
    <v>OTCM</v>
    <v>Willow Road, NOTTINGHAM, NOTTINGHAMSHIRE, NG7 2WS GB</v>
    <v>114.5</v>
    <v>Leisure Products</v>
    <v>Stock</v>
    <v>44939.807327187496</v>
    <v>84</v>
    <v>113</v>
    <v>3101709000</v>
    <v>GAMES WORKSHOP GROUP PLC</v>
    <v>GAMES WORKSHOP GROUP PLC</v>
    <v>111.54</v>
    <v>23.660699999999999</v>
    <v>107.75</v>
    <v>114.5</v>
    <v>32909380</v>
    <v>GMWKF</v>
    <v>GAMES WORKSHOP GROUP PLC (OTCM:GMWKF)</v>
    <v>1353</v>
    <v>59310</v>
    <v>1991</v>
  </rv>
  <rv s="2">
    <v>85</v>
  </rv>
  <rv s="0">
    <v>https://www.bing.com/financeapi/forcetrigger?t=brxwh7&amp;q=XASX%3aMAD&amp;form=skydnc</v>
    <v>Learn more on Bing</v>
  </rv>
  <rv s="3">
    <v>en-US</v>
    <v>brxwh7</v>
    <v>268435456</v>
    <v>1</v>
    <v>Powered by Refinitiv</v>
    <v>6</v>
    <v>MADER GROUP LIMITED (XASX:MAD)</v>
    <v>2</v>
    <v>28</v>
    <v>Finance</v>
    <v>29</v>
    <v>3.97</v>
    <v>1.71</v>
    <v>1.018</v>
    <v>0.03</v>
    <v>8.1969999999999994E-3</v>
    <v>AUD</v>
    <v>Mader Group Limited is a provider of specialist heavy equipment maintenance services. The Company’s segments include Australia, North America and Rest of World. The Company’s services include rail services, digger support team, drill support team, fabrication and line boring, processing infrastructure, non-processing infrastructure, power generation &amp; marine, field support, professional support roles, maintenance projects, electrical services, component exchange, rapid response teams, rostered support, HME shutdown teams, specialized tool hire, mader clean team, trade upgrade program, training national workforces and workshop offsite repairs. The Company provides solutions for rail construction, maintenance, and repairs from general track maintenance to electrical systems and signaling. It offers skilled technicians to perform inspections, repair, and overhaul services on all types of rail vehicles including locomotives, diesel motor units, control and blind trailer cars.</v>
    <v>2200</v>
    <v>Australian Securities Exchange</v>
    <v>XASX</v>
    <v>XASX</v>
    <v>Hkew Alpha Bldg, U A1 2 George Wiencke Dr, Perth, WESTERN AUSTRALIA, 6105 AU</v>
    <v>3.73</v>
    <v>Professional &amp; Commercial Services</v>
    <v>Stock</v>
    <v>44939.333333333336</v>
    <v>87</v>
    <v>3.6549999999999998</v>
    <v>738000000</v>
    <v>MADER GROUP LIMITED</v>
    <v>MADER GROUP LIMITED</v>
    <v>3.68</v>
    <v>26.41</v>
    <v>3.66</v>
    <v>3.69</v>
    <v>200000000</v>
    <v>MAD</v>
    <v>MADER GROUP LIMITED (XASX:MAD)</v>
    <v>28879</v>
    <v>36250</v>
    <v>2012</v>
  </rv>
  <rv s="2">
    <v>88</v>
  </rv>
  <rv s="0">
    <v>https://www.bing.com/financeapi/forcetrigger?t=bxkq27&amp;q=XLON%3aDOCS&amp;form=skydnc</v>
    <v>Learn more on Bing</v>
  </rv>
  <rv s="3">
    <v>en-US</v>
    <v>bxkq27</v>
    <v>268435456</v>
    <v>1</v>
    <v>Powered by Refinitiv</v>
    <v>6</v>
    <v>DR. MARTENS PLC (XLON:DOCS)</v>
    <v>2</v>
    <v>15</v>
    <v>Finance</v>
    <v>16</v>
    <v>372.8</v>
    <v>173</v>
    <v>0.91300000000000003</v>
    <v>-2.8</v>
    <v>-1.3158000000000001E-2</v>
    <v>GBp</v>
    <v>Dr. Martens plc is a United Kingdom-based company that designs, develops, procures, markets, sells and distributes footwear, under the Dr. Martens brand. The Company operates through three reporting segments: Europe, the Middle East and Africa (EMEA); Americas; and Americas and Asia-Pacific (APAC). Its product categories include Originals, Fusion, Kids, Casual and Accessories. The Originals category comprises boots, shoes and loafers and also included within the Originals category is the Made in England range. The Fusion category comprises platform boots and shoes, sandals, heels, and refined take downs of the Originals. Within the Kids category is the mini-me range, which includes Originals, Fusion, and Casual collections. It offers various accessories, such as shoe care, laces and socks, leather bags and small leather items. The Company operates in over 60 countries globally, through a range of modes: directly operated stores and ecommerce sites, wholesale partners and distributors.</v>
    <v>2229</v>
    <v>London Stock Exchange</v>
    <v>XLON</v>
    <v>XLON</v>
    <v>28 Jamestown Rd, Camden, LONDON, UNITED KINGDOM-NA, NW1 7BY GB</v>
    <v>214.8</v>
    <v>Textiles &amp; Apparel</v>
    <v>Stock</v>
    <v>44939.691026955472</v>
    <v>90</v>
    <v>202.4</v>
    <v>2101535000</v>
    <v>DR. MARTENS PLC</v>
    <v>DR. MARTENS PLC</v>
    <v>202.4</v>
    <v>11.981999999999999</v>
    <v>212.8</v>
    <v>210</v>
    <v>1000731000</v>
    <v>DOCS</v>
    <v>DR. MARTENS PLC (XLON:DOCS)</v>
    <v>919028</v>
    <v>3163120</v>
    <v>2020</v>
  </rv>
  <rv s="2">
    <v>91</v>
  </rv>
</rvData>
</file>

<file path=xl/richData/rdrichvaluestructure.xml><?xml version="1.0" encoding="utf-8"?>
<rvStructures xmlns="http://schemas.microsoft.com/office/spreadsheetml/2017/richdata" count="8">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rvStructures>
</file>

<file path=xl/richData/rdsupportingpropertybag.xml><?xml version="1.0" encoding="utf-8"?>
<supportingPropertyBags xmlns="http://schemas.microsoft.com/office/spreadsheetml/2017/richdata2">
  <spbArrays count="6">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spbArrays>
  <spbData count="30">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4">
      <v>at close</v>
      <v>from previous close</v>
      <v>from previous close</v>
      <v>Source: Nasdaq</v>
      <v>GMT</v>
      <v>Delayed 15 minutes</v>
      <v>from close</v>
      <v>from close</v>
    </spb>
    <spb s="0">
      <v>1</v>
      <v>Name</v>
      <v>LearnMoreOnLink</v>
    </spb>
    <spb s="5">
      <v>1</v>
      <v>2</v>
      <v>2</v>
      <v>1</v>
      <v>3</v>
      <v>1</v>
      <v>1</v>
      <v>1</v>
      <v>4</v>
      <v>4</v>
      <v>5</v>
      <v>6</v>
      <v>1</v>
      <v>1</v>
      <v>1</v>
      <v>4</v>
      <v>7</v>
      <v>8</v>
      <v>9</v>
      <v>4</v>
    </spb>
    <spb s="6">
      <v>Delayed 15 minutes</v>
      <v>from previous close</v>
      <v>from previous close</v>
      <v>GMT</v>
    </spb>
    <spb s="3">
      <v>1</v>
      <v>2</v>
      <v>2</v>
      <v>1</v>
      <v>3</v>
      <v>1</v>
      <v>1</v>
      <v>1</v>
      <v>4</v>
      <v>4</v>
      <v>5</v>
      <v>10</v>
      <v>1</v>
      <v>1</v>
      <v>1</v>
      <v>4</v>
      <v>7</v>
      <v>8</v>
      <v>9</v>
      <v>4</v>
      <v>1</v>
      <v>1</v>
      <v>5</v>
    </spb>
    <spb s="7">
      <v>at close</v>
      <v>from previous close</v>
      <v>from previous close</v>
      <v>GMT</v>
      <v>Delayed 15 minutes</v>
      <v>from close</v>
      <v>from close</v>
    </spb>
    <spb s="0">
      <v>2</v>
      <v>Name</v>
      <v>LearnMoreOnLink</v>
    </spb>
    <spb s="8">
      <v>11</v>
      <v>2</v>
      <v>2</v>
      <v>11</v>
      <v>3</v>
      <v>11</v>
      <v>11</v>
      <v>11</v>
      <v>4</v>
      <v>4</v>
      <v>5</v>
      <v>12</v>
      <v>11</v>
      <v>11</v>
      <v>11</v>
      <v>4</v>
      <v>7</v>
      <v>9</v>
      <v>4</v>
    </spb>
    <spb s="9">
      <v>Delayed 15 minutes</v>
      <v>from previous close</v>
      <v>from previous close</v>
      <v>Borsa Italia</v>
      <v>GMT</v>
    </spb>
    <spb s="3">
      <v>13</v>
      <v>2</v>
      <v>2</v>
      <v>13</v>
      <v>3</v>
      <v>13</v>
      <v>13</v>
      <v>13</v>
      <v>4</v>
      <v>4</v>
      <v>5</v>
      <v>14</v>
      <v>13</v>
      <v>13</v>
      <v>13</v>
      <v>4</v>
      <v>7</v>
      <v>8</v>
      <v>9</v>
      <v>4</v>
      <v>13</v>
      <v>13</v>
      <v>5</v>
    </spb>
    <spb s="5">
      <v>15</v>
      <v>2</v>
      <v>2</v>
      <v>15</v>
      <v>3</v>
      <v>15</v>
      <v>15</v>
      <v>15</v>
      <v>4</v>
      <v>4</v>
      <v>5</v>
      <v>16</v>
      <v>15</v>
      <v>15</v>
      <v>15</v>
      <v>4</v>
      <v>7</v>
      <v>8</v>
      <v>9</v>
      <v>4</v>
    </spb>
    <spb s="9">
      <v>Delayed 15 minutes</v>
      <v>from previous close</v>
      <v>from previous close</v>
      <v>LSE</v>
      <v>GMT</v>
    </spb>
    <spb s="0">
      <v>3</v>
      <v>Name</v>
      <v>LearnMoreOnLink</v>
    </spb>
    <spb s="10">
      <v>1</v>
      <v>2</v>
      <v>1</v>
      <v>3</v>
      <v>1</v>
      <v>1</v>
      <v>1</v>
      <v>4</v>
      <v>4</v>
      <v>5</v>
      <v>6</v>
      <v>1</v>
      <v>1</v>
      <v>1</v>
      <v>4</v>
      <v>7</v>
      <v>8</v>
      <v>9</v>
      <v>4</v>
      <v>1</v>
      <v>1</v>
      <v>5</v>
    </spb>
    <spb s="0">
      <v>4</v>
      <v>Name</v>
      <v>LearnMoreOnLink</v>
    </spb>
    <spb s="11">
      <v>1</v>
      <v>2</v>
      <v>1</v>
      <v>3</v>
      <v>1</v>
      <v>1</v>
      <v>1</v>
      <v>4</v>
      <v>4</v>
      <v>5</v>
      <v>6</v>
      <v>1</v>
      <v>1</v>
      <v>1</v>
      <v>4</v>
      <v>7</v>
      <v>8</v>
      <v>9</v>
      <v>4</v>
      <v>1</v>
      <v>1</v>
      <v>5</v>
    </spb>
    <spb s="10">
      <v>1</v>
      <v>2</v>
      <v>1</v>
      <v>3</v>
      <v>1</v>
      <v>1</v>
      <v>1</v>
      <v>4</v>
      <v>4</v>
      <v>5</v>
      <v>17</v>
      <v>1</v>
      <v>1</v>
      <v>1</v>
      <v>4</v>
      <v>7</v>
      <v>8</v>
      <v>9</v>
      <v>4</v>
      <v>1</v>
      <v>1</v>
      <v>5</v>
    </spb>
    <spb s="3">
      <v>1</v>
      <v>2</v>
      <v>2</v>
      <v>1</v>
      <v>3</v>
      <v>1</v>
      <v>1</v>
      <v>1</v>
      <v>4</v>
      <v>4</v>
      <v>5</v>
      <v>18</v>
      <v>1</v>
      <v>1</v>
      <v>1</v>
      <v>4</v>
      <v>7</v>
      <v>8</v>
      <v>9</v>
      <v>4</v>
      <v>1</v>
      <v>1</v>
      <v>5</v>
    </spb>
    <spb s="0">
      <v>5</v>
      <v>Name</v>
      <v>LearnMoreOnLink</v>
    </spb>
    <spb s="12">
      <v>1</v>
      <v>2</v>
      <v>2</v>
      <v>1</v>
      <v>3</v>
      <v>1</v>
      <v>1</v>
      <v>1</v>
      <v>4</v>
      <v>4</v>
      <v>5</v>
      <v>6</v>
      <v>1</v>
      <v>1</v>
      <v>1</v>
      <v>4</v>
      <v>7</v>
      <v>9</v>
      <v>4</v>
      <v>1</v>
      <v>1</v>
      <v>5</v>
    </spb>
    <spb s="5">
      <v>19</v>
      <v>2</v>
      <v>2</v>
      <v>19</v>
      <v>3</v>
      <v>19</v>
      <v>19</v>
      <v>19</v>
      <v>4</v>
      <v>4</v>
      <v>5</v>
      <v>20</v>
      <v>19</v>
      <v>19</v>
      <v>19</v>
      <v>4</v>
      <v>7</v>
      <v>8</v>
      <v>9</v>
      <v>4</v>
    </spb>
    <spb s="6">
      <v>End of Day</v>
      <v>from previous close</v>
      <v>from previous close</v>
      <v>GMT</v>
    </spb>
    <spb s="5">
      <v>1</v>
      <v>2</v>
      <v>2</v>
      <v>1</v>
      <v>3</v>
      <v>1</v>
      <v>1</v>
      <v>1</v>
      <v>4</v>
      <v>4</v>
      <v>5</v>
      <v>16</v>
      <v>1</v>
      <v>1</v>
      <v>1</v>
      <v>4</v>
      <v>7</v>
      <v>8</v>
      <v>9</v>
      <v>4</v>
    </spb>
    <spb s="5">
      <v>21</v>
      <v>2</v>
      <v>2</v>
      <v>21</v>
      <v>3</v>
      <v>21</v>
      <v>21</v>
      <v>21</v>
      <v>4</v>
      <v>4</v>
      <v>5</v>
      <v>22</v>
      <v>21</v>
      <v>21</v>
      <v>21</v>
      <v>4</v>
      <v>7</v>
      <v>8</v>
      <v>9</v>
      <v>4</v>
    </spb>
    <spb s="6">
      <v>Delayed 20 minutes</v>
      <v>from previous close</v>
      <v>from previous close</v>
      <v>GMT</v>
    </spb>
  </spbData>
</supportingPropertyBags>
</file>

<file path=xl/richData/rdsupportingpropertybagstructure.xml><?xml version="1.0" encoding="utf-8"?>
<spbStructures xmlns="http://schemas.microsoft.com/office/spreadsheetml/2017/richdata2" count="13">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
    <k n="Price" t="s"/>
    <k n="Change" t="s"/>
    <k n="Change (%)"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Price" t="s"/>
    <k n="Change" t="s"/>
    <k n="Change (%)" t="s"/>
    <k n="ExchangeID"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P/E"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mm"/>
    </x:dxf>
    <x:dxf>
      <x:numFmt numFmtId="14" formatCode="0.00%"/>
    </x:dxf>
    <x:dxf>
      <x:numFmt numFmtId="3" formatCode="#,##0"/>
    </x:dxf>
    <x:dxf>
      <x:numFmt numFmtId="4" formatCode="#,##0.00"/>
    </x:dxf>
    <x:dxf>
      <x:numFmt numFmtId="1" formatCode="0"/>
    </x:dxf>
    <x:dxf>
      <x:numFmt numFmtId="35" formatCode="_-* #,##0.00_-;\-* #,##0.00_-;_-* &quot;-&quot;??_-;_-@_-"/>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dxfid="1">
      <rpv i="0">_-[$¥-ja-JP]* #,##0_-;-[$¥-ja-JP]* #,##0_-;_-[$¥-ja-JP]* "-"_-;_-@_-</rpv>
    </rSty>
    <rSty dxfid="1">
      <rpv i="0">_([$€-x-euro2] * #,##0.00_);_([$€-x-euro2] * (#,##0.00);_([$€-x-euro2] * "-"??_);_(@_)</rpv>
    </rSty>
    <rSty dxfid="1">
      <rpv i="0">_([$€-x-euro2] * #,##0_);_([$€-x-euro2] * (#,##0);_([$€-x-euro2] * "-"_);_(@_)</rpv>
    </rSty>
    <rSty dxfid="1">
      <rpv i="0">_-[$$-en-HK]* #,##0.00_-;-[$$-en-HK]* #,##0.00_-;_-[$$-en-HK]* "-"??_-;_-@_-</rpv>
    </rSty>
    <rSty dxfid="1">
      <rpv i="0">_-[$$-en-HK]* #,##0_-;-[$$-en-HK]* #,##0_-;_-[$$-en-HK]* "-"_-;_-@_-</rpv>
    </rSty>
    <rSty dxfid="7">
      <rpv i="0">_(* #,##0.00_);_(* (#,##0.00);_(* "-"??_);_(@_)</rpv>
    </rSty>
    <rSty dxfid="1">
      <rpv i="0">_-[$£-en-GB]* #,##0_-;-[$£-en-GB]* #,##0_-;_-[$£-en-GB]* "-"_-;_-@_-</rpv>
    </rSty>
    <rSty dxfid="1">
      <rpv i="0">_-* #,##0 [$kr-smj-SE]_-;-* #,##0 [$kr-smj-SE]_-;_-* "-" [$kr-smj-SE]_-;_-@_-</rpv>
    </rSty>
    <rSty dxfid="1">
      <rpv i="0">_-[$$-en-CA]* #,##0_-;-[$$-en-CA]* #,##0_-;_-[$$-en-CA]* "-"_-;_-@_-</rpv>
    </rSty>
    <rSty dxfid="1">
      <rpv i="0">_-* #,##0.00 [$zł-pl-PL]_-;-* #,##0.00 [$zł-pl-PL]_-;_-* "-"?? [$zł-pl-PL]_-;_-@_-</rpv>
    </rSty>
    <rSty dxfid="1">
      <rpv i="0">_-* #,##0 [$zł-pl-PL]_-;-* #,##0 [$zł-pl-PL]_-;_-* "-" [$zł-pl-PL]_-;_-@_-</rpv>
    </rSty>
    <rSty dxfid="1">
      <rpv i="0">_-[$$-en-AU]* #,##0.00_-;-[$$-en-AU]* #,##0.00_-;_-[$$-en-AU]* "-"??_-;_-@_-</rpv>
    </rSty>
    <rSty dxfid="1">
      <rpv i="0">_-[$$-en-AU]* #,##0_-;-[$$-en-AU]* #,##0_-;_-[$$-en-AU]*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33CFB4D-F199-4348-B07F-318ED2E8086B}" name="Tabla1" displayName="Tabla1" ref="A1:T34" totalsRowCount="1" headerRowDxfId="41" headerRowBorderDxfId="40" tableBorderDxfId="39">
  <autoFilter ref="A1:T33" xr:uid="{D33CFB4D-F199-4348-B07F-318ED2E8086B}"/>
  <sortState xmlns:xlrd2="http://schemas.microsoft.com/office/spreadsheetml/2017/richdata2" ref="A2:T33">
    <sortCondition descending="1" ref="G1:G33"/>
  </sortState>
  <tableColumns count="20">
    <tableColumn id="1" xr3:uid="{AD982FAD-8CBD-434C-B116-FA54BB443EA7}" name="Ticker" totalsRowLabel="Total" dataDxfId="38" totalsRowDxfId="37"/>
    <tableColumn id="2" xr3:uid="{13108310-4E80-4955-87D5-50ABFE9808A2}" name="Nombre" totalsRowFunction="count" dataDxfId="36" totalsRowDxfId="35"/>
    <tableColumn id="3" xr3:uid="{740DF2CF-2890-4346-8B3A-BFB6CD4B59AA}" name="Sector" dataDxfId="34" totalsRowDxfId="33"/>
    <tableColumn id="4" xr3:uid="{41539FCC-ECED-4C9A-9915-FAFD36FD0CC8}" name="IR" dataDxfId="32" totalsRowDxfId="31" dataCellStyle="Porcentaje"/>
    <tableColumn id="5" xr3:uid="{0F48A4E9-12A0-4849-8E3D-DF2571E9AB8B}" name="Precio" dataDxfId="30" totalsRowDxfId="29"/>
    <tableColumn id="6" xr3:uid="{C9F1DB4D-800F-4CA2-BD21-15BCECD371B6}" name="Objetivo" dataDxfId="28" totalsRowDxfId="27"/>
    <tableColumn id="20" xr3:uid="{41EA20CF-BDD7-4986-AEDF-65BA48C92A44}" name="CAGR" dataDxfId="26" dataCellStyle="Porcentaje">
      <calculatedColumnFormula>(F2/E2)^(1/5) -1</calculatedColumnFormula>
    </tableColumn>
    <tableColumn id="7" xr3:uid="{7EBD78EA-ED5D-4387-847F-8ECA8ECA92C0}" name="Valoración" totalsRowFunction="custom" dataDxfId="25" totalsRowDxfId="24">
      <calculatedColumnFormula>F2/E2</calculatedColumnFormula>
      <totalsRowFormula>MEDIAN(H2:H33)</totalsRowFormula>
    </tableColumn>
    <tableColumn id="19" xr3:uid="{15259FF9-9CB4-4AFE-8457-02B3DBE43287}" name="FCF Yield" totalsRowFunction="average" dataDxfId="23" totalsRowDxfId="22"/>
    <tableColumn id="8" xr3:uid="{0B4D075F-0F3B-4FB1-B921-344185EF4415}" name="Riesgo" dataDxfId="21" totalsRowDxfId="20"/>
    <tableColumn id="9" xr3:uid="{C49F1470-2779-468F-A64F-FC0565E035F5}" name="Moat" dataDxfId="19" totalsRowDxfId="18"/>
    <tableColumn id="17" xr3:uid="{94D5EF6D-7497-4194-A03E-7A862326A9AC}" name="M. Bruto" totalsRowFunction="average" dataDxfId="17" totalsRowDxfId="16"/>
    <tableColumn id="10" xr3:uid="{2A8AD1D3-EF6E-410F-A0CC-6BF0F0018451}" name="M. Neto" totalsRowFunction="average" dataDxfId="15" totalsRowDxfId="14"/>
    <tableColumn id="11" xr3:uid="{F6A86BAA-4D71-46F3-981F-B3F0E2949A83}" name="Δ Rev." totalsRowFunction="average" dataDxfId="13" totalsRowDxfId="12"/>
    <tableColumn id="18" xr3:uid="{85024266-0CA0-4075-B11B-2FFFA258AE95}" name="Δ FCF" totalsRowFunction="average" dataDxfId="11" totalsRowDxfId="10"/>
    <tableColumn id="12" xr3:uid="{9850475F-4858-420C-B9CE-D89A9ECD49FA}" name="Δ EPS" totalsRowFunction="average" dataDxfId="9" totalsRowDxfId="8"/>
    <tableColumn id="13" xr3:uid="{4C856960-446B-4F07-BE1B-9358422D151C}" name="CFROIC" totalsRowFunction="average" dataDxfId="7" totalsRowDxfId="6"/>
    <tableColumn id="14" xr3:uid="{774052FB-EC3A-4DF9-8F69-2FB1654E3240}" name="Deuda" dataDxfId="5" totalsRowDxfId="4"/>
    <tableColumn id="15" xr3:uid="{2B16D724-0F44-403B-A7FA-404D979CF702}" name="Directiva" dataDxfId="3" totalsRowDxfId="2"/>
    <tableColumn id="16" xr3:uid="{39A05311-6049-47AB-96D3-776646CA91DE}" name="Last Modified" totalsRowFunction="min" dataDxfId="1" totalsRow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D433F-DB5C-48B1-8714-FBF68AC1D68A}">
  <sheetPr codeName="Hoja1"/>
  <dimension ref="A1:AE110"/>
  <sheetViews>
    <sheetView tabSelected="1" topLeftCell="A11" zoomScaleNormal="100" workbookViewId="0">
      <selection activeCell="A20" sqref="A20"/>
    </sheetView>
  </sheetViews>
  <sheetFormatPr baseColWidth="10" defaultColWidth="9.140625" defaultRowHeight="15" x14ac:dyDescent="0.25"/>
  <cols>
    <col min="1" max="1" width="14" style="8" customWidth="1"/>
    <col min="2" max="2" width="11.28515625" style="19" customWidth="1"/>
    <col min="3" max="3" width="3.28515625" style="19" customWidth="1"/>
    <col min="4" max="4" width="35.7109375" style="19" bestFit="1" customWidth="1"/>
    <col min="5" max="14" width="10.7109375" style="19" customWidth="1"/>
    <col min="15" max="15" width="3.5703125" style="19" customWidth="1"/>
    <col min="16" max="16" width="10.7109375" style="19" customWidth="1"/>
    <col min="17" max="17" width="3.28515625" style="19" customWidth="1"/>
    <col min="18" max="21" width="10.7109375" style="19" customWidth="1"/>
    <col min="22" max="22" width="3.42578125" style="19" customWidth="1"/>
    <col min="23" max="29" width="9.140625" style="19"/>
    <col min="30" max="31" width="10.140625" style="19" bestFit="1" customWidth="1"/>
    <col min="32" max="16384" width="9.140625" style="19"/>
  </cols>
  <sheetData>
    <row r="1" spans="1:31" ht="37.5" customHeight="1" x14ac:dyDescent="0.25">
      <c r="B1" s="8" t="s">
        <v>0</v>
      </c>
      <c r="C1" s="8"/>
      <c r="E1" s="8"/>
      <c r="F1" s="8"/>
      <c r="G1" s="8"/>
      <c r="H1" s="201"/>
      <c r="I1" s="201"/>
      <c r="J1" s="201"/>
      <c r="K1" s="201"/>
      <c r="L1" s="8"/>
      <c r="M1" s="8"/>
      <c r="N1" s="8"/>
      <c r="O1" s="8"/>
      <c r="P1" s="8"/>
      <c r="Q1" s="8"/>
      <c r="R1" s="8"/>
      <c r="S1" s="201"/>
      <c r="T1" s="201"/>
      <c r="U1" s="8"/>
      <c r="V1" s="8"/>
      <c r="W1" s="8"/>
      <c r="X1" s="8"/>
      <c r="Y1" s="8"/>
      <c r="Z1" s="8"/>
      <c r="AA1" s="8"/>
      <c r="AB1" s="8"/>
      <c r="AC1" s="8"/>
    </row>
    <row r="2" spans="1:31" ht="37.5" customHeight="1" x14ac:dyDescent="0.25">
      <c r="B2" s="8"/>
      <c r="C2" s="62"/>
      <c r="D2" s="198" t="e" vm="1">
        <v>#VALUE!</v>
      </c>
      <c r="E2" s="198"/>
      <c r="F2" s="198"/>
      <c r="G2" s="199"/>
      <c r="H2" s="70" t="s">
        <v>41</v>
      </c>
      <c r="I2" s="134" cm="1">
        <f t="array" ref="I2">_FV(D2,"Market cap",TRUE)/1000000000</f>
        <v>359.18849999999998</v>
      </c>
      <c r="J2" s="69" t="s">
        <v>38</v>
      </c>
      <c r="K2" s="42" t="s">
        <v>36</v>
      </c>
      <c r="L2" s="213" t="str" cm="1">
        <f t="array" ref="L2">_FV(D2,"Industry")</f>
        <v>Software &amp; IT Services</v>
      </c>
      <c r="M2" s="213"/>
      <c r="N2" s="213"/>
      <c r="O2" s="214"/>
      <c r="P2" s="50"/>
      <c r="Q2" s="57"/>
      <c r="R2" s="206" t="s">
        <v>42</v>
      </c>
      <c r="S2" s="206"/>
      <c r="T2" s="58"/>
      <c r="U2" s="57"/>
      <c r="V2" s="59"/>
      <c r="W2" s="8"/>
      <c r="X2" s="8"/>
      <c r="Y2" s="8"/>
      <c r="Z2" s="8"/>
      <c r="AA2" s="8"/>
      <c r="AB2" s="8"/>
      <c r="AC2" s="8"/>
    </row>
    <row r="3" spans="1:31" ht="12.75" customHeight="1" x14ac:dyDescent="0.25">
      <c r="B3" s="8"/>
      <c r="C3" s="37"/>
      <c r="D3" s="63"/>
      <c r="E3" s="57"/>
      <c r="F3" s="57"/>
      <c r="G3" s="57"/>
      <c r="H3" s="56"/>
      <c r="I3" s="64"/>
      <c r="J3" s="8"/>
      <c r="K3" s="57"/>
      <c r="L3" s="8"/>
      <c r="M3" s="8"/>
      <c r="N3" s="8"/>
      <c r="O3" s="38"/>
      <c r="P3" s="50"/>
      <c r="Q3" s="8"/>
      <c r="R3" s="8"/>
      <c r="S3" s="55"/>
      <c r="T3" s="55"/>
      <c r="U3" s="8"/>
      <c r="V3" s="38"/>
      <c r="W3" s="8"/>
      <c r="X3" s="8"/>
      <c r="Y3" s="8"/>
      <c r="Z3" s="8"/>
      <c r="AA3" s="8"/>
      <c r="AB3" s="8"/>
      <c r="AC3" s="8"/>
    </row>
    <row r="4" spans="1:31" ht="14.25" customHeight="1" x14ac:dyDescent="0.25">
      <c r="B4" s="8"/>
      <c r="C4" s="37"/>
      <c r="D4" s="200" t="str" cm="1">
        <f t="array" ref="D4">_FV(D2,"Description")</f>
        <v>Meta Platforms Inc., formerly Facebook, Inc., builds technologies that help people find communities and grow businesses. The Company's products enable people to connect and share with friends and family through mobile devices, personal computers, virtual reality (VR) headsets, wearables, and in-home devices. The Company operates through two segments: Family of Apps (FoA) and Reality Labs (RL). FoA includes Facebook, Instagram, Messenger, WhatsApp, and other services. RL includes augmented and virtual reality-related consumer hardware, software, and content. Facebook enables people to connect, share, discover and communicate with each other on mobile devices and personal computers. Instagram is a place where people can express themselves through photos, videos, and private messaging, and connect with and shop from their favorite businesses and creators. Messenger is a messaging application for people to connect with friends, family, groups, and businesses across platforms and devices.</v>
      </c>
      <c r="E4" s="200"/>
      <c r="F4" s="200"/>
      <c r="G4" s="200"/>
      <c r="H4" s="55"/>
      <c r="I4" s="8"/>
      <c r="J4" s="8" t="s">
        <v>35</v>
      </c>
      <c r="K4" s="8"/>
      <c r="L4" s="8"/>
      <c r="M4" s="8"/>
      <c r="N4" s="8"/>
      <c r="O4" s="38"/>
      <c r="P4" s="50"/>
      <c r="Q4" s="8"/>
      <c r="R4" s="8" t="s">
        <v>47</v>
      </c>
      <c r="S4" s="76" t="s">
        <v>48</v>
      </c>
      <c r="T4" s="76" t="s">
        <v>49</v>
      </c>
      <c r="U4" s="76" t="s">
        <v>50</v>
      </c>
      <c r="V4" s="38"/>
      <c r="W4" s="8"/>
      <c r="X4" s="8"/>
      <c r="Y4" s="8"/>
      <c r="Z4" s="8"/>
      <c r="AA4" s="8"/>
      <c r="AB4" s="8"/>
      <c r="AC4" s="8"/>
      <c r="AD4" s="88">
        <f>T14</f>
        <v>28832</v>
      </c>
      <c r="AE4" s="19">
        <v>0</v>
      </c>
    </row>
    <row r="5" spans="1:31" ht="37.5" customHeight="1" x14ac:dyDescent="0.25">
      <c r="A5" s="96" t="s">
        <v>88</v>
      </c>
      <c r="B5" s="8"/>
      <c r="C5" s="37"/>
      <c r="D5" s="200"/>
      <c r="E5" s="200"/>
      <c r="F5" s="200"/>
      <c r="G5" s="200"/>
      <c r="H5" s="65"/>
      <c r="I5" s="55"/>
      <c r="J5" s="205" cm="1">
        <f t="array" ref="J5">_FV(D2,"Price")</f>
        <v>136.97999999999999</v>
      </c>
      <c r="K5" s="205"/>
      <c r="L5" s="205"/>
      <c r="M5" s="205"/>
      <c r="O5" s="38"/>
      <c r="P5" s="50"/>
      <c r="Q5" s="8"/>
      <c r="R5" s="133">
        <f>J5/N29</f>
        <v>12.959318826868492</v>
      </c>
      <c r="S5" s="77">
        <f>J5/N30</f>
        <v>13.962994945080004</v>
      </c>
      <c r="T5" s="75">
        <f>(R5)/(S29*100)</f>
        <v>0.73152793698401541</v>
      </c>
      <c r="U5" s="78">
        <f>1/R5</f>
        <v>7.7164549569280205E-2</v>
      </c>
      <c r="V5" s="38"/>
      <c r="W5" s="8"/>
      <c r="X5" s="8"/>
      <c r="Y5" s="8"/>
      <c r="Z5" s="8"/>
      <c r="AA5" s="8"/>
      <c r="AB5" s="8"/>
      <c r="AC5" s="8"/>
      <c r="AD5" s="19">
        <f>AD4+(AD4*$T$10)</f>
        <v>27678.720000000001</v>
      </c>
      <c r="AE5" s="19">
        <v>1</v>
      </c>
    </row>
    <row r="6" spans="1:31" ht="15" customHeight="1" x14ac:dyDescent="0.25">
      <c r="A6" s="99">
        <f>(N53/100)</f>
        <v>0.18331284412135529</v>
      </c>
      <c r="B6" s="8"/>
      <c r="C6" s="37"/>
      <c r="D6" s="200"/>
      <c r="E6" s="200"/>
      <c r="F6" s="200"/>
      <c r="G6" s="200"/>
      <c r="H6" s="65"/>
      <c r="I6" s="55"/>
      <c r="J6" s="8"/>
      <c r="K6" s="79" t="s">
        <v>37</v>
      </c>
      <c r="L6" s="67" cm="1">
        <f t="array" ref="L6">_FV(D2,"change")</f>
        <v>0.27</v>
      </c>
      <c r="M6" s="66" cm="1">
        <f t="array" ref="M6">_FV(D2,"Change (%)",TRUE)</f>
        <v>1.9750000000000002E-3</v>
      </c>
      <c r="N6" s="8"/>
      <c r="O6" s="38"/>
      <c r="P6" s="50"/>
      <c r="Q6" s="8"/>
      <c r="R6" s="76" t="s">
        <v>59</v>
      </c>
      <c r="S6" s="76" t="s">
        <v>58</v>
      </c>
      <c r="T6" s="76" t="s">
        <v>60</v>
      </c>
      <c r="U6" s="8" t="s">
        <v>61</v>
      </c>
      <c r="V6" s="38"/>
      <c r="W6" s="8"/>
      <c r="X6" s="8"/>
      <c r="Y6" s="8"/>
      <c r="Z6" s="8"/>
      <c r="AA6" s="8"/>
      <c r="AB6" s="8"/>
      <c r="AC6" s="8"/>
      <c r="AD6" s="19">
        <f>AD5+(AD5*$T$10)</f>
        <v>26571.571200000002</v>
      </c>
      <c r="AE6" s="19">
        <v>2</v>
      </c>
    </row>
    <row r="7" spans="1:31" ht="15" customHeight="1" x14ac:dyDescent="0.25">
      <c r="A7" s="97"/>
      <c r="B7" s="8"/>
      <c r="C7" s="37"/>
      <c r="D7" s="200"/>
      <c r="E7" s="200"/>
      <c r="F7" s="200"/>
      <c r="G7" s="200"/>
      <c r="H7" s="65"/>
      <c r="I7" s="55"/>
      <c r="J7" s="8"/>
      <c r="K7" s="8"/>
      <c r="L7" s="8"/>
      <c r="M7" s="8"/>
      <c r="N7" s="8"/>
      <c r="O7" s="38"/>
      <c r="P7" s="50"/>
      <c r="Q7" s="8"/>
      <c r="R7" s="204">
        <f>(K17*1000)/N32/N29</f>
        <v>11.880051811826556</v>
      </c>
      <c r="S7" s="204">
        <f>(K17*1000)/N32/N30</f>
        <v>12.800140625593858</v>
      </c>
      <c r="T7" s="204">
        <f>S7/(S30*100)</f>
        <v>1.3203923743191452</v>
      </c>
      <c r="U7" s="211">
        <f>1/S7</f>
        <v>7.8124141698920221E-2</v>
      </c>
      <c r="V7" s="38"/>
      <c r="W7" s="8"/>
      <c r="X7" s="8"/>
      <c r="Y7" s="8"/>
      <c r="Z7" s="8"/>
      <c r="AA7" s="8"/>
      <c r="AB7" s="8"/>
      <c r="AC7" s="8"/>
      <c r="AD7" s="19">
        <f>AD6+(AD6*$T$10)</f>
        <v>25508.708352000001</v>
      </c>
      <c r="AE7" s="19">
        <v>3</v>
      </c>
    </row>
    <row r="8" spans="1:31" ht="15" customHeight="1" x14ac:dyDescent="0.25">
      <c r="A8" s="97" t="s">
        <v>89</v>
      </c>
      <c r="B8" s="8"/>
      <c r="C8" s="37"/>
      <c r="D8" s="200"/>
      <c r="E8" s="200"/>
      <c r="F8" s="200"/>
      <c r="G8" s="200"/>
      <c r="H8" s="65"/>
      <c r="I8" s="55"/>
      <c r="J8" s="68" t="s">
        <v>39</v>
      </c>
      <c r="K8" s="103" cm="1">
        <f t="array" ref="K8">_FV(D2,"52 week high",TRUE)</f>
        <v>335.63</v>
      </c>
      <c r="L8" s="207" t="s">
        <v>43</v>
      </c>
      <c r="M8" s="207"/>
      <c r="N8" s="74">
        <f>-N31/J5</f>
        <v>0</v>
      </c>
      <c r="O8" s="38"/>
      <c r="P8" s="50"/>
      <c r="Q8" s="8"/>
      <c r="R8" s="204"/>
      <c r="S8" s="204"/>
      <c r="T8" s="204"/>
      <c r="U8" s="211"/>
      <c r="V8" s="38"/>
      <c r="W8" s="8"/>
      <c r="X8" s="8"/>
      <c r="Y8" s="8"/>
      <c r="Z8" s="8"/>
      <c r="AA8" s="8"/>
      <c r="AB8" s="8"/>
      <c r="AC8" s="8"/>
      <c r="AD8" s="19">
        <f>AD7+(AD7*$T$10)</f>
        <v>24488.36001792</v>
      </c>
      <c r="AE8" s="19">
        <v>4</v>
      </c>
    </row>
    <row r="9" spans="1:31" ht="15" customHeight="1" x14ac:dyDescent="0.25">
      <c r="A9" s="100">
        <f>T30</f>
        <v>0.102356508172738</v>
      </c>
      <c r="B9" s="8"/>
      <c r="C9" s="37"/>
      <c r="D9" s="200"/>
      <c r="E9" s="200"/>
      <c r="F9" s="200"/>
      <c r="G9" s="200"/>
      <c r="H9" s="65"/>
      <c r="I9" s="55"/>
      <c r="J9" s="71" t="s">
        <v>40</v>
      </c>
      <c r="K9" s="103" cm="1">
        <f t="array" ref="K9">_FV(D2,"52 week low",TRUE)</f>
        <v>88.09</v>
      </c>
      <c r="L9" s="207" t="s">
        <v>44</v>
      </c>
      <c r="M9" s="207"/>
      <c r="N9" s="74">
        <f>-N31/N29</f>
        <v>0</v>
      </c>
      <c r="O9" s="38"/>
      <c r="P9" s="50"/>
      <c r="Q9" s="8"/>
      <c r="R9" s="8"/>
      <c r="S9" s="55"/>
      <c r="T9" s="55"/>
      <c r="U9" s="8"/>
      <c r="V9" s="38"/>
      <c r="W9" s="8"/>
      <c r="X9" s="8"/>
      <c r="Y9" s="8"/>
      <c r="Z9" s="8"/>
      <c r="AA9" s="8"/>
      <c r="AB9" s="8"/>
      <c r="AC9" s="8"/>
      <c r="AD9" s="19">
        <f>AD8+(AD8*$T$10)</f>
        <v>23508.825617203202</v>
      </c>
      <c r="AE9" s="19">
        <v>5</v>
      </c>
    </row>
    <row r="10" spans="1:31" ht="15" customHeight="1" x14ac:dyDescent="0.25">
      <c r="A10" s="97"/>
      <c r="B10" s="8"/>
      <c r="C10" s="37"/>
      <c r="D10" s="200"/>
      <c r="E10" s="200"/>
      <c r="F10" s="200"/>
      <c r="G10" s="200"/>
      <c r="H10" s="65"/>
      <c r="I10" s="55"/>
      <c r="J10" s="71"/>
      <c r="K10" s="68"/>
      <c r="L10" s="8"/>
      <c r="M10" s="8"/>
      <c r="N10" s="8"/>
      <c r="O10" s="38"/>
      <c r="P10" s="102"/>
      <c r="Q10" s="8"/>
      <c r="R10" s="197" t="s">
        <v>62</v>
      </c>
      <c r="S10" s="197"/>
      <c r="T10" s="85">
        <v>-0.04</v>
      </c>
      <c r="U10" s="8"/>
      <c r="V10" s="38"/>
      <c r="W10" s="8"/>
      <c r="X10" s="8"/>
      <c r="Y10" s="8"/>
      <c r="Z10" s="8"/>
      <c r="AA10" s="8"/>
      <c r="AB10" s="8"/>
      <c r="AC10" s="8"/>
      <c r="AD10" s="19">
        <f>AD9+(AD9*$T$11)</f>
        <v>22568.472592515074</v>
      </c>
      <c r="AE10" s="19">
        <v>6</v>
      </c>
    </row>
    <row r="11" spans="1:31" ht="15" customHeight="1" x14ac:dyDescent="0.25">
      <c r="A11" s="97" t="s">
        <v>90</v>
      </c>
      <c r="B11" s="8"/>
      <c r="C11" s="37"/>
      <c r="D11" s="200"/>
      <c r="E11" s="200"/>
      <c r="F11" s="200"/>
      <c r="G11" s="200"/>
      <c r="H11" s="65"/>
      <c r="I11" s="55"/>
      <c r="J11" s="71"/>
      <c r="K11" s="68"/>
      <c r="L11" s="8"/>
      <c r="M11" s="8"/>
      <c r="N11" s="8"/>
      <c r="O11" s="38"/>
      <c r="P11" s="50"/>
      <c r="Q11" s="8"/>
      <c r="R11" s="197" t="s">
        <v>63</v>
      </c>
      <c r="S11" s="197"/>
      <c r="T11" s="86">
        <v>-0.04</v>
      </c>
      <c r="U11" s="8"/>
      <c r="V11" s="38"/>
      <c r="W11" s="8"/>
      <c r="X11" s="8"/>
      <c r="Y11" s="8"/>
      <c r="Z11" s="8"/>
      <c r="AA11" s="8"/>
      <c r="AB11" s="8"/>
      <c r="AC11" s="8"/>
      <c r="AD11" s="19">
        <f>AD10+(AD10*$T$11)</f>
        <v>21665.733688814471</v>
      </c>
      <c r="AE11" s="19">
        <v>7</v>
      </c>
    </row>
    <row r="12" spans="1:31" ht="15" customHeight="1" x14ac:dyDescent="0.25">
      <c r="A12" s="99">
        <f>(N38/100)</f>
        <v>0.80249999999999999</v>
      </c>
      <c r="B12" s="8"/>
      <c r="C12" s="37"/>
      <c r="D12" s="200"/>
      <c r="E12" s="200"/>
      <c r="F12" s="200"/>
      <c r="G12" s="200"/>
      <c r="H12" s="65"/>
      <c r="I12" s="55"/>
      <c r="J12" s="210" t="s">
        <v>46</v>
      </c>
      <c r="K12" s="210"/>
      <c r="L12" s="210" t="s">
        <v>45</v>
      </c>
      <c r="M12" s="210"/>
      <c r="N12" s="8"/>
      <c r="O12" s="38"/>
      <c r="P12" s="50"/>
      <c r="Q12" s="8"/>
      <c r="R12" s="197" t="s">
        <v>64</v>
      </c>
      <c r="S12" s="197"/>
      <c r="T12" s="86">
        <v>0.14000000000000001</v>
      </c>
      <c r="U12" s="8"/>
      <c r="V12" s="38"/>
      <c r="W12" s="8"/>
      <c r="X12" s="8"/>
      <c r="Y12" s="8"/>
      <c r="Z12" s="8"/>
      <c r="AA12" s="8"/>
      <c r="AB12" s="8"/>
      <c r="AC12" s="8"/>
      <c r="AD12" s="19">
        <f>AD11+(AD11*$T$11)</f>
        <v>20799.104341261893</v>
      </c>
      <c r="AE12" s="19">
        <v>8</v>
      </c>
    </row>
    <row r="13" spans="1:31" ht="15" customHeight="1" x14ac:dyDescent="0.25">
      <c r="A13" s="97"/>
      <c r="B13" s="8"/>
      <c r="C13" s="37"/>
      <c r="D13" s="200"/>
      <c r="E13" s="200"/>
      <c r="F13" s="200"/>
      <c r="G13" s="200"/>
      <c r="H13" s="65"/>
      <c r="I13" s="55"/>
      <c r="J13" s="208" t="s">
        <v>92</v>
      </c>
      <c r="K13" s="209"/>
      <c r="L13" s="215" t="s">
        <v>92</v>
      </c>
      <c r="M13" s="215"/>
      <c r="N13" s="8"/>
      <c r="O13" s="38"/>
      <c r="P13" s="50"/>
      <c r="Q13" s="8"/>
      <c r="R13" s="197" t="s">
        <v>65</v>
      </c>
      <c r="S13" s="197"/>
      <c r="T13" s="32">
        <v>12</v>
      </c>
      <c r="U13" s="8"/>
      <c r="V13" s="38"/>
      <c r="W13" s="8"/>
      <c r="X13" s="8"/>
      <c r="Y13" s="8"/>
      <c r="Z13" s="8"/>
      <c r="AA13" s="8"/>
      <c r="AB13" s="8"/>
      <c r="AC13" s="8"/>
      <c r="AD13" s="19">
        <f>AD12+(AD12*$T$11)</f>
        <v>19967.140167611418</v>
      </c>
      <c r="AE13" s="19">
        <v>9</v>
      </c>
    </row>
    <row r="14" spans="1:31" ht="15" customHeight="1" x14ac:dyDescent="0.25">
      <c r="A14" s="97" t="s">
        <v>61</v>
      </c>
      <c r="B14" s="8"/>
      <c r="C14" s="37"/>
      <c r="D14" s="200"/>
      <c r="E14" s="200"/>
      <c r="F14" s="200"/>
      <c r="G14" s="200"/>
      <c r="H14" s="65"/>
      <c r="I14" s="55"/>
      <c r="J14" s="209"/>
      <c r="K14" s="209"/>
      <c r="L14" s="215"/>
      <c r="M14" s="215"/>
      <c r="N14" s="8"/>
      <c r="O14" s="38"/>
      <c r="P14" s="50"/>
      <c r="Q14" s="8"/>
      <c r="R14" s="197" t="s">
        <v>66</v>
      </c>
      <c r="S14" s="197"/>
      <c r="T14" s="87">
        <f>N25</f>
        <v>28832</v>
      </c>
      <c r="U14" s="8"/>
      <c r="V14" s="38"/>
      <c r="W14" s="8"/>
      <c r="X14" s="8"/>
      <c r="Y14" s="8"/>
      <c r="Z14" s="8"/>
      <c r="AA14" s="8"/>
      <c r="AB14" s="8"/>
      <c r="AC14" s="8"/>
      <c r="AD14" s="19">
        <f>AD13+(AD13*$T$11)</f>
        <v>19168.454560906961</v>
      </c>
      <c r="AE14" s="19">
        <v>10</v>
      </c>
    </row>
    <row r="15" spans="1:31" ht="15" customHeight="1" x14ac:dyDescent="0.25">
      <c r="A15" s="100">
        <f>U7</f>
        <v>7.8124141698920221E-2</v>
      </c>
      <c r="B15" s="8"/>
      <c r="C15" s="37"/>
      <c r="D15" s="200"/>
      <c r="E15" s="200"/>
      <c r="F15" s="200"/>
      <c r="G15" s="200"/>
      <c r="H15" s="55"/>
      <c r="I15" s="55"/>
      <c r="J15" s="71"/>
      <c r="K15" s="68"/>
      <c r="L15" s="8"/>
      <c r="M15" s="8"/>
      <c r="N15" s="8"/>
      <c r="O15" s="38"/>
      <c r="P15" s="50"/>
      <c r="Q15" s="8"/>
      <c r="R15" s="8"/>
      <c r="S15" s="55"/>
      <c r="T15" s="55"/>
      <c r="U15" s="8"/>
      <c r="V15" s="38"/>
      <c r="W15" s="8"/>
      <c r="X15" s="8"/>
      <c r="Y15" s="8"/>
      <c r="Z15" s="8"/>
      <c r="AA15" s="8"/>
      <c r="AB15" s="8"/>
      <c r="AC15" s="8"/>
      <c r="AD15" s="19" t="s">
        <v>67</v>
      </c>
      <c r="AE15" s="19">
        <f>AD14*T13</f>
        <v>230021.45473088353</v>
      </c>
    </row>
    <row r="16" spans="1:31" ht="15" customHeight="1" x14ac:dyDescent="0.25">
      <c r="A16" s="98"/>
      <c r="B16" s="8"/>
      <c r="C16" s="37"/>
      <c r="D16" s="200"/>
      <c r="E16" s="200"/>
      <c r="F16" s="200"/>
      <c r="G16" s="200"/>
      <c r="H16" s="55"/>
      <c r="I16" s="55"/>
      <c r="J16" s="71"/>
      <c r="K16" s="202" t="s">
        <v>51</v>
      </c>
      <c r="L16" s="202"/>
      <c r="M16" s="8"/>
      <c r="N16" s="8"/>
      <c r="O16" s="38"/>
      <c r="P16" s="50"/>
      <c r="Q16" s="8"/>
      <c r="R16" s="8"/>
      <c r="S16" s="205">
        <f>((NPV(T12,AD5:AD13,AE15) - AE16)/N32)*R17</f>
        <v>11.491866578102757</v>
      </c>
      <c r="T16" s="205"/>
      <c r="U16" s="8" t="s">
        <v>91</v>
      </c>
      <c r="V16" s="38"/>
      <c r="W16" s="8"/>
      <c r="X16" s="8"/>
      <c r="Y16" s="8"/>
      <c r="Z16" s="8"/>
      <c r="AA16" s="8"/>
      <c r="AB16" s="8"/>
      <c r="AC16" s="8"/>
      <c r="AD16" s="19" t="s">
        <v>15</v>
      </c>
      <c r="AE16" s="88">
        <f>E70</f>
        <v>-22404</v>
      </c>
    </row>
    <row r="17" spans="1:31" ht="19.5" customHeight="1" x14ac:dyDescent="0.25">
      <c r="B17" s="8"/>
      <c r="C17" s="37"/>
      <c r="D17" s="200"/>
      <c r="E17" s="200"/>
      <c r="F17" s="200"/>
      <c r="G17" s="200"/>
      <c r="H17" s="55"/>
      <c r="I17" s="55"/>
      <c r="J17" s="8"/>
      <c r="K17" s="203">
        <f>I2+(E70/1000)</f>
        <v>336.78449999999998</v>
      </c>
      <c r="L17" s="203"/>
      <c r="M17" s="84" t="s">
        <v>57</v>
      </c>
      <c r="N17" s="8"/>
      <c r="O17" s="38"/>
      <c r="P17" s="50"/>
      <c r="Q17" s="8"/>
      <c r="R17" s="8">
        <v>0.15</v>
      </c>
      <c r="S17" s="205"/>
      <c r="T17" s="205"/>
      <c r="U17" s="101">
        <f>S16/J5 -1</f>
        <v>-0.9161055148335322</v>
      </c>
      <c r="V17" s="38"/>
      <c r="W17" s="8"/>
      <c r="X17" s="8"/>
      <c r="Y17" s="8"/>
      <c r="Z17" s="8"/>
      <c r="AA17" s="8"/>
      <c r="AB17" s="8"/>
      <c r="AC17" s="8"/>
      <c r="AE17" s="88"/>
    </row>
    <row r="18" spans="1:31" ht="14.25" customHeight="1" x14ac:dyDescent="0.25">
      <c r="B18" s="8"/>
      <c r="C18" s="39"/>
      <c r="D18" s="60"/>
      <c r="E18" s="40"/>
      <c r="F18" s="40"/>
      <c r="G18" s="40"/>
      <c r="H18" s="61"/>
      <c r="I18" s="61"/>
      <c r="J18" s="61"/>
      <c r="K18" s="61"/>
      <c r="L18" s="40"/>
      <c r="M18" s="40"/>
      <c r="N18" s="40"/>
      <c r="O18" s="41"/>
      <c r="P18" s="50"/>
      <c r="Q18" s="40"/>
      <c r="R18" s="40"/>
      <c r="S18" s="61"/>
      <c r="T18" s="61"/>
      <c r="U18" s="40"/>
      <c r="V18" s="41"/>
      <c r="W18" s="8"/>
      <c r="X18" s="8"/>
      <c r="Y18" s="8"/>
      <c r="Z18" s="8"/>
      <c r="AA18" s="8"/>
      <c r="AB18" s="8"/>
      <c r="AC18" s="8"/>
    </row>
    <row r="19" spans="1:31" ht="37.5" customHeight="1" x14ac:dyDescent="0.25">
      <c r="B19" s="8"/>
      <c r="C19" s="8"/>
      <c r="D19" s="113"/>
      <c r="E19" s="8"/>
      <c r="F19" s="8"/>
      <c r="G19" s="8"/>
      <c r="H19" s="46"/>
      <c r="I19" s="46"/>
      <c r="J19" s="46"/>
      <c r="K19" s="46"/>
      <c r="L19" s="8"/>
      <c r="M19" s="8"/>
      <c r="N19" s="8"/>
      <c r="O19" s="8"/>
      <c r="P19" s="8"/>
      <c r="Q19" s="8"/>
      <c r="R19" s="8"/>
      <c r="S19" s="55"/>
      <c r="T19" s="55"/>
      <c r="U19" s="8"/>
      <c r="V19" s="8"/>
      <c r="W19" s="8"/>
      <c r="X19" s="8"/>
      <c r="Y19" s="8"/>
      <c r="Z19" s="8"/>
      <c r="AA19" s="8"/>
      <c r="AB19" s="8"/>
      <c r="AC19" s="8"/>
    </row>
    <row r="20" spans="1:31" s="24" customFormat="1" ht="18.95" customHeight="1" x14ac:dyDescent="0.25">
      <c r="A20" s="23"/>
      <c r="B20" s="20"/>
      <c r="C20" s="21"/>
      <c r="D20" s="2"/>
      <c r="E20" s="14">
        <v>2013</v>
      </c>
      <c r="F20" s="14">
        <v>2014</v>
      </c>
      <c r="G20" s="14">
        <v>2015</v>
      </c>
      <c r="H20" s="14">
        <v>2016</v>
      </c>
      <c r="I20" s="14">
        <v>2017</v>
      </c>
      <c r="J20" s="14">
        <v>2018</v>
      </c>
      <c r="K20" s="14">
        <v>2019</v>
      </c>
      <c r="L20" s="14">
        <v>2020</v>
      </c>
      <c r="M20" s="14">
        <v>2021</v>
      </c>
      <c r="N20" s="216" t="s">
        <v>131</v>
      </c>
      <c r="O20" s="22"/>
      <c r="P20" s="23"/>
      <c r="Q20" s="33"/>
      <c r="R20" s="42" t="s">
        <v>25</v>
      </c>
      <c r="S20" s="42" t="s">
        <v>26</v>
      </c>
      <c r="T20" s="42" t="s">
        <v>27</v>
      </c>
      <c r="U20" s="42" t="s">
        <v>28</v>
      </c>
      <c r="V20" s="34"/>
      <c r="W20" s="23"/>
      <c r="Y20" s="23"/>
      <c r="Z20" s="23"/>
      <c r="AA20" s="23"/>
      <c r="AB20" s="23"/>
      <c r="AC20" s="23"/>
    </row>
    <row r="21" spans="1:31" s="24" customFormat="1" ht="20.100000000000001" customHeight="1" x14ac:dyDescent="0.25">
      <c r="A21" s="23"/>
      <c r="B21" s="23"/>
      <c r="C21" s="25"/>
      <c r="D21" s="4" t="s">
        <v>1</v>
      </c>
      <c r="E21" s="5">
        <v>7872</v>
      </c>
      <c r="F21" s="5">
        <v>12466</v>
      </c>
      <c r="G21" s="5">
        <v>17928</v>
      </c>
      <c r="H21" s="5">
        <v>27638</v>
      </c>
      <c r="I21" s="5">
        <v>40653</v>
      </c>
      <c r="J21" s="5">
        <v>55838</v>
      </c>
      <c r="K21" s="5">
        <v>70697</v>
      </c>
      <c r="L21" s="5">
        <v>85965</v>
      </c>
      <c r="M21" s="5">
        <v>117929</v>
      </c>
      <c r="N21" s="5">
        <v>118115</v>
      </c>
      <c r="O21" s="26"/>
      <c r="P21" s="23"/>
      <c r="Q21" s="35"/>
      <c r="R21" s="43">
        <f t="shared" ref="R21:R34" si="0">IFERROR((N21/M21-1),"")</f>
        <v>1.5772201918102802E-3</v>
      </c>
      <c r="S21" s="43">
        <f t="shared" ref="S21:S34" si="1">IFERROR(((N21/K21)^(1/3) -1),"")</f>
        <v>0.18659183718161243</v>
      </c>
      <c r="T21" s="43">
        <f t="shared" ref="T21:T34" si="2">IFERROR(((N21/I21)^(1/5) -1),"")</f>
        <v>0.23777723472083045</v>
      </c>
      <c r="U21" s="43">
        <f t="shared" ref="U21:U34" si="3">IFERROR(((N21/E21)^(1/9) -1),"")</f>
        <v>0.35111124225590018</v>
      </c>
      <c r="V21" s="36"/>
      <c r="W21" s="23"/>
      <c r="X21" s="49"/>
      <c r="Y21" s="23"/>
      <c r="Z21" s="23"/>
      <c r="AA21" s="23"/>
      <c r="AB21" s="23"/>
      <c r="AC21" s="23"/>
    </row>
    <row r="22" spans="1:31" s="24" customFormat="1" ht="20.100000000000001" customHeight="1" x14ac:dyDescent="0.25">
      <c r="A22" s="23"/>
      <c r="B22" s="23"/>
      <c r="C22" s="25"/>
      <c r="D22" s="4" t="s">
        <v>2</v>
      </c>
      <c r="E22" s="5">
        <v>5997</v>
      </c>
      <c r="F22" s="5">
        <v>10313</v>
      </c>
      <c r="G22" s="5">
        <v>15061</v>
      </c>
      <c r="H22" s="5">
        <v>23849</v>
      </c>
      <c r="I22" s="5">
        <v>35199</v>
      </c>
      <c r="J22" s="5">
        <v>46483</v>
      </c>
      <c r="K22" s="5">
        <v>57927</v>
      </c>
      <c r="L22" s="5">
        <v>69273</v>
      </c>
      <c r="M22" s="5">
        <v>95280</v>
      </c>
      <c r="N22" s="5">
        <v>94854</v>
      </c>
      <c r="O22" s="26"/>
      <c r="P22" s="23"/>
      <c r="Q22" s="35"/>
      <c r="R22" s="43">
        <f t="shared" si="0"/>
        <v>-4.4710327455919074E-3</v>
      </c>
      <c r="S22" s="43">
        <f t="shared" si="1"/>
        <v>0.17866812109969366</v>
      </c>
      <c r="T22" s="43">
        <f t="shared" si="2"/>
        <v>0.21928453359756239</v>
      </c>
      <c r="U22" s="43">
        <f t="shared" si="3"/>
        <v>0.35905093425629975</v>
      </c>
      <c r="V22" s="36"/>
      <c r="W22" s="23"/>
      <c r="X22" s="49"/>
      <c r="Y22" s="23"/>
      <c r="Z22" s="23"/>
      <c r="AA22" s="23"/>
      <c r="AB22" s="23"/>
      <c r="AC22" s="23"/>
    </row>
    <row r="23" spans="1:31" s="24" customFormat="1" ht="20.100000000000001" customHeight="1" x14ac:dyDescent="0.25">
      <c r="A23" s="23"/>
      <c r="B23" s="23"/>
      <c r="C23" s="25"/>
      <c r="D23" s="4" t="s">
        <v>3</v>
      </c>
      <c r="E23" s="5">
        <v>3821</v>
      </c>
      <c r="F23" s="5">
        <v>6176</v>
      </c>
      <c r="G23" s="5">
        <v>8162</v>
      </c>
      <c r="H23" s="5">
        <v>14870</v>
      </c>
      <c r="I23" s="5">
        <v>23625</v>
      </c>
      <c r="J23" s="5">
        <v>29685</v>
      </c>
      <c r="K23" s="5">
        <v>30573</v>
      </c>
      <c r="L23" s="5">
        <v>40714</v>
      </c>
      <c r="M23" s="5">
        <v>55712</v>
      </c>
      <c r="N23" s="5">
        <v>44043</v>
      </c>
      <c r="O23" s="26"/>
      <c r="P23" s="23"/>
      <c r="Q23" s="35"/>
      <c r="R23" s="43">
        <f t="shared" si="0"/>
        <v>-0.20945218265364729</v>
      </c>
      <c r="S23" s="43">
        <f t="shared" si="1"/>
        <v>0.12939608781824585</v>
      </c>
      <c r="T23" s="43">
        <f t="shared" si="2"/>
        <v>0.1326637858770725</v>
      </c>
      <c r="U23" s="43">
        <f t="shared" si="3"/>
        <v>0.31209913937856593</v>
      </c>
      <c r="V23" s="36"/>
      <c r="W23" s="23"/>
      <c r="X23" s="49"/>
      <c r="Y23" s="23"/>
      <c r="Z23" s="23"/>
      <c r="AA23" s="23"/>
      <c r="AB23" s="23"/>
      <c r="AC23" s="23"/>
    </row>
    <row r="24" spans="1:31" s="24" customFormat="1" ht="20.100000000000001" customHeight="1" x14ac:dyDescent="0.25">
      <c r="A24" s="23"/>
      <c r="B24" s="23"/>
      <c r="C24" s="25"/>
      <c r="D24" s="4" t="s">
        <v>4</v>
      </c>
      <c r="E24" s="5">
        <v>2804</v>
      </c>
      <c r="F24" s="5">
        <v>4994</v>
      </c>
      <c r="G24" s="5">
        <v>6225</v>
      </c>
      <c r="H24" s="5">
        <v>12427</v>
      </c>
      <c r="I24" s="5">
        <v>20203</v>
      </c>
      <c r="J24" s="5">
        <v>24913</v>
      </c>
      <c r="K24" s="5">
        <v>23986</v>
      </c>
      <c r="L24" s="5">
        <v>32671</v>
      </c>
      <c r="M24" s="5">
        <v>46753</v>
      </c>
      <c r="N24" s="5">
        <v>35131</v>
      </c>
      <c r="O24" s="26"/>
      <c r="P24" s="23"/>
      <c r="Q24" s="35"/>
      <c r="R24" s="43">
        <f t="shared" si="0"/>
        <v>-0.24858297863238721</v>
      </c>
      <c r="S24" s="43">
        <f t="shared" si="1"/>
        <v>0.13564927396254389</v>
      </c>
      <c r="T24" s="43">
        <f t="shared" si="2"/>
        <v>0.11700451780604726</v>
      </c>
      <c r="U24" s="43">
        <f t="shared" si="3"/>
        <v>0.32431188944838496</v>
      </c>
      <c r="V24" s="36"/>
      <c r="W24" s="23"/>
      <c r="X24" s="49"/>
      <c r="Y24" s="23"/>
      <c r="Z24" s="23"/>
      <c r="AA24" s="23"/>
      <c r="AB24" s="23"/>
      <c r="AC24" s="23"/>
    </row>
    <row r="25" spans="1:31" s="24" customFormat="1" ht="20.100000000000001" customHeight="1" x14ac:dyDescent="0.25">
      <c r="A25" s="23"/>
      <c r="B25" s="23"/>
      <c r="C25" s="25"/>
      <c r="D25" s="4" t="s">
        <v>5</v>
      </c>
      <c r="E25" s="5">
        <v>1500</v>
      </c>
      <c r="F25" s="5">
        <v>2940</v>
      </c>
      <c r="G25" s="5">
        <v>3688</v>
      </c>
      <c r="H25" s="5">
        <v>10217</v>
      </c>
      <c r="I25" s="5">
        <v>15934</v>
      </c>
      <c r="J25" s="5">
        <v>22112</v>
      </c>
      <c r="K25" s="5">
        <v>18485</v>
      </c>
      <c r="L25" s="5">
        <v>29146</v>
      </c>
      <c r="M25" s="5">
        <v>39370</v>
      </c>
      <c r="N25" s="5">
        <v>28832</v>
      </c>
      <c r="O25" s="26"/>
      <c r="P25" s="23"/>
      <c r="Q25" s="35"/>
      <c r="R25" s="43">
        <f t="shared" si="0"/>
        <v>-0.26766573533147064</v>
      </c>
      <c r="S25" s="43">
        <f t="shared" si="1"/>
        <v>0.15971632718168749</v>
      </c>
      <c r="T25" s="43">
        <f t="shared" si="2"/>
        <v>0.12592637143880636</v>
      </c>
      <c r="U25" s="43">
        <f t="shared" si="3"/>
        <v>0.38880928786286706</v>
      </c>
      <c r="V25" s="36"/>
      <c r="W25" s="23"/>
      <c r="X25" s="49"/>
      <c r="Y25" s="23"/>
      <c r="Z25" s="23"/>
      <c r="AA25" s="23"/>
      <c r="AB25" s="23"/>
      <c r="AC25" s="23"/>
    </row>
    <row r="26" spans="1:31" s="24" customFormat="1" ht="20.100000000000001" customHeight="1" x14ac:dyDescent="0.25">
      <c r="A26" s="23"/>
      <c r="B26" s="23"/>
      <c r="C26" s="25"/>
      <c r="D26" s="17" t="s">
        <v>11</v>
      </c>
      <c r="E26" s="18">
        <v>2860</v>
      </c>
      <c r="F26" s="18">
        <v>3626</v>
      </c>
      <c r="G26" s="18">
        <v>6076</v>
      </c>
      <c r="H26" s="18">
        <v>11617</v>
      </c>
      <c r="I26" s="18">
        <v>17483</v>
      </c>
      <c r="J26" s="18">
        <v>15359</v>
      </c>
      <c r="K26" s="18">
        <v>21212</v>
      </c>
      <c r="L26" s="18">
        <v>23632</v>
      </c>
      <c r="M26" s="18">
        <v>39116</v>
      </c>
      <c r="N26" s="18">
        <v>26311</v>
      </c>
      <c r="O26" s="26"/>
      <c r="P26" s="23"/>
      <c r="Q26" s="35"/>
      <c r="R26" s="43">
        <f t="shared" si="0"/>
        <v>-0.32735964822579</v>
      </c>
      <c r="S26" s="43">
        <f t="shared" si="1"/>
        <v>7.4447612996494383E-2</v>
      </c>
      <c r="T26" s="43">
        <f t="shared" si="2"/>
        <v>8.5186242673219503E-2</v>
      </c>
      <c r="U26" s="43">
        <f t="shared" si="3"/>
        <v>0.27963379838195501</v>
      </c>
      <c r="V26" s="36"/>
      <c r="W26" s="23"/>
      <c r="X26" s="49"/>
      <c r="Y26" s="23"/>
      <c r="Z26" s="23"/>
      <c r="AA26" s="23"/>
      <c r="AB26" s="23"/>
      <c r="AC26" s="23"/>
    </row>
    <row r="27" spans="1:31" s="24" customFormat="1" ht="20.100000000000001" customHeight="1" x14ac:dyDescent="0.25">
      <c r="A27" s="23"/>
      <c r="B27" s="23"/>
      <c r="C27" s="25"/>
      <c r="D27" s="15" t="s">
        <v>16</v>
      </c>
      <c r="E27" s="16">
        <v>3.252892561983471</v>
      </c>
      <c r="F27" s="16">
        <v>4.7689364957918894</v>
      </c>
      <c r="G27" s="16">
        <v>6.3960042811273636</v>
      </c>
      <c r="H27" s="16">
        <v>9.6535103038770522</v>
      </c>
      <c r="I27" s="16">
        <v>14.013443640124095</v>
      </c>
      <c r="J27" s="16">
        <v>19.321107266435988</v>
      </c>
      <c r="K27" s="16">
        <v>24.771198318149963</v>
      </c>
      <c r="L27" s="16">
        <v>30.152578042792001</v>
      </c>
      <c r="M27" s="16">
        <v>41.893072824156306</v>
      </c>
      <c r="N27" s="16">
        <v>44.039895600298287</v>
      </c>
      <c r="O27" s="26"/>
      <c r="P27" s="23"/>
      <c r="Q27" s="35"/>
      <c r="R27" s="43">
        <f t="shared" si="0"/>
        <v>5.1245292632343897E-2</v>
      </c>
      <c r="S27" s="43">
        <f t="shared" si="1"/>
        <v>0.2114339901234854</v>
      </c>
      <c r="T27" s="43">
        <f t="shared" si="2"/>
        <v>0.25736185799900868</v>
      </c>
      <c r="U27" s="43">
        <f t="shared" si="3"/>
        <v>0.33576705837897824</v>
      </c>
      <c r="V27" s="36"/>
      <c r="W27" s="23"/>
      <c r="X27" s="49"/>
      <c r="Y27" s="23"/>
      <c r="Z27" s="23"/>
      <c r="AA27" s="23"/>
      <c r="AB27" s="23"/>
      <c r="AC27" s="23"/>
    </row>
    <row r="28" spans="1:31" s="24" customFormat="1" ht="20.100000000000001" customHeight="1" x14ac:dyDescent="0.25">
      <c r="A28" s="23"/>
      <c r="B28" s="23"/>
      <c r="C28" s="25"/>
      <c r="D28" s="4" t="s">
        <v>17</v>
      </c>
      <c r="E28" s="6">
        <v>1.1586776859504133</v>
      </c>
      <c r="F28" s="6">
        <v>1.9104820198928845</v>
      </c>
      <c r="G28" s="6">
        <v>2.2208348198358903</v>
      </c>
      <c r="H28" s="6">
        <v>4.3405518686692277</v>
      </c>
      <c r="I28" s="6">
        <v>6.9641502930024126</v>
      </c>
      <c r="J28" s="6">
        <v>8.6204152249134953</v>
      </c>
      <c r="K28" s="6">
        <v>8.4043447792571833</v>
      </c>
      <c r="L28" s="6">
        <v>11.459487898982813</v>
      </c>
      <c r="M28" s="6">
        <v>16.608525754884546</v>
      </c>
      <c r="N28" s="6">
        <v>13.098806860551827</v>
      </c>
      <c r="O28" s="26"/>
      <c r="P28" s="23"/>
      <c r="Q28" s="35"/>
      <c r="R28" s="43">
        <f t="shared" si="0"/>
        <v>-0.21132031500752047</v>
      </c>
      <c r="S28" s="43">
        <f t="shared" si="1"/>
        <v>0.15942490772984952</v>
      </c>
      <c r="T28" s="43">
        <f t="shared" si="2"/>
        <v>0.13467822521284778</v>
      </c>
      <c r="U28" s="43">
        <f t="shared" si="3"/>
        <v>0.30927205815502568</v>
      </c>
      <c r="V28" s="36"/>
      <c r="W28" s="23"/>
      <c r="X28" s="49"/>
      <c r="Y28" s="23"/>
      <c r="Z28" s="23"/>
      <c r="AA28" s="23"/>
      <c r="AB28" s="23"/>
      <c r="AC28" s="23"/>
    </row>
    <row r="29" spans="1:31" s="24" customFormat="1" ht="20.100000000000001" customHeight="1" x14ac:dyDescent="0.25">
      <c r="A29" s="23"/>
      <c r="B29" s="23"/>
      <c r="C29" s="25"/>
      <c r="D29" s="4" t="s">
        <v>6</v>
      </c>
      <c r="E29" s="6">
        <v>0.62</v>
      </c>
      <c r="F29" s="6">
        <v>1.1200000000000001</v>
      </c>
      <c r="G29" s="6">
        <v>1.31</v>
      </c>
      <c r="H29" s="6">
        <v>3.56</v>
      </c>
      <c r="I29" s="6">
        <v>5.49</v>
      </c>
      <c r="J29" s="6">
        <v>7.65</v>
      </c>
      <c r="K29" s="6">
        <v>6.48</v>
      </c>
      <c r="L29" s="6">
        <v>10.220000000000001</v>
      </c>
      <c r="M29" s="6">
        <v>13.99</v>
      </c>
      <c r="N29" s="6">
        <v>10.570000000000002</v>
      </c>
      <c r="O29" s="26"/>
      <c r="P29" s="23"/>
      <c r="Q29" s="35"/>
      <c r="R29" s="43">
        <f t="shared" si="0"/>
        <v>-0.24446032880629009</v>
      </c>
      <c r="S29" s="43">
        <f t="shared" si="1"/>
        <v>0.17715412046049672</v>
      </c>
      <c r="T29" s="43">
        <f t="shared" si="2"/>
        <v>0.13998865302741192</v>
      </c>
      <c r="U29" s="43">
        <f t="shared" si="3"/>
        <v>0.37042003670019286</v>
      </c>
      <c r="V29" s="36"/>
      <c r="W29" s="23"/>
      <c r="X29" s="49"/>
      <c r="Y29" s="23"/>
      <c r="Z29" s="23"/>
      <c r="AA29" s="23"/>
      <c r="AB29" s="23"/>
      <c r="AC29" s="23"/>
    </row>
    <row r="30" spans="1:31" s="24" customFormat="1" ht="20.100000000000001" customHeight="1" x14ac:dyDescent="0.25">
      <c r="A30" s="23"/>
      <c r="B30" s="23"/>
      <c r="C30" s="25"/>
      <c r="D30" s="4" t="s">
        <v>12</v>
      </c>
      <c r="E30" s="6">
        <v>1.1818181818181819</v>
      </c>
      <c r="F30" s="6">
        <v>1.3871461361897475</v>
      </c>
      <c r="G30" s="6">
        <v>2.1676774884052801</v>
      </c>
      <c r="H30" s="6">
        <v>4.0576318546978696</v>
      </c>
      <c r="I30" s="6">
        <v>6.0265425715270595</v>
      </c>
      <c r="J30" s="6">
        <v>5.3145328719723182</v>
      </c>
      <c r="K30" s="6">
        <v>7.432375613174492</v>
      </c>
      <c r="L30" s="6">
        <v>8.2890213960014023</v>
      </c>
      <c r="M30" s="6">
        <v>13.895559502664298</v>
      </c>
      <c r="N30" s="6">
        <v>9.8102162565249813</v>
      </c>
      <c r="O30" s="26"/>
      <c r="P30" s="23"/>
      <c r="Q30" s="35"/>
      <c r="R30" s="43">
        <f t="shared" si="0"/>
        <v>-0.29400350848456325</v>
      </c>
      <c r="S30" s="43">
        <f t="shared" si="1"/>
        <v>9.6941946004453383E-2</v>
      </c>
      <c r="T30" s="43">
        <f t="shared" si="2"/>
        <v>0.102356508172738</v>
      </c>
      <c r="U30" s="43">
        <f t="shared" si="3"/>
        <v>0.26510136338813983</v>
      </c>
      <c r="V30" s="36"/>
      <c r="W30" s="23"/>
      <c r="X30" s="49"/>
      <c r="Y30" s="23"/>
      <c r="Z30" s="23"/>
      <c r="AA30" s="23"/>
      <c r="AB30" s="23"/>
      <c r="AC30" s="23"/>
    </row>
    <row r="31" spans="1:31" s="24" customFormat="1" ht="20.100000000000001" customHeight="1" x14ac:dyDescent="0.25">
      <c r="A31" s="23"/>
      <c r="B31" s="23"/>
      <c r="C31" s="25"/>
      <c r="D31" s="4" t="s">
        <v>18</v>
      </c>
      <c r="E31" s="6">
        <v>0</v>
      </c>
      <c r="F31" s="6">
        <v>0</v>
      </c>
      <c r="G31" s="6">
        <v>0</v>
      </c>
      <c r="H31" s="6">
        <v>0</v>
      </c>
      <c r="I31" s="6">
        <v>0</v>
      </c>
      <c r="J31" s="6">
        <v>0</v>
      </c>
      <c r="K31" s="6">
        <v>0</v>
      </c>
      <c r="L31" s="6">
        <v>0</v>
      </c>
      <c r="M31" s="6">
        <v>0</v>
      </c>
      <c r="N31" s="6">
        <v>0</v>
      </c>
      <c r="O31" s="26"/>
      <c r="P31" s="23"/>
      <c r="Q31" s="35"/>
      <c r="R31" s="43" t="str">
        <f t="shared" si="0"/>
        <v/>
      </c>
      <c r="S31" s="43" t="str">
        <f t="shared" si="1"/>
        <v/>
      </c>
      <c r="T31" s="43" t="str">
        <f t="shared" si="2"/>
        <v/>
      </c>
      <c r="U31" s="43" t="str">
        <f t="shared" si="3"/>
        <v/>
      </c>
      <c r="V31" s="36"/>
      <c r="W31" s="23"/>
      <c r="X31" s="49"/>
      <c r="Y31" s="23"/>
      <c r="Z31" s="23"/>
      <c r="AA31" s="23"/>
      <c r="AB31" s="23"/>
      <c r="AC31" s="23"/>
    </row>
    <row r="32" spans="1:31" s="24" customFormat="1" ht="20.100000000000001" customHeight="1" x14ac:dyDescent="0.25">
      <c r="A32" s="23"/>
      <c r="B32" s="23"/>
      <c r="C32" s="25"/>
      <c r="D32" s="4" t="s">
        <v>29</v>
      </c>
      <c r="E32" s="6">
        <v>2420</v>
      </c>
      <c r="F32" s="6">
        <v>2614</v>
      </c>
      <c r="G32" s="6">
        <v>2803</v>
      </c>
      <c r="H32" s="6">
        <v>2863</v>
      </c>
      <c r="I32" s="6">
        <v>2901</v>
      </c>
      <c r="J32" s="6">
        <v>2890</v>
      </c>
      <c r="K32" s="6">
        <v>2854</v>
      </c>
      <c r="L32" s="6">
        <v>2851</v>
      </c>
      <c r="M32" s="6">
        <v>2815</v>
      </c>
      <c r="N32" s="6">
        <v>2682</v>
      </c>
      <c r="O32" s="26"/>
      <c r="P32" s="23"/>
      <c r="Q32" s="35"/>
      <c r="R32" s="43">
        <f t="shared" si="0"/>
        <v>-4.7246891651865019E-2</v>
      </c>
      <c r="S32" s="43">
        <f t="shared" si="1"/>
        <v>-2.050640244900237E-2</v>
      </c>
      <c r="T32" s="43">
        <f t="shared" si="2"/>
        <v>-1.5575964193271674E-2</v>
      </c>
      <c r="U32" s="43">
        <f t="shared" si="3"/>
        <v>1.1487170446876194E-2</v>
      </c>
      <c r="V32" s="36"/>
      <c r="W32" s="23"/>
      <c r="X32" s="49"/>
      <c r="Y32" s="23"/>
      <c r="Z32" s="23"/>
      <c r="AA32" s="23"/>
      <c r="AB32" s="23"/>
      <c r="AC32" s="23"/>
    </row>
    <row r="33" spans="1:29" s="24" customFormat="1" ht="20.100000000000001" customHeight="1" x14ac:dyDescent="0.25">
      <c r="A33" s="23"/>
      <c r="B33" s="23"/>
      <c r="C33" s="25"/>
      <c r="D33" s="4" t="s">
        <v>30</v>
      </c>
      <c r="E33" s="6">
        <v>2517</v>
      </c>
      <c r="F33" s="6">
        <v>2664</v>
      </c>
      <c r="G33" s="6">
        <v>2853</v>
      </c>
      <c r="H33" s="6">
        <v>2925</v>
      </c>
      <c r="I33" s="6">
        <v>2956</v>
      </c>
      <c r="J33" s="6">
        <v>2921</v>
      </c>
      <c r="K33" s="6">
        <v>2876</v>
      </c>
      <c r="L33" s="6">
        <v>2888</v>
      </c>
      <c r="M33" s="6">
        <v>2859</v>
      </c>
      <c r="N33" s="6">
        <v>2687</v>
      </c>
      <c r="O33" s="26"/>
      <c r="P33" s="23"/>
      <c r="Q33" s="35"/>
      <c r="R33" s="43">
        <f t="shared" si="0"/>
        <v>-6.0160895417978311E-2</v>
      </c>
      <c r="S33" s="43">
        <f t="shared" si="1"/>
        <v>-2.2403597082693127E-2</v>
      </c>
      <c r="T33" s="43">
        <f t="shared" si="2"/>
        <v>-1.8901419530712338E-2</v>
      </c>
      <c r="U33" s="43">
        <f t="shared" si="3"/>
        <v>7.2883890073081048E-3</v>
      </c>
      <c r="V33" s="36"/>
      <c r="W33" s="23"/>
      <c r="X33" s="51"/>
      <c r="Y33" s="23"/>
      <c r="Z33" s="23"/>
      <c r="AA33" s="23"/>
      <c r="AB33" s="23"/>
      <c r="AC33" s="23"/>
    </row>
    <row r="34" spans="1:29" ht="20.100000000000001" customHeight="1" x14ac:dyDescent="0.25">
      <c r="B34" s="8"/>
      <c r="C34" s="27"/>
      <c r="D34" s="4" t="s">
        <v>13</v>
      </c>
      <c r="E34" s="6">
        <v>6.3925619834710741</v>
      </c>
      <c r="F34" s="6">
        <v>13.808722264728386</v>
      </c>
      <c r="G34" s="6">
        <v>15.775240813414198</v>
      </c>
      <c r="H34" s="6">
        <v>20.675515193852601</v>
      </c>
      <c r="I34" s="6">
        <v>25.628059289900033</v>
      </c>
      <c r="J34" s="6">
        <v>29.109688581314877</v>
      </c>
      <c r="K34" s="6">
        <v>35.407848633496847</v>
      </c>
      <c r="L34" s="6">
        <v>44.998246229393196</v>
      </c>
      <c r="M34" s="6">
        <v>44.361989342806396</v>
      </c>
      <c r="N34" s="6">
        <v>46.269202087994032</v>
      </c>
      <c r="O34" s="7"/>
      <c r="P34" s="8"/>
      <c r="Q34" s="37"/>
      <c r="R34" s="43">
        <f t="shared" si="0"/>
        <v>4.2992047323434646E-2</v>
      </c>
      <c r="S34" s="43">
        <f t="shared" si="1"/>
        <v>9.3278539943459915E-2</v>
      </c>
      <c r="T34" s="43">
        <f t="shared" si="2"/>
        <v>0.12542163056135958</v>
      </c>
      <c r="U34" s="43">
        <f t="shared" si="3"/>
        <v>0.24598555345749662</v>
      </c>
      <c r="V34" s="38"/>
      <c r="W34" s="8"/>
      <c r="X34" s="51"/>
      <c r="Y34" s="8"/>
      <c r="Z34" s="8"/>
      <c r="AA34" s="8"/>
      <c r="AB34" s="8"/>
      <c r="AC34" s="8"/>
    </row>
    <row r="35" spans="1:29" ht="20.100000000000001" customHeight="1" x14ac:dyDescent="0.25">
      <c r="B35" s="8"/>
      <c r="C35" s="27"/>
      <c r="D35" s="94"/>
      <c r="E35" s="95"/>
      <c r="F35" s="95"/>
      <c r="G35" s="95"/>
      <c r="H35" s="95"/>
      <c r="I35" s="95"/>
      <c r="J35" s="95"/>
      <c r="K35" s="95"/>
      <c r="L35" s="95"/>
      <c r="M35" s="95"/>
      <c r="N35" s="95"/>
      <c r="O35" s="7"/>
      <c r="P35" s="8"/>
      <c r="Q35" s="37"/>
      <c r="R35" s="8"/>
      <c r="S35" s="8"/>
      <c r="T35" s="8"/>
      <c r="U35" s="8"/>
      <c r="V35" s="38"/>
      <c r="W35" s="8"/>
      <c r="X35" s="8"/>
      <c r="Y35" s="8"/>
      <c r="Z35" s="8"/>
      <c r="AA35" s="8"/>
      <c r="AB35" s="8"/>
      <c r="AC35" s="8"/>
    </row>
    <row r="36" spans="1:29" ht="20.100000000000001" customHeight="1" x14ac:dyDescent="0.25">
      <c r="B36" s="8"/>
      <c r="C36" s="27"/>
      <c r="D36" s="9"/>
      <c r="E36" s="8">
        <v>2013</v>
      </c>
      <c r="F36" s="8">
        <v>2014</v>
      </c>
      <c r="G36" s="8">
        <v>2015</v>
      </c>
      <c r="H36" s="47">
        <v>2016</v>
      </c>
      <c r="I36" s="8">
        <v>2017</v>
      </c>
      <c r="J36" s="8">
        <v>2018</v>
      </c>
      <c r="K36" s="8">
        <v>2019</v>
      </c>
      <c r="L36" s="8">
        <v>2020</v>
      </c>
      <c r="M36" s="47">
        <v>2021</v>
      </c>
      <c r="N36" s="217" t="s">
        <v>131</v>
      </c>
      <c r="O36" s="7"/>
      <c r="P36" s="8"/>
      <c r="Q36" s="37"/>
      <c r="R36" s="8"/>
      <c r="S36" s="8"/>
      <c r="T36" s="8"/>
      <c r="U36" s="8"/>
      <c r="V36" s="38"/>
      <c r="W36" s="8"/>
      <c r="X36" s="8"/>
      <c r="Y36" s="8"/>
      <c r="Z36" s="8"/>
      <c r="AA36" s="8"/>
      <c r="AB36" s="8"/>
      <c r="AC36" s="8"/>
    </row>
    <row r="37" spans="1:29" ht="20.100000000000001" customHeight="1" x14ac:dyDescent="0.25">
      <c r="B37" s="8"/>
      <c r="C37" s="27"/>
      <c r="D37" s="2" t="s">
        <v>31</v>
      </c>
      <c r="E37" s="3">
        <v>100</v>
      </c>
      <c r="F37" s="3">
        <v>100</v>
      </c>
      <c r="G37" s="3">
        <v>100</v>
      </c>
      <c r="H37" s="3">
        <v>100</v>
      </c>
      <c r="I37" s="3">
        <v>100</v>
      </c>
      <c r="J37" s="3">
        <v>100</v>
      </c>
      <c r="K37" s="3">
        <v>100</v>
      </c>
      <c r="L37" s="3">
        <v>100</v>
      </c>
      <c r="M37" s="3">
        <v>100</v>
      </c>
      <c r="N37" s="3">
        <v>100</v>
      </c>
      <c r="O37" s="7"/>
      <c r="P37" s="8"/>
      <c r="Q37" s="37"/>
      <c r="R37" s="43">
        <f t="shared" ref="R37:R47" si="4">IFERROR((N37/M37-1),"")</f>
        <v>0</v>
      </c>
      <c r="S37" s="43">
        <f t="shared" ref="S37:S47" si="5">IFERROR(((N37/K37)^(1/3) -1),"")</f>
        <v>0</v>
      </c>
      <c r="T37" s="43">
        <f t="shared" ref="T37:T47" si="6">IFERROR(((N37/I37)^(1/5) -1),"")</f>
        <v>0</v>
      </c>
      <c r="U37" s="43">
        <f t="shared" ref="U37:U47" si="7">IFERROR(((N37/E37)^(1/9) -1),"")</f>
        <v>0</v>
      </c>
      <c r="V37" s="38"/>
      <c r="W37" s="8"/>
      <c r="X37" s="52"/>
      <c r="Y37" s="8"/>
      <c r="Z37" s="8"/>
      <c r="AA37" s="8"/>
      <c r="AB37" s="8"/>
      <c r="AC37" s="8"/>
    </row>
    <row r="38" spans="1:29" ht="20.100000000000001" customHeight="1" x14ac:dyDescent="0.25">
      <c r="B38" s="8"/>
      <c r="C38" s="27"/>
      <c r="D38" s="11" t="s">
        <v>83</v>
      </c>
      <c r="E38" s="12">
        <v>76.180000000000007</v>
      </c>
      <c r="F38" s="12">
        <v>82.73</v>
      </c>
      <c r="G38" s="12">
        <v>84.009999999999991</v>
      </c>
      <c r="H38" s="12">
        <v>86.29</v>
      </c>
      <c r="I38" s="12">
        <v>86.58</v>
      </c>
      <c r="J38" s="12">
        <v>83.25</v>
      </c>
      <c r="K38" s="12">
        <v>81.94</v>
      </c>
      <c r="L38" s="12">
        <v>80.58</v>
      </c>
      <c r="M38" s="12">
        <v>80.789999999999992</v>
      </c>
      <c r="N38" s="12">
        <v>80.25</v>
      </c>
      <c r="O38" s="7"/>
      <c r="P38" s="8"/>
      <c r="Q38" s="37"/>
      <c r="R38" s="43">
        <f t="shared" si="4"/>
        <v>-6.6839955440028964E-3</v>
      </c>
      <c r="S38" s="43">
        <f t="shared" si="5"/>
        <v>-6.9227632099091441E-3</v>
      </c>
      <c r="T38" s="43">
        <f t="shared" si="6"/>
        <v>-1.5069714050687022E-2</v>
      </c>
      <c r="U38" s="43">
        <f t="shared" si="7"/>
        <v>5.7998433363941615E-3</v>
      </c>
      <c r="V38" s="38"/>
      <c r="W38" s="8"/>
      <c r="X38" s="52"/>
      <c r="Y38" s="8"/>
      <c r="Z38" s="8"/>
      <c r="AA38" s="8"/>
      <c r="AB38" s="8"/>
      <c r="AC38" s="8"/>
    </row>
    <row r="39" spans="1:29" ht="20.100000000000001" customHeight="1" x14ac:dyDescent="0.25">
      <c r="B39" s="8"/>
      <c r="C39" s="27"/>
      <c r="D39" s="4" t="s">
        <v>20</v>
      </c>
      <c r="E39" s="10">
        <v>17.975101626016261</v>
      </c>
      <c r="F39" s="10">
        <v>21.386170383442966</v>
      </c>
      <c r="G39" s="10">
        <v>26.863007585899151</v>
      </c>
      <c r="H39" s="10">
        <v>21.416166148057023</v>
      </c>
      <c r="I39" s="10">
        <v>19.073623102846039</v>
      </c>
      <c r="J39" s="10">
        <v>18.397865253053475</v>
      </c>
      <c r="K39" s="10">
        <v>19.237025616362789</v>
      </c>
      <c r="L39" s="10">
        <v>21.45873320537428</v>
      </c>
      <c r="M39" s="10">
        <v>20.906647219937419</v>
      </c>
      <c r="N39" s="10">
        <v>27.611226347203999</v>
      </c>
      <c r="O39" s="7"/>
      <c r="P39" s="8"/>
      <c r="Q39" s="37"/>
      <c r="R39" s="43">
        <f t="shared" si="4"/>
        <v>0.3206912642058084</v>
      </c>
      <c r="S39" s="43">
        <f t="shared" si="5"/>
        <v>0.12801772589304794</v>
      </c>
      <c r="T39" s="43">
        <f t="shared" si="6"/>
        <v>7.6788726170316179E-2</v>
      </c>
      <c r="U39" s="43">
        <f t="shared" si="7"/>
        <v>4.8848362820435476E-2</v>
      </c>
      <c r="V39" s="38"/>
      <c r="W39" s="8"/>
      <c r="X39" s="52"/>
      <c r="Y39" s="8"/>
      <c r="Z39" s="8"/>
      <c r="AA39" s="8"/>
      <c r="AB39" s="8"/>
      <c r="AC39" s="8"/>
    </row>
    <row r="40" spans="1:29" ht="20.100000000000001" customHeight="1" x14ac:dyDescent="0.25">
      <c r="B40" s="8"/>
      <c r="C40" s="27"/>
      <c r="D40" s="4" t="s">
        <v>21</v>
      </c>
      <c r="E40" s="10">
        <v>22.586382113821138</v>
      </c>
      <c r="F40" s="10">
        <v>21.281886731910799</v>
      </c>
      <c r="G40" s="10">
        <v>22.42302543507363</v>
      </c>
      <c r="H40" s="10">
        <v>19.910992112309138</v>
      </c>
      <c r="I40" s="10">
        <v>17.814183455095563</v>
      </c>
      <c r="J40" s="10">
        <v>20.231741824563919</v>
      </c>
      <c r="K40" s="10">
        <v>28.772083681061432</v>
      </c>
      <c r="L40" s="10">
        <v>21.119060082591755</v>
      </c>
      <c r="M40" s="10">
        <v>20.242688397255975</v>
      </c>
      <c r="N40" s="10">
        <v>22.952207594293697</v>
      </c>
      <c r="O40" s="7"/>
      <c r="P40" s="8"/>
      <c r="Q40" s="37"/>
      <c r="R40" s="43">
        <f t="shared" si="4"/>
        <v>0.13385174655976106</v>
      </c>
      <c r="S40" s="43">
        <f t="shared" si="5"/>
        <v>-7.2563075141099276E-2</v>
      </c>
      <c r="T40" s="43">
        <f t="shared" si="6"/>
        <v>5.1990235055726419E-2</v>
      </c>
      <c r="U40" s="43">
        <f t="shared" si="7"/>
        <v>1.7868122302773237E-3</v>
      </c>
      <c r="V40" s="38"/>
      <c r="W40" s="8"/>
      <c r="X40" s="52"/>
      <c r="Y40" s="8"/>
      <c r="Z40" s="8"/>
      <c r="AA40" s="8"/>
      <c r="AB40" s="8"/>
      <c r="AC40" s="8"/>
    </row>
    <row r="41" spans="1:29" ht="20.100000000000001" customHeight="1" x14ac:dyDescent="0.25">
      <c r="B41" s="8"/>
      <c r="C41" s="27"/>
      <c r="D41" s="4" t="s">
        <v>22</v>
      </c>
      <c r="E41" s="10">
        <v>0</v>
      </c>
      <c r="F41" s="10">
        <v>0</v>
      </c>
      <c r="G41" s="10">
        <v>0</v>
      </c>
      <c r="H41" s="10">
        <v>0</v>
      </c>
      <c r="I41" s="10">
        <v>0</v>
      </c>
      <c r="J41" s="10">
        <v>0</v>
      </c>
      <c r="K41" s="10">
        <v>0</v>
      </c>
      <c r="L41" s="10">
        <v>0</v>
      </c>
      <c r="M41" s="10">
        <v>0</v>
      </c>
      <c r="N41" s="10">
        <v>0</v>
      </c>
      <c r="O41" s="7"/>
      <c r="P41" s="8"/>
      <c r="Q41" s="37"/>
      <c r="R41" s="43" t="str">
        <f t="shared" si="4"/>
        <v/>
      </c>
      <c r="S41" s="43" t="str">
        <f t="shared" si="5"/>
        <v/>
      </c>
      <c r="T41" s="43" t="str">
        <f t="shared" si="6"/>
        <v/>
      </c>
      <c r="U41" s="43" t="str">
        <f t="shared" si="7"/>
        <v/>
      </c>
      <c r="V41" s="38"/>
      <c r="W41" s="8"/>
      <c r="X41" s="52"/>
      <c r="Y41" s="8"/>
      <c r="Z41" s="8"/>
      <c r="AA41" s="8"/>
      <c r="AB41" s="8"/>
      <c r="AC41" s="8"/>
    </row>
    <row r="42" spans="1:29" ht="20.100000000000001" customHeight="1" x14ac:dyDescent="0.25">
      <c r="B42" s="8"/>
      <c r="C42" s="27"/>
      <c r="D42" s="11" t="s">
        <v>84</v>
      </c>
      <c r="E42" s="13">
        <v>48.54</v>
      </c>
      <c r="F42" s="13">
        <v>49.54</v>
      </c>
      <c r="G42" s="13">
        <v>45.53</v>
      </c>
      <c r="H42" s="13">
        <v>53.800000000000004</v>
      </c>
      <c r="I42" s="13">
        <v>58.109999999999992</v>
      </c>
      <c r="J42" s="13">
        <v>53.16</v>
      </c>
      <c r="K42" s="13">
        <v>43.25</v>
      </c>
      <c r="L42" s="13">
        <v>47.36</v>
      </c>
      <c r="M42" s="13">
        <v>47.24</v>
      </c>
      <c r="N42" s="13">
        <v>36.94</v>
      </c>
      <c r="O42" s="7"/>
      <c r="P42" s="8"/>
      <c r="Q42" s="37"/>
      <c r="R42" s="43">
        <f t="shared" si="4"/>
        <v>-0.2180355630821339</v>
      </c>
      <c r="S42" s="43">
        <f t="shared" si="5"/>
        <v>-5.12096481054648E-2</v>
      </c>
      <c r="T42" s="43">
        <f t="shared" si="6"/>
        <v>-8.6624825903793168E-2</v>
      </c>
      <c r="U42" s="43">
        <f t="shared" si="7"/>
        <v>-2.9887943241301063E-2</v>
      </c>
      <c r="V42" s="38"/>
      <c r="W42" s="8"/>
      <c r="X42" s="52"/>
      <c r="Y42" s="8"/>
      <c r="Z42" s="8"/>
      <c r="AA42" s="8"/>
      <c r="AB42" s="8"/>
      <c r="AC42" s="8"/>
    </row>
    <row r="43" spans="1:29" ht="20.100000000000001" customHeight="1" x14ac:dyDescent="0.25">
      <c r="B43" s="8"/>
      <c r="C43" s="27"/>
      <c r="D43" s="4" t="s">
        <v>23</v>
      </c>
      <c r="E43" s="6">
        <v>12.842987804878048</v>
      </c>
      <c r="F43" s="6">
        <v>9.9711214503449384</v>
      </c>
      <c r="G43" s="6">
        <v>10.848951360999553</v>
      </c>
      <c r="H43" s="6">
        <v>8.4738403647152474</v>
      </c>
      <c r="I43" s="6">
        <v>7.4410252625882469</v>
      </c>
      <c r="J43" s="6">
        <v>7.7277123106128442</v>
      </c>
      <c r="K43" s="6">
        <v>8.1205708870249094</v>
      </c>
      <c r="L43" s="6">
        <v>7.9823183853894033</v>
      </c>
      <c r="M43" s="6">
        <v>6.7557598215875645</v>
      </c>
      <c r="N43" s="6">
        <v>7.0473690894467254</v>
      </c>
      <c r="O43" s="7"/>
      <c r="P43" s="8"/>
      <c r="Q43" s="37"/>
      <c r="R43" s="43">
        <f t="shared" si="4"/>
        <v>4.3164540415919328E-2</v>
      </c>
      <c r="S43" s="43">
        <f t="shared" si="5"/>
        <v>-4.6149851139131393E-2</v>
      </c>
      <c r="T43" s="43">
        <f t="shared" si="6"/>
        <v>-1.0811980804086185E-2</v>
      </c>
      <c r="U43" s="43">
        <f t="shared" si="7"/>
        <v>-6.4507941164975491E-2</v>
      </c>
      <c r="V43" s="38"/>
      <c r="W43" s="8"/>
      <c r="X43" s="52"/>
      <c r="Y43" s="8"/>
      <c r="Z43" s="8"/>
      <c r="AA43" s="8"/>
      <c r="AB43" s="8"/>
      <c r="AC43" s="8"/>
    </row>
    <row r="44" spans="1:29" ht="20.100000000000001" customHeight="1" x14ac:dyDescent="0.25">
      <c r="B44" s="8"/>
      <c r="C44" s="27"/>
      <c r="D44" s="11" t="s">
        <v>85</v>
      </c>
      <c r="E44" s="13">
        <v>35.620000000000005</v>
      </c>
      <c r="F44" s="13">
        <v>40.06</v>
      </c>
      <c r="G44" s="13">
        <v>34.72</v>
      </c>
      <c r="H44" s="13">
        <v>44.96</v>
      </c>
      <c r="I44" s="13">
        <v>49.7</v>
      </c>
      <c r="J44" s="13">
        <v>44.62</v>
      </c>
      <c r="K44" s="13">
        <v>33.93</v>
      </c>
      <c r="L44" s="13">
        <v>38.01</v>
      </c>
      <c r="M44" s="13">
        <v>39.65</v>
      </c>
      <c r="N44" s="13">
        <v>29.34</v>
      </c>
      <c r="O44" s="7"/>
      <c r="P44" s="8"/>
      <c r="Q44" s="37"/>
      <c r="R44" s="43">
        <f t="shared" si="4"/>
        <v>-0.26002522068095835</v>
      </c>
      <c r="S44" s="43">
        <f t="shared" si="5"/>
        <v>-4.7294329917018985E-2</v>
      </c>
      <c r="T44" s="43">
        <f t="shared" si="6"/>
        <v>-0.10004510364752472</v>
      </c>
      <c r="U44" s="43">
        <f t="shared" si="7"/>
        <v>-2.1320056423366651E-2</v>
      </c>
      <c r="V44" s="38"/>
      <c r="W44" s="8"/>
      <c r="X44" s="52"/>
      <c r="Y44" s="8"/>
      <c r="Z44" s="8"/>
      <c r="AA44" s="8"/>
      <c r="AB44" s="8"/>
      <c r="AC44" s="8"/>
    </row>
    <row r="45" spans="1:29" ht="20.100000000000001" customHeight="1" x14ac:dyDescent="0.25">
      <c r="B45" s="8"/>
      <c r="C45" s="27"/>
      <c r="D45" s="4" t="s">
        <v>24</v>
      </c>
      <c r="E45" s="6">
        <v>-0.4700203252032521</v>
      </c>
      <c r="F45" s="6">
        <v>3.2087277394513072E-2</v>
      </c>
      <c r="G45" s="6">
        <v>0.16175814368585453</v>
      </c>
      <c r="H45" s="6">
        <v>0.60062233157247269</v>
      </c>
      <c r="I45" s="6">
        <v>0.96425848030895622</v>
      </c>
      <c r="J45" s="6">
        <v>1.1676635982664134</v>
      </c>
      <c r="K45" s="6">
        <v>1.2786964086170558</v>
      </c>
      <c r="L45" s="6">
        <v>0</v>
      </c>
      <c r="M45" s="6">
        <v>0</v>
      </c>
      <c r="N45" s="6">
        <v>-6.5190703974939673E-2</v>
      </c>
      <c r="O45" s="7"/>
      <c r="P45" s="8"/>
      <c r="Q45" s="37"/>
      <c r="R45" s="43" t="str">
        <f t="shared" si="4"/>
        <v/>
      </c>
      <c r="S45" s="43">
        <f t="shared" si="5"/>
        <v>-1.3707997293624012</v>
      </c>
      <c r="T45" s="43">
        <f t="shared" si="6"/>
        <v>-1.5834430095612944</v>
      </c>
      <c r="U45" s="43">
        <f t="shared" si="7"/>
        <v>-0.19707618965305829</v>
      </c>
      <c r="V45" s="38"/>
      <c r="W45" s="8"/>
      <c r="X45" s="52"/>
      <c r="Y45" s="8"/>
      <c r="Z45" s="8"/>
      <c r="AA45" s="8"/>
      <c r="AB45" s="8"/>
      <c r="AC45" s="8"/>
    </row>
    <row r="46" spans="1:29" ht="20.100000000000001" customHeight="1" x14ac:dyDescent="0.25">
      <c r="B46" s="8"/>
      <c r="C46" s="27"/>
      <c r="D46" s="11" t="s">
        <v>86</v>
      </c>
      <c r="E46" s="13">
        <v>19.05</v>
      </c>
      <c r="F46" s="13">
        <v>23.580000000000002</v>
      </c>
      <c r="G46" s="13">
        <v>20.57</v>
      </c>
      <c r="H46" s="13">
        <v>36.97</v>
      </c>
      <c r="I46" s="13">
        <v>39.200000000000003</v>
      </c>
      <c r="J46" s="13">
        <v>39.6</v>
      </c>
      <c r="K46" s="13">
        <v>26.150000000000002</v>
      </c>
      <c r="L46" s="13">
        <v>33.900000000000006</v>
      </c>
      <c r="M46" s="13">
        <v>33.379999999999995</v>
      </c>
      <c r="N46" s="13">
        <v>24.089999999999996</v>
      </c>
      <c r="O46" s="7"/>
      <c r="P46" s="8"/>
      <c r="Q46" s="37"/>
      <c r="R46" s="43">
        <f t="shared" si="4"/>
        <v>-0.27831036548831634</v>
      </c>
      <c r="S46" s="43">
        <f t="shared" si="5"/>
        <v>-2.6980145244551168E-2</v>
      </c>
      <c r="T46" s="43">
        <f t="shared" si="6"/>
        <v>-9.2785158109526034E-2</v>
      </c>
      <c r="U46" s="43">
        <f t="shared" si="7"/>
        <v>2.6424167007131905E-2</v>
      </c>
      <c r="V46" s="38"/>
      <c r="W46" s="8"/>
      <c r="X46" s="52"/>
      <c r="Y46" s="8"/>
      <c r="Z46" s="8"/>
      <c r="AA46" s="8"/>
      <c r="AB46" s="8"/>
      <c r="AC46" s="8"/>
    </row>
    <row r="47" spans="1:29" ht="20.100000000000001" customHeight="1" x14ac:dyDescent="0.25">
      <c r="B47" s="8"/>
      <c r="C47" s="27"/>
      <c r="D47" s="11" t="s">
        <v>87</v>
      </c>
      <c r="E47" s="13">
        <v>36.331300813008134</v>
      </c>
      <c r="F47" s="13">
        <v>29.087116958126103</v>
      </c>
      <c r="G47" s="13">
        <v>33.89112003569835</v>
      </c>
      <c r="H47" s="13">
        <v>42.032708589622978</v>
      </c>
      <c r="I47" s="13">
        <v>43.005436253167048</v>
      </c>
      <c r="J47" s="13">
        <v>27.506357677567252</v>
      </c>
      <c r="K47" s="13">
        <v>30.004102012815252</v>
      </c>
      <c r="L47" s="13">
        <v>27.490257663002382</v>
      </c>
      <c r="M47" s="13">
        <v>33.169110227340184</v>
      </c>
      <c r="N47" s="13">
        <v>22.275748211488803</v>
      </c>
      <c r="O47" s="7"/>
      <c r="P47" s="8"/>
      <c r="Q47" s="37"/>
      <c r="R47" s="43">
        <f t="shared" si="4"/>
        <v>-0.32841887952943483</v>
      </c>
      <c r="S47" s="43">
        <f t="shared" si="5"/>
        <v>-9.4509519340266634E-2</v>
      </c>
      <c r="T47" s="43">
        <f t="shared" si="6"/>
        <v>-0.12327823437633878</v>
      </c>
      <c r="U47" s="43">
        <f t="shared" si="7"/>
        <v>-5.2902708258575348E-2</v>
      </c>
      <c r="V47" s="38"/>
      <c r="W47" s="8"/>
      <c r="X47" s="54"/>
      <c r="Y47" s="8"/>
      <c r="Z47" s="8"/>
      <c r="AA47" s="8"/>
      <c r="AB47" s="8"/>
      <c r="AC47" s="8"/>
    </row>
    <row r="48" spans="1:29" ht="20.100000000000001" customHeight="1" x14ac:dyDescent="0.25">
      <c r="B48" s="8"/>
      <c r="C48" s="27"/>
      <c r="D48" s="7"/>
      <c r="E48" s="8"/>
      <c r="F48" s="8"/>
      <c r="G48" s="8"/>
      <c r="H48" s="89"/>
      <c r="I48" s="8"/>
      <c r="J48" s="8"/>
      <c r="K48" s="8"/>
      <c r="L48" s="8"/>
      <c r="M48" s="89"/>
      <c r="N48" s="8"/>
      <c r="O48" s="7"/>
      <c r="P48" s="8"/>
      <c r="Q48" s="37"/>
      <c r="R48" s="8"/>
      <c r="S48" s="8"/>
      <c r="T48" s="8"/>
      <c r="U48" s="8"/>
      <c r="V48" s="38"/>
      <c r="W48" s="8"/>
      <c r="X48" s="8"/>
      <c r="Y48" s="8"/>
      <c r="Z48" s="8"/>
      <c r="AA48" s="8"/>
      <c r="AB48" s="8"/>
      <c r="AC48" s="8"/>
    </row>
    <row r="49" spans="2:29" ht="18.95" customHeight="1" x14ac:dyDescent="0.25">
      <c r="B49" s="8"/>
      <c r="C49" s="27"/>
      <c r="D49" s="7"/>
      <c r="E49" s="8">
        <v>2013</v>
      </c>
      <c r="F49" s="8">
        <v>2014</v>
      </c>
      <c r="G49" s="8">
        <v>2015</v>
      </c>
      <c r="H49" s="8">
        <v>2016</v>
      </c>
      <c r="I49" s="8">
        <v>2017</v>
      </c>
      <c r="J49" s="8">
        <v>2018</v>
      </c>
      <c r="K49" s="8">
        <v>2019</v>
      </c>
      <c r="L49" s="8">
        <v>2020</v>
      </c>
      <c r="M49" s="8">
        <v>2021</v>
      </c>
      <c r="N49" s="8" t="s">
        <v>131</v>
      </c>
      <c r="O49" s="7"/>
      <c r="P49" s="8"/>
      <c r="Q49" s="37"/>
      <c r="R49" s="8"/>
      <c r="S49" s="8"/>
      <c r="T49" s="8"/>
      <c r="U49" s="8"/>
      <c r="V49" s="38"/>
      <c r="W49" s="8"/>
      <c r="X49" s="8"/>
      <c r="Y49" s="8"/>
      <c r="Z49" s="8"/>
      <c r="AA49" s="8"/>
      <c r="AB49" s="8"/>
      <c r="AC49" s="8"/>
    </row>
    <row r="50" spans="2:29" ht="18.95" customHeight="1" x14ac:dyDescent="0.25">
      <c r="B50" s="8"/>
      <c r="C50" s="27"/>
      <c r="D50" s="4" t="s">
        <v>32</v>
      </c>
      <c r="E50" s="48">
        <v>8.3822296730930432</v>
      </c>
      <c r="F50" s="48">
        <v>7.3163448138562615</v>
      </c>
      <c r="G50" s="48">
        <v>7.464529317708017</v>
      </c>
      <c r="H50" s="48">
        <v>15.727898277427995</v>
      </c>
      <c r="I50" s="48">
        <v>18.851450475604562</v>
      </c>
      <c r="J50" s="48">
        <v>22.717652618817681</v>
      </c>
      <c r="K50" s="48">
        <v>13.859315019193858</v>
      </c>
      <c r="L50" s="48">
        <v>18.294458811418814</v>
      </c>
      <c r="M50" s="48">
        <v>23.718724960388464</v>
      </c>
      <c r="N50" s="48">
        <v>16.116806600556753</v>
      </c>
      <c r="O50" s="7"/>
      <c r="P50" s="8"/>
      <c r="Q50" s="37"/>
      <c r="R50" s="43">
        <f>IFERROR((N50/M50-1),"")</f>
        <v>-0.32050282519517048</v>
      </c>
      <c r="S50" s="43">
        <f>IFERROR(((N50/K50)^(1/3) -1),"")</f>
        <v>5.1588293305058874E-2</v>
      </c>
      <c r="T50" s="43">
        <f>IFERROR(((N50/I50)^(1/5) -1),"")</f>
        <v>-3.0859273159060674E-2</v>
      </c>
      <c r="U50" s="43">
        <f>IFERROR(((N50/E50)^(1/9) -1),"")</f>
        <v>7.5341989390355524E-2</v>
      </c>
      <c r="V50" s="38"/>
      <c r="W50" s="8"/>
      <c r="X50" s="52"/>
      <c r="Y50" s="8"/>
      <c r="Z50" s="8"/>
      <c r="AA50" s="8"/>
      <c r="AB50" s="8"/>
      <c r="AC50" s="8"/>
    </row>
    <row r="51" spans="2:29" ht="18.95" customHeight="1" x14ac:dyDescent="0.25">
      <c r="B51" s="8"/>
      <c r="C51" s="27"/>
      <c r="D51" s="4" t="s">
        <v>33</v>
      </c>
      <c r="E51" s="48">
        <v>9.6961861667744031</v>
      </c>
      <c r="F51" s="48">
        <v>8.1449468085106371</v>
      </c>
      <c r="G51" s="48">
        <v>8.3404948211135732</v>
      </c>
      <c r="H51" s="48">
        <v>17.260195290063184</v>
      </c>
      <c r="I51" s="48">
        <v>21.43193403903318</v>
      </c>
      <c r="J51" s="48">
        <v>26.284070512439527</v>
      </c>
      <c r="K51" s="48">
        <v>18.292200209788824</v>
      </c>
      <c r="L51" s="48">
        <v>22.718840127835374</v>
      </c>
      <c r="M51" s="48">
        <v>31.526517669103693</v>
      </c>
      <c r="N51" s="48">
        <v>23.234000032233627</v>
      </c>
      <c r="O51" s="7"/>
      <c r="P51" s="8"/>
      <c r="Q51" s="37"/>
      <c r="R51" s="43">
        <f>IFERROR((N51/M51-1),"")</f>
        <v>-0.26303309879977066</v>
      </c>
      <c r="S51" s="43">
        <f>IFERROR(((N51/K51)^(1/3) -1),"")</f>
        <v>8.2977282319018908E-2</v>
      </c>
      <c r="T51" s="43">
        <f>IFERROR(((N51/I51)^(1/5) -1),"")</f>
        <v>1.6278000212978316E-2</v>
      </c>
      <c r="U51" s="43">
        <f>IFERROR(((N51/E51)^(1/9) -1),"")</f>
        <v>0.10196861773871024</v>
      </c>
      <c r="V51" s="38"/>
      <c r="W51" s="8"/>
      <c r="X51" s="52"/>
      <c r="Y51" s="8"/>
      <c r="Z51" s="8"/>
      <c r="AA51" s="8"/>
      <c r="AB51" s="8"/>
      <c r="AC51" s="8"/>
    </row>
    <row r="52" spans="2:29" ht="18.95" customHeight="1" x14ac:dyDescent="0.25">
      <c r="B52" s="8"/>
      <c r="C52" s="27"/>
      <c r="D52" s="4" t="s">
        <v>81</v>
      </c>
      <c r="E52" s="48">
        <v>16.695445072938377</v>
      </c>
      <c r="F52" s="48">
        <v>12.884416924664603</v>
      </c>
      <c r="G52" s="48">
        <v>13.11023124552462</v>
      </c>
      <c r="H52" s="48">
        <v>20.01578455690494</v>
      </c>
      <c r="I52" s="48">
        <v>25.014858105096334</v>
      </c>
      <c r="J52" s="48">
        <v>27.583954294318897</v>
      </c>
      <c r="K52" s="48">
        <v>20.271629353549184</v>
      </c>
      <c r="L52" s="48">
        <v>22.635535386427406</v>
      </c>
      <c r="M52" s="48">
        <v>32.276392455747938</v>
      </c>
      <c r="N52" s="48">
        <v>22.490029256051265</v>
      </c>
      <c r="O52" s="7"/>
      <c r="P52" s="8"/>
      <c r="Q52" s="37"/>
      <c r="R52" s="43">
        <f>IFERROR((N52/M52-1),"")</f>
        <v>-0.30320498838629872</v>
      </c>
      <c r="S52" s="43">
        <f>IFERROR(((N52/K52)^(1/3) -1),"")</f>
        <v>3.5222703143215739E-2</v>
      </c>
      <c r="T52" s="43">
        <f>IFERROR(((N52/I52)^(1/5) -1),"")</f>
        <v>-2.1054768320624806E-2</v>
      </c>
      <c r="U52" s="43">
        <f>IFERROR(((N52/E52)^(1/9) -1),"")</f>
        <v>3.3658049559883052E-2</v>
      </c>
      <c r="V52" s="38"/>
      <c r="W52" s="8"/>
      <c r="X52" s="54"/>
      <c r="Y52" s="8"/>
      <c r="Z52" s="8"/>
      <c r="AA52" s="8"/>
      <c r="AB52" s="8"/>
      <c r="AC52" s="8"/>
    </row>
    <row r="53" spans="2:29" ht="20.100000000000001" customHeight="1" x14ac:dyDescent="0.25">
      <c r="B53" s="8"/>
      <c r="C53" s="27"/>
      <c r="D53" s="4" t="s">
        <v>34</v>
      </c>
      <c r="E53" s="48">
        <v>9.0933796693564126</v>
      </c>
      <c r="F53" s="48">
        <v>7.7149054497991711</v>
      </c>
      <c r="G53" s="48">
        <v>7.8060272575871492</v>
      </c>
      <c r="H53" s="48">
        <v>16.336576994559657</v>
      </c>
      <c r="I53" s="48">
        <v>19.354508548441533</v>
      </c>
      <c r="J53" s="48">
        <v>24.050171418949549</v>
      </c>
      <c r="K53" s="48">
        <v>15.102412888939091</v>
      </c>
      <c r="L53" s="48">
        <v>19.883523639928065</v>
      </c>
      <c r="M53" s="48">
        <v>26.874240144293971</v>
      </c>
      <c r="N53" s="48">
        <v>18.331284412135528</v>
      </c>
      <c r="O53" s="7"/>
      <c r="P53" s="8"/>
      <c r="Q53" s="37"/>
      <c r="R53" s="43">
        <f>IFERROR((N53/M53-1),"")</f>
        <v>-0.31788641041716348</v>
      </c>
      <c r="S53" s="43">
        <f>IFERROR(((N53/K53)^(1/3) -1),"")</f>
        <v>6.6716105161093386E-2</v>
      </c>
      <c r="T53" s="43">
        <f>IFERROR(((N53/I53)^(1/5) -1),"")</f>
        <v>-1.0804460213578171E-2</v>
      </c>
      <c r="U53" s="43">
        <f>IFERROR(((N53/E53)^(1/9) -1),"")</f>
        <v>8.1010046520678447E-2</v>
      </c>
      <c r="V53" s="38"/>
      <c r="W53" s="8"/>
      <c r="X53" s="54"/>
      <c r="Y53" s="8"/>
      <c r="Z53" s="8"/>
      <c r="AA53" s="8"/>
      <c r="AB53" s="8"/>
      <c r="AC53" s="8"/>
    </row>
    <row r="54" spans="2:29" ht="20.100000000000001" customHeight="1" x14ac:dyDescent="0.25">
      <c r="B54" s="8"/>
      <c r="C54" s="27"/>
      <c r="D54" s="4" t="s">
        <v>82</v>
      </c>
      <c r="E54" s="48">
        <v>19.273593331348614</v>
      </c>
      <c r="F54" s="48">
        <v>10.3328173374613</v>
      </c>
      <c r="G54" s="48">
        <v>13.57988290299482</v>
      </c>
      <c r="H54" s="48">
        <v>21.302709145378991</v>
      </c>
      <c r="I54" s="48">
        <v>25.326878312119263</v>
      </c>
      <c r="J54" s="48">
        <v>27.073529900240267</v>
      </c>
      <c r="K54" s="48">
        <v>25.903670461364232</v>
      </c>
      <c r="L54" s="48">
        <v>22.708282814286211</v>
      </c>
      <c r="M54" s="48">
        <v>32.796233396846439</v>
      </c>
      <c r="N54" s="48">
        <v>27.70810527057046</v>
      </c>
      <c r="O54" s="7"/>
      <c r="P54" s="8"/>
      <c r="Q54" s="37"/>
      <c r="R54" s="43">
        <f>IFERROR((N54/M54-1),"")</f>
        <v>-0.15514367350383695</v>
      </c>
      <c r="S54" s="43">
        <f>IFERROR(((N54/K54)^(1/3) -1),"")</f>
        <v>2.2700592357681071E-2</v>
      </c>
      <c r="T54" s="43">
        <f>IFERROR(((N54/I54)^(1/5) -1),"")</f>
        <v>1.813421649310798E-2</v>
      </c>
      <c r="U54" s="43">
        <f>IFERROR(((N54/E54)^(1/9) -1),"")</f>
        <v>4.1156501229913323E-2</v>
      </c>
      <c r="V54" s="38"/>
      <c r="W54" s="8"/>
      <c r="X54" s="54"/>
      <c r="Y54" s="8"/>
      <c r="Z54" s="8"/>
      <c r="AA54" s="8"/>
      <c r="AB54" s="8"/>
      <c r="AC54" s="8"/>
    </row>
    <row r="55" spans="2:29" ht="20.100000000000001" customHeight="1" x14ac:dyDescent="0.25">
      <c r="B55" s="8"/>
      <c r="C55" s="27"/>
      <c r="D55" s="7"/>
      <c r="E55" s="8"/>
      <c r="F55" s="8"/>
      <c r="G55" s="8"/>
      <c r="H55" s="8"/>
      <c r="I55" s="8"/>
      <c r="J55" s="8"/>
      <c r="K55" s="8"/>
      <c r="L55" s="8"/>
      <c r="M55" s="8"/>
      <c r="N55" s="8"/>
      <c r="O55" s="7"/>
      <c r="P55" s="8"/>
      <c r="Q55" s="37"/>
      <c r="R55" s="8" t="str">
        <f t="shared" ref="R55" si="8">IFERROR((N55/M55-1),"")</f>
        <v/>
      </c>
      <c r="S55" s="8" t="str">
        <f t="shared" ref="S55" si="9">IFERROR(((N55/K55)^(1/3) -1),"")</f>
        <v/>
      </c>
      <c r="T55" s="8" t="str">
        <f t="shared" ref="T55" si="10">IFERROR(((N55/I55)^(1/5) -1),"")</f>
        <v/>
      </c>
      <c r="U55" s="8" t="str">
        <f t="shared" ref="U55" si="11">IFERROR(((N55/E55)^(1/9) -1),"")</f>
        <v/>
      </c>
      <c r="V55" s="38"/>
      <c r="W55" s="8"/>
      <c r="X55" s="54"/>
      <c r="Y55" s="8"/>
      <c r="Z55" s="8"/>
      <c r="AA55" s="8"/>
      <c r="AB55" s="8"/>
      <c r="AC55" s="8"/>
    </row>
    <row r="56" spans="2:29" ht="20.100000000000001" customHeight="1" x14ac:dyDescent="0.25">
      <c r="B56" s="8"/>
      <c r="C56" s="27"/>
      <c r="D56" s="7"/>
      <c r="E56" s="8"/>
      <c r="F56" s="8"/>
      <c r="G56" s="8"/>
      <c r="H56" s="8"/>
      <c r="I56" s="8"/>
      <c r="J56" s="8"/>
      <c r="K56" s="8"/>
      <c r="L56" s="8"/>
      <c r="M56" s="8"/>
      <c r="N56" s="8"/>
      <c r="O56" s="7"/>
      <c r="P56" s="8"/>
      <c r="Q56" s="37"/>
      <c r="R56" s="8"/>
      <c r="S56" s="8"/>
      <c r="T56" s="8"/>
      <c r="U56" s="8"/>
      <c r="V56" s="38"/>
      <c r="W56" s="8"/>
      <c r="X56" s="8"/>
      <c r="Y56" s="8"/>
      <c r="Z56" s="8"/>
      <c r="AA56" s="8"/>
      <c r="AB56" s="8"/>
      <c r="AC56" s="8"/>
    </row>
    <row r="57" spans="2:29" ht="20.100000000000001" customHeight="1" x14ac:dyDescent="0.25">
      <c r="B57" s="8"/>
      <c r="C57" s="72"/>
      <c r="D57" s="73"/>
      <c r="E57" s="40"/>
      <c r="F57" s="40"/>
      <c r="G57" s="40"/>
      <c r="H57" s="40"/>
      <c r="I57" s="40"/>
      <c r="J57" s="40"/>
      <c r="K57" s="40"/>
      <c r="L57" s="40"/>
      <c r="M57" s="40"/>
      <c r="N57" s="40"/>
      <c r="O57" s="73"/>
      <c r="P57" s="8"/>
      <c r="Q57" s="39"/>
      <c r="R57" s="40"/>
      <c r="S57" s="40"/>
      <c r="T57" s="40"/>
      <c r="U57" s="40"/>
      <c r="V57" s="41"/>
      <c r="W57" s="8"/>
      <c r="X57" s="8"/>
      <c r="Y57" s="8"/>
      <c r="Z57" s="8"/>
      <c r="AA57" s="8"/>
      <c r="AB57" s="8"/>
      <c r="AC57" s="8"/>
    </row>
    <row r="58" spans="2:29" ht="20.100000000000001" customHeight="1" x14ac:dyDescent="0.25">
      <c r="B58" s="8"/>
      <c r="C58" s="40"/>
      <c r="D58" s="40"/>
      <c r="E58" s="40"/>
      <c r="F58" s="40"/>
      <c r="G58" s="40"/>
      <c r="H58" s="40"/>
      <c r="I58" s="40"/>
      <c r="J58" s="40"/>
      <c r="K58" s="40"/>
      <c r="L58" s="40"/>
      <c r="M58" s="40"/>
      <c r="N58" s="40"/>
      <c r="O58" s="40"/>
      <c r="P58" s="8"/>
      <c r="Q58" s="40"/>
      <c r="R58" s="40"/>
      <c r="S58" s="40"/>
      <c r="T58" s="40"/>
      <c r="U58" s="40"/>
      <c r="V58" s="40"/>
      <c r="W58" s="8"/>
      <c r="X58" s="8"/>
      <c r="Y58" s="8"/>
      <c r="Z58" s="8"/>
      <c r="AA58" s="8"/>
      <c r="AB58" s="8"/>
      <c r="AC58" s="8"/>
    </row>
    <row r="59" spans="2:29" ht="20.100000000000001" customHeight="1" x14ac:dyDescent="0.25">
      <c r="B59" s="38"/>
      <c r="C59" s="8"/>
      <c r="D59" s="8"/>
      <c r="E59" s="8"/>
      <c r="F59" s="8"/>
      <c r="G59" s="8"/>
      <c r="H59" s="8"/>
      <c r="I59" s="8"/>
      <c r="J59" s="8"/>
      <c r="K59" s="8"/>
      <c r="L59" s="8"/>
      <c r="M59" s="8"/>
      <c r="N59" s="8"/>
      <c r="O59" s="59"/>
      <c r="P59" s="53"/>
      <c r="Q59" s="37"/>
      <c r="R59" s="8"/>
      <c r="S59" s="8"/>
      <c r="T59" s="8"/>
      <c r="U59" s="8"/>
      <c r="V59" s="59"/>
      <c r="W59" s="8"/>
      <c r="X59" s="8"/>
      <c r="Y59" s="8"/>
      <c r="Z59" s="8"/>
      <c r="AA59" s="8"/>
      <c r="AB59" s="8"/>
      <c r="AC59" s="8"/>
    </row>
    <row r="60" spans="2:29" ht="20.100000000000001" customHeight="1" x14ac:dyDescent="0.25">
      <c r="B60" s="38"/>
      <c r="C60" s="8"/>
      <c r="D60" s="8"/>
      <c r="E60" s="196" t="s">
        <v>131</v>
      </c>
      <c r="F60" s="8"/>
      <c r="G60" s="210" t="s">
        <v>118</v>
      </c>
      <c r="H60" s="210"/>
      <c r="I60" s="210" t="s">
        <v>119</v>
      </c>
      <c r="J60" s="210"/>
      <c r="K60" s="210" t="s">
        <v>120</v>
      </c>
      <c r="L60" s="210"/>
      <c r="M60" s="8"/>
      <c r="N60" s="8"/>
      <c r="O60" s="38"/>
      <c r="P60" s="53"/>
      <c r="Q60" s="8"/>
      <c r="R60" s="8"/>
      <c r="S60" s="8"/>
      <c r="T60" s="8"/>
      <c r="U60" s="8"/>
      <c r="V60" s="38"/>
      <c r="W60" s="8"/>
      <c r="X60" s="8"/>
      <c r="Y60" s="8"/>
      <c r="Z60" s="8"/>
      <c r="AA60" s="8"/>
      <c r="AB60" s="8"/>
      <c r="AC60" s="8"/>
    </row>
    <row r="61" spans="2:29" ht="18.95" customHeight="1" x14ac:dyDescent="0.25">
      <c r="B61" s="38"/>
      <c r="C61" s="8"/>
      <c r="D61" s="8" t="s">
        <v>54</v>
      </c>
      <c r="E61" s="82">
        <v>14308</v>
      </c>
      <c r="F61" s="8"/>
      <c r="G61" s="212">
        <v>2.5704147749812667</v>
      </c>
      <c r="H61" s="212"/>
      <c r="I61" s="212">
        <v>2.3238859263312883</v>
      </c>
      <c r="J61" s="212"/>
      <c r="K61" s="212">
        <v>-2.7741874527588815</v>
      </c>
      <c r="L61" s="212"/>
      <c r="M61" s="8"/>
      <c r="N61" s="8"/>
      <c r="O61" s="38"/>
      <c r="P61" s="53"/>
      <c r="Q61" s="8"/>
      <c r="R61" s="8"/>
      <c r="S61" s="8"/>
      <c r="T61" s="8"/>
      <c r="U61" s="8"/>
      <c r="V61" s="38"/>
      <c r="W61" s="8"/>
      <c r="X61" s="8"/>
      <c r="Y61" s="8"/>
      <c r="Z61" s="8"/>
      <c r="AA61" s="8"/>
      <c r="AB61" s="8"/>
      <c r="AC61" s="8"/>
    </row>
    <row r="62" spans="2:29" ht="18.95" customHeight="1" x14ac:dyDescent="0.25">
      <c r="B62" s="8"/>
      <c r="C62" s="27"/>
      <c r="D62" s="8" t="s">
        <v>7</v>
      </c>
      <c r="E62" s="82">
        <v>27468</v>
      </c>
      <c r="F62" s="8"/>
      <c r="G62" s="212"/>
      <c r="H62" s="212"/>
      <c r="I62" s="212"/>
      <c r="J62" s="212"/>
      <c r="K62" s="212"/>
      <c r="L62" s="212"/>
      <c r="M62" s="8"/>
      <c r="N62" s="8"/>
      <c r="O62" s="7"/>
      <c r="P62" s="8"/>
      <c r="Q62" s="37"/>
      <c r="R62" s="8"/>
      <c r="S62" s="8"/>
      <c r="T62" s="8"/>
      <c r="U62" s="8"/>
      <c r="V62" s="38"/>
      <c r="W62" s="8"/>
      <c r="X62" s="8"/>
      <c r="Y62" s="8"/>
      <c r="Z62" s="8"/>
      <c r="AA62" s="8"/>
      <c r="AB62" s="8"/>
      <c r="AC62" s="8"/>
    </row>
    <row r="63" spans="2:29" ht="18.95" customHeight="1" x14ac:dyDescent="0.25">
      <c r="B63" s="8"/>
      <c r="C63" s="27"/>
      <c r="D63" s="8" t="s">
        <v>55</v>
      </c>
      <c r="E63" s="82">
        <v>41776</v>
      </c>
      <c r="F63" s="8"/>
      <c r="G63" s="8"/>
      <c r="H63" s="8"/>
      <c r="I63" s="8"/>
      <c r="J63" s="8"/>
      <c r="K63" s="8"/>
      <c r="L63" s="8"/>
      <c r="M63" s="8"/>
      <c r="N63" s="8"/>
      <c r="O63" s="7"/>
      <c r="P63" s="8"/>
      <c r="Q63" s="37"/>
      <c r="R63" s="8"/>
      <c r="S63" s="8"/>
      <c r="T63" s="8"/>
      <c r="U63" s="8"/>
      <c r="V63" s="38"/>
      <c r="W63" s="8"/>
      <c r="X63" s="8"/>
      <c r="Y63" s="8"/>
      <c r="Z63" s="8"/>
      <c r="AA63" s="8"/>
      <c r="AB63" s="8"/>
      <c r="AC63" s="8"/>
    </row>
    <row r="64" spans="2:29" ht="20.100000000000001" customHeight="1" x14ac:dyDescent="0.25">
      <c r="B64" s="8"/>
      <c r="C64" s="27"/>
      <c r="D64" s="8" t="s">
        <v>56</v>
      </c>
      <c r="E64" s="82">
        <v>6528</v>
      </c>
      <c r="F64" s="8"/>
      <c r="G64" s="8"/>
      <c r="H64" s="8"/>
      <c r="I64" s="8"/>
      <c r="J64" s="8"/>
      <c r="K64" s="8"/>
      <c r="L64" s="8"/>
      <c r="M64" s="8"/>
      <c r="N64" s="8"/>
      <c r="O64" s="7"/>
      <c r="P64" s="8"/>
      <c r="Q64" s="37"/>
      <c r="R64" s="8"/>
      <c r="S64" s="8"/>
      <c r="T64" s="8"/>
      <c r="U64" s="8"/>
      <c r="V64" s="38"/>
      <c r="W64" s="8"/>
      <c r="X64" s="8"/>
      <c r="Y64" s="8"/>
      <c r="Z64" s="8"/>
      <c r="AA64" s="8"/>
      <c r="AB64" s="8"/>
      <c r="AC64" s="8"/>
    </row>
    <row r="65" spans="2:29" ht="20.100000000000001" customHeight="1" x14ac:dyDescent="0.25">
      <c r="B65" s="8"/>
      <c r="C65" s="27"/>
      <c r="D65" s="8" t="s">
        <v>52</v>
      </c>
      <c r="E65" s="82">
        <v>48304</v>
      </c>
      <c r="F65" s="8"/>
      <c r="G65" s="8"/>
      <c r="H65" s="8"/>
      <c r="I65" s="8"/>
      <c r="J65" s="8"/>
      <c r="K65" s="8"/>
      <c r="L65" s="8"/>
      <c r="M65" s="8"/>
      <c r="N65" s="8"/>
      <c r="O65" s="7"/>
      <c r="P65" s="8"/>
      <c r="Q65" s="37"/>
      <c r="R65" s="8"/>
      <c r="S65" s="8"/>
      <c r="T65" s="8"/>
      <c r="U65" s="8"/>
      <c r="V65" s="38"/>
      <c r="W65" s="8"/>
      <c r="X65" s="8"/>
      <c r="Y65" s="8"/>
      <c r="Z65" s="8"/>
      <c r="AA65" s="8"/>
      <c r="AB65" s="8"/>
      <c r="AC65" s="8"/>
    </row>
    <row r="66" spans="2:29" ht="20.100000000000001" customHeight="1" x14ac:dyDescent="0.25">
      <c r="B66" s="8"/>
      <c r="C66" s="27"/>
      <c r="D66" s="8" t="s">
        <v>9</v>
      </c>
      <c r="E66" s="82">
        <v>1291</v>
      </c>
      <c r="F66" s="8"/>
      <c r="G66" s="8"/>
      <c r="H66" s="8"/>
      <c r="I66" s="8"/>
      <c r="J66" s="8"/>
      <c r="K66" s="8"/>
      <c r="L66" s="8"/>
      <c r="M66" s="8"/>
      <c r="N66" s="8"/>
      <c r="O66" s="7"/>
      <c r="P66" s="8"/>
      <c r="Q66" s="37"/>
      <c r="R66" s="8"/>
      <c r="S66" s="8"/>
      <c r="T66" s="8"/>
      <c r="U66" s="8"/>
      <c r="V66" s="38"/>
      <c r="W66" s="8"/>
      <c r="X66" s="8"/>
      <c r="Y66" s="8"/>
      <c r="Z66" s="8"/>
      <c r="AA66" s="8"/>
      <c r="AB66" s="8"/>
      <c r="AC66" s="8"/>
    </row>
    <row r="67" spans="2:29" ht="20.100000000000001" customHeight="1" x14ac:dyDescent="0.25">
      <c r="B67" s="8"/>
      <c r="C67" s="27"/>
      <c r="D67" s="8" t="s">
        <v>10</v>
      </c>
      <c r="E67" s="82">
        <v>24609</v>
      </c>
      <c r="F67" s="8"/>
      <c r="G67" s="8"/>
      <c r="H67" s="8"/>
      <c r="I67" s="8"/>
      <c r="J67" s="8"/>
      <c r="K67" s="8"/>
      <c r="L67" s="8"/>
      <c r="M67" s="8"/>
      <c r="N67" s="8"/>
      <c r="O67" s="7"/>
      <c r="P67" s="8"/>
      <c r="Q67" s="37"/>
      <c r="R67" s="8"/>
      <c r="S67" s="8"/>
      <c r="T67" s="8"/>
      <c r="U67" s="8"/>
      <c r="V67" s="38"/>
      <c r="W67" s="8"/>
      <c r="X67" s="8"/>
      <c r="Y67" s="8"/>
      <c r="Z67" s="8"/>
      <c r="AA67" s="8"/>
      <c r="AB67" s="8"/>
      <c r="AC67" s="8"/>
    </row>
    <row r="68" spans="2:29" ht="20.100000000000001" customHeight="1" x14ac:dyDescent="0.25">
      <c r="B68" s="8"/>
      <c r="C68" s="27"/>
      <c r="D68" s="8" t="s">
        <v>14</v>
      </c>
      <c r="E68" s="82">
        <v>25900</v>
      </c>
      <c r="F68" s="8"/>
      <c r="G68" s="8"/>
      <c r="H68" s="8"/>
      <c r="I68" s="8"/>
      <c r="J68" s="8"/>
      <c r="K68" s="8"/>
      <c r="L68" s="8"/>
      <c r="M68" s="8"/>
      <c r="N68" s="8"/>
      <c r="O68" s="7"/>
      <c r="P68" s="8"/>
      <c r="Q68" s="37"/>
      <c r="R68" s="8"/>
      <c r="S68" s="8"/>
      <c r="T68" s="8"/>
      <c r="U68" s="8"/>
      <c r="V68" s="38"/>
      <c r="W68" s="8"/>
      <c r="X68" s="8"/>
      <c r="Y68" s="8"/>
      <c r="Z68" s="8"/>
      <c r="AA68" s="8"/>
      <c r="AB68" s="8"/>
      <c r="AC68" s="8"/>
    </row>
    <row r="69" spans="2:29" ht="20.100000000000001" customHeight="1" x14ac:dyDescent="0.25">
      <c r="B69" s="8"/>
      <c r="C69" s="27"/>
      <c r="D69" s="8" t="s">
        <v>15</v>
      </c>
      <c r="E69" s="82">
        <v>25900</v>
      </c>
      <c r="F69" s="8"/>
      <c r="G69" s="8"/>
      <c r="H69" s="8"/>
      <c r="I69" s="8"/>
      <c r="J69" s="8"/>
      <c r="K69" s="8"/>
      <c r="L69" s="8"/>
      <c r="M69" s="8"/>
      <c r="N69" s="8"/>
      <c r="O69" s="7"/>
      <c r="P69" s="8"/>
      <c r="Q69" s="37"/>
      <c r="R69" s="8"/>
      <c r="S69" s="8"/>
      <c r="T69" s="8"/>
      <c r="U69" s="8"/>
      <c r="V69" s="38"/>
      <c r="W69" s="8"/>
      <c r="X69" s="8"/>
      <c r="Y69" s="8"/>
      <c r="Z69" s="8"/>
      <c r="AA69" s="8"/>
      <c r="AB69" s="8"/>
      <c r="AC69" s="8"/>
    </row>
    <row r="70" spans="2:29" ht="20.100000000000001" customHeight="1" x14ac:dyDescent="0.25">
      <c r="B70" s="8"/>
      <c r="C70" s="27"/>
      <c r="D70" s="81" t="s">
        <v>53</v>
      </c>
      <c r="E70" s="83">
        <v>-22404</v>
      </c>
      <c r="F70" s="8"/>
      <c r="G70" s="8"/>
      <c r="H70" s="8"/>
      <c r="I70" s="8"/>
      <c r="J70" s="8"/>
      <c r="K70" s="8"/>
      <c r="L70" s="8"/>
      <c r="M70" s="8"/>
      <c r="N70" s="8"/>
      <c r="O70" s="7"/>
      <c r="P70" s="8"/>
      <c r="Q70" s="37"/>
      <c r="R70" s="8"/>
      <c r="S70" s="8"/>
      <c r="T70" s="8"/>
      <c r="U70" s="8"/>
      <c r="V70" s="38"/>
      <c r="W70" s="8"/>
      <c r="X70" s="8"/>
      <c r="Y70" s="8"/>
      <c r="Z70" s="8"/>
      <c r="AA70" s="8"/>
      <c r="AB70" s="8"/>
      <c r="AC70" s="8"/>
    </row>
    <row r="71" spans="2:29" ht="18.95" customHeight="1" x14ac:dyDescent="0.25">
      <c r="B71" s="8"/>
      <c r="C71" s="27"/>
      <c r="D71" s="8"/>
      <c r="E71" s="8"/>
      <c r="F71" s="8"/>
      <c r="G71" s="8"/>
      <c r="H71" s="8"/>
      <c r="I71" s="8"/>
      <c r="J71" s="8"/>
      <c r="K71" s="8"/>
      <c r="L71" s="8"/>
      <c r="M71" s="8"/>
      <c r="N71" s="8"/>
      <c r="O71" s="7"/>
      <c r="P71" s="8"/>
      <c r="Q71" s="37"/>
      <c r="R71" s="8"/>
      <c r="S71" s="8"/>
      <c r="T71" s="8"/>
      <c r="U71" s="8"/>
      <c r="V71" s="38"/>
      <c r="W71" s="8"/>
      <c r="X71" s="8"/>
      <c r="Y71" s="8"/>
      <c r="Z71" s="8"/>
      <c r="AA71" s="8"/>
      <c r="AB71" s="8"/>
      <c r="AC71" s="8"/>
    </row>
    <row r="72" spans="2:29" ht="18.95" customHeight="1" x14ac:dyDescent="0.25">
      <c r="B72" s="8"/>
      <c r="C72" s="27"/>
      <c r="D72" s="8"/>
      <c r="E72" s="8">
        <v>2013</v>
      </c>
      <c r="F72" s="8">
        <v>2014</v>
      </c>
      <c r="G72" s="8">
        <v>2015</v>
      </c>
      <c r="H72" s="8">
        <v>2016</v>
      </c>
      <c r="I72" s="8">
        <v>2017</v>
      </c>
      <c r="J72" s="8">
        <v>2018</v>
      </c>
      <c r="K72" s="8">
        <v>2019</v>
      </c>
      <c r="L72" s="8">
        <v>2020</v>
      </c>
      <c r="M72" s="8">
        <v>2021</v>
      </c>
      <c r="N72" s="196" t="s">
        <v>131</v>
      </c>
      <c r="O72" s="7"/>
      <c r="P72" s="8"/>
      <c r="Q72" s="37"/>
      <c r="R72" s="8"/>
      <c r="S72" s="8"/>
      <c r="T72" s="8"/>
      <c r="U72" s="8"/>
      <c r="V72" s="38"/>
      <c r="W72" s="8"/>
      <c r="X72" s="8"/>
      <c r="Y72" s="8"/>
      <c r="Z72" s="8"/>
      <c r="AA72" s="8"/>
      <c r="AB72" s="8"/>
      <c r="AC72" s="8"/>
    </row>
    <row r="73" spans="2:29" ht="18.95" customHeight="1" x14ac:dyDescent="0.25">
      <c r="B73" s="8"/>
      <c r="C73" s="27"/>
      <c r="D73" s="4" t="s">
        <v>76</v>
      </c>
      <c r="E73" s="48">
        <v>0.4398994132439229</v>
      </c>
      <c r="F73" s="48">
        <v>0.31022297431813656</v>
      </c>
      <c r="G73" s="48">
        <v>0.36286356184346347</v>
      </c>
      <c r="H73" s="48">
        <v>0.42545527316389836</v>
      </c>
      <c r="I73" s="48">
        <v>0.48096398656003031</v>
      </c>
      <c r="J73" s="48">
        <v>0.57367415291676083</v>
      </c>
      <c r="K73" s="48">
        <v>0.5300578814779271</v>
      </c>
      <c r="L73" s="48">
        <v>0.53958798865148505</v>
      </c>
      <c r="M73" s="48">
        <v>0.71047130196943131</v>
      </c>
      <c r="N73" s="48">
        <v>0.66025132201191772</v>
      </c>
      <c r="O73" s="7"/>
      <c r="P73" s="8"/>
      <c r="Q73" s="37"/>
      <c r="R73" s="8"/>
      <c r="S73" s="8"/>
      <c r="T73" s="8"/>
      <c r="U73" s="8"/>
      <c r="V73" s="38"/>
      <c r="W73" s="8"/>
      <c r="X73" s="8"/>
      <c r="Y73" s="8"/>
      <c r="Z73" s="8"/>
      <c r="AA73" s="8"/>
      <c r="AB73" s="8"/>
      <c r="AC73" s="8"/>
    </row>
    <row r="74" spans="2:29" ht="18.95" customHeight="1" x14ac:dyDescent="0.25">
      <c r="B74" s="8"/>
      <c r="C74" s="27"/>
      <c r="D74" s="4" t="s">
        <v>77</v>
      </c>
      <c r="E74" s="48">
        <v>65535</v>
      </c>
      <c r="F74" s="48">
        <v>65535</v>
      </c>
      <c r="G74" s="48">
        <v>65535</v>
      </c>
      <c r="H74" s="48">
        <v>65535</v>
      </c>
      <c r="I74" s="48">
        <v>65535</v>
      </c>
      <c r="J74" s="48">
        <v>65535</v>
      </c>
      <c r="K74" s="48">
        <v>65535</v>
      </c>
      <c r="L74" s="48">
        <v>65535</v>
      </c>
      <c r="M74" s="48">
        <v>65535</v>
      </c>
      <c r="N74" s="48">
        <v>65535</v>
      </c>
      <c r="O74" s="7"/>
      <c r="P74" s="8"/>
      <c r="Q74" s="37"/>
      <c r="R74" s="8"/>
      <c r="S74" s="8"/>
      <c r="T74" s="8"/>
      <c r="U74" s="8"/>
      <c r="V74" s="38"/>
      <c r="W74" s="8"/>
      <c r="X74" s="8"/>
      <c r="Y74" s="8"/>
      <c r="Z74" s="8"/>
      <c r="AA74" s="8"/>
      <c r="AB74" s="8"/>
      <c r="AC74" s="8"/>
    </row>
    <row r="75" spans="2:29" x14ac:dyDescent="0.25">
      <c r="B75" s="8"/>
      <c r="C75" s="27"/>
      <c r="D75" s="4" t="s">
        <v>80</v>
      </c>
      <c r="E75" s="48">
        <v>-20.825396825396826</v>
      </c>
      <c r="F75" s="48">
        <v>-20.436065573770492</v>
      </c>
      <c r="G75" s="48">
        <v>-18.425488180883864</v>
      </c>
      <c r="H75" s="48">
        <v>-18.56145063801209</v>
      </c>
      <c r="I75" s="48">
        <v>-25.266003729024238</v>
      </c>
      <c r="J75" s="48">
        <v>-29.512684989429175</v>
      </c>
      <c r="K75" s="48">
        <v>-36.051504334523202</v>
      </c>
      <c r="L75" s="48">
        <v>-56.855158730158728</v>
      </c>
      <c r="M75" s="48">
        <v>-37.919292604501607</v>
      </c>
      <c r="N75" s="48">
        <v>-1093.6574074074074</v>
      </c>
      <c r="O75" s="7"/>
      <c r="P75" s="8"/>
      <c r="Q75" s="37"/>
      <c r="R75" s="8"/>
      <c r="S75" s="8"/>
      <c r="T75" s="8"/>
      <c r="U75" s="8"/>
      <c r="V75" s="38"/>
      <c r="W75" s="8"/>
      <c r="X75" s="8"/>
      <c r="Y75" s="8"/>
      <c r="Z75" s="8"/>
      <c r="AA75" s="8"/>
      <c r="AB75" s="8"/>
    </row>
    <row r="76" spans="2:29" x14ac:dyDescent="0.25">
      <c r="B76" s="8"/>
      <c r="C76" s="27"/>
      <c r="D76" s="8"/>
      <c r="E76" s="8"/>
      <c r="F76" s="8"/>
      <c r="G76" s="8"/>
      <c r="H76" s="8"/>
      <c r="I76" s="8"/>
      <c r="J76" s="8"/>
      <c r="K76" s="8"/>
      <c r="L76" s="8"/>
      <c r="M76" s="8"/>
      <c r="N76" s="8"/>
      <c r="O76" s="7"/>
      <c r="P76" s="8"/>
      <c r="Q76" s="37"/>
      <c r="R76" s="8"/>
      <c r="S76" s="8"/>
      <c r="T76" s="8"/>
      <c r="U76" s="8"/>
      <c r="V76" s="38"/>
      <c r="W76" s="8"/>
      <c r="X76" s="8"/>
      <c r="Y76" s="8"/>
      <c r="Z76" s="8"/>
      <c r="AA76" s="8"/>
      <c r="AB76" s="8"/>
    </row>
    <row r="77" spans="2:29" x14ac:dyDescent="0.25">
      <c r="B77" s="8"/>
      <c r="C77" s="27"/>
      <c r="D77" s="8"/>
      <c r="E77" s="8">
        <v>2013</v>
      </c>
      <c r="F77" s="8">
        <v>2014</v>
      </c>
      <c r="G77" s="8">
        <v>2015</v>
      </c>
      <c r="H77" s="8">
        <v>2016</v>
      </c>
      <c r="I77" s="8">
        <v>2017</v>
      </c>
      <c r="J77" s="8">
        <v>2018</v>
      </c>
      <c r="K77" s="8">
        <v>2019</v>
      </c>
      <c r="L77" s="8">
        <v>2020</v>
      </c>
      <c r="M77" s="8">
        <v>2021</v>
      </c>
      <c r="N77" s="196" t="s">
        <v>131</v>
      </c>
      <c r="O77" s="7"/>
      <c r="P77" s="8"/>
      <c r="Q77" s="37"/>
      <c r="R77" s="8"/>
      <c r="S77" s="8"/>
      <c r="T77" s="8"/>
      <c r="U77" s="8"/>
      <c r="V77" s="38"/>
      <c r="W77" s="8"/>
      <c r="X77" s="8"/>
      <c r="Y77" s="8"/>
      <c r="Z77" s="8"/>
      <c r="AA77" s="8"/>
      <c r="AB77" s="8"/>
    </row>
    <row r="78" spans="2:29" x14ac:dyDescent="0.25">
      <c r="B78" s="8"/>
      <c r="C78" s="27"/>
      <c r="D78" s="4" t="s">
        <v>8</v>
      </c>
      <c r="E78" s="48">
        <v>11449</v>
      </c>
      <c r="F78" s="48">
        <v>11199</v>
      </c>
      <c r="G78" s="48">
        <v>18434</v>
      </c>
      <c r="H78" s="48">
        <v>29449</v>
      </c>
      <c r="I78" s="48">
        <v>41711</v>
      </c>
      <c r="J78" s="48">
        <v>41114</v>
      </c>
      <c r="K78" s="48">
        <v>54855</v>
      </c>
      <c r="L78" s="48">
        <v>61954</v>
      </c>
      <c r="M78" s="48">
        <v>47998</v>
      </c>
      <c r="N78" s="48">
        <v>41776</v>
      </c>
      <c r="O78" s="7"/>
      <c r="P78" s="8"/>
      <c r="Q78" s="37"/>
      <c r="R78" s="8"/>
      <c r="S78" s="8"/>
      <c r="T78" s="8"/>
      <c r="U78" s="8"/>
      <c r="V78" s="38"/>
      <c r="W78" s="8"/>
      <c r="X78" s="8"/>
      <c r="Y78" s="8"/>
      <c r="Z78" s="8"/>
      <c r="AA78" s="8"/>
      <c r="AB78" s="8"/>
    </row>
    <row r="79" spans="2:29" x14ac:dyDescent="0.25">
      <c r="B79" s="8"/>
      <c r="C79" s="27"/>
      <c r="D79" s="4" t="s">
        <v>14</v>
      </c>
      <c r="E79" s="48">
        <v>476</v>
      </c>
      <c r="F79" s="48">
        <v>233</v>
      </c>
      <c r="G79" s="48">
        <v>315</v>
      </c>
      <c r="H79" s="48">
        <v>-90</v>
      </c>
      <c r="I79" s="48">
        <v>132</v>
      </c>
      <c r="J79" s="48">
        <v>353</v>
      </c>
      <c r="K79" s="48">
        <v>10601</v>
      </c>
      <c r="L79" s="48">
        <v>10654</v>
      </c>
      <c r="M79" s="48">
        <v>13873</v>
      </c>
      <c r="N79" s="48">
        <v>25900</v>
      </c>
      <c r="O79" s="7"/>
      <c r="P79" s="8"/>
      <c r="Q79" s="37"/>
      <c r="R79" s="8"/>
      <c r="S79" s="8"/>
      <c r="T79" s="8"/>
      <c r="U79" s="8"/>
      <c r="V79" s="38"/>
      <c r="W79" s="8"/>
      <c r="X79" s="8"/>
      <c r="Y79" s="8"/>
      <c r="Z79" s="8"/>
      <c r="AA79" s="8"/>
      <c r="AB79" s="8"/>
    </row>
    <row r="80" spans="2:29" x14ac:dyDescent="0.25">
      <c r="B80" s="8"/>
      <c r="C80" s="27"/>
      <c r="D80" s="8"/>
      <c r="E80" s="8"/>
      <c r="F80" s="8"/>
      <c r="G80" s="8"/>
      <c r="H80" s="8"/>
      <c r="I80" s="8"/>
      <c r="J80" s="8"/>
      <c r="K80" s="8"/>
      <c r="L80" s="8"/>
      <c r="M80" s="8"/>
      <c r="N80" s="8"/>
      <c r="O80" s="7"/>
      <c r="P80" s="8"/>
      <c r="Q80" s="37"/>
      <c r="R80" s="8"/>
      <c r="S80" s="8"/>
      <c r="T80" s="8"/>
      <c r="U80" s="8"/>
      <c r="V80" s="38"/>
      <c r="W80" s="8"/>
      <c r="X80" s="8"/>
      <c r="Y80" s="8"/>
      <c r="Z80" s="8"/>
      <c r="AA80" s="8"/>
      <c r="AB80" s="8"/>
    </row>
    <row r="81" spans="2:28" x14ac:dyDescent="0.25">
      <c r="B81" s="8"/>
      <c r="C81" s="27"/>
      <c r="D81" s="8"/>
      <c r="E81" s="8"/>
      <c r="F81" s="8"/>
      <c r="G81" s="8"/>
      <c r="H81" s="8"/>
      <c r="I81" s="8"/>
      <c r="J81" s="8"/>
      <c r="K81" s="8"/>
      <c r="L81" s="8"/>
      <c r="M81" s="8"/>
      <c r="N81" s="8"/>
      <c r="O81" s="7"/>
      <c r="P81" s="8"/>
      <c r="Q81" s="37"/>
      <c r="R81" s="8"/>
      <c r="S81" s="8"/>
      <c r="T81" s="8"/>
      <c r="U81" s="8"/>
      <c r="V81" s="38"/>
      <c r="W81" s="8"/>
      <c r="X81" s="8"/>
      <c r="Y81" s="8"/>
      <c r="Z81" s="8"/>
      <c r="AA81" s="8"/>
      <c r="AB81" s="8"/>
    </row>
    <row r="82" spans="2:28" x14ac:dyDescent="0.25">
      <c r="B82" s="8"/>
      <c r="C82" s="27"/>
      <c r="D82" s="8"/>
      <c r="E82" s="8"/>
      <c r="F82" s="8"/>
      <c r="G82" s="8"/>
      <c r="H82" s="8"/>
      <c r="I82" s="8"/>
      <c r="J82" s="8"/>
      <c r="K82" s="8"/>
      <c r="L82" s="8"/>
      <c r="M82" s="8"/>
      <c r="N82" s="8"/>
      <c r="O82" s="7"/>
      <c r="P82" s="8"/>
      <c r="Q82" s="37"/>
      <c r="R82" s="8"/>
      <c r="S82" s="8"/>
      <c r="T82" s="8"/>
      <c r="U82" s="8"/>
      <c r="V82" s="38"/>
      <c r="W82" s="8"/>
      <c r="X82" s="8"/>
      <c r="Y82" s="8"/>
      <c r="Z82" s="8"/>
      <c r="AA82" s="8"/>
      <c r="AB82" s="8"/>
    </row>
    <row r="83" spans="2:28" x14ac:dyDescent="0.25">
      <c r="B83" s="8"/>
      <c r="C83" s="27"/>
      <c r="D83" s="8"/>
      <c r="E83" s="8"/>
      <c r="F83" s="8"/>
      <c r="G83" s="8"/>
      <c r="H83" s="8"/>
      <c r="I83" s="8"/>
      <c r="J83" s="8"/>
      <c r="K83" s="8"/>
      <c r="L83" s="8"/>
      <c r="M83" s="8"/>
      <c r="N83" s="8"/>
      <c r="O83" s="7"/>
      <c r="P83" s="8"/>
      <c r="Q83" s="37"/>
      <c r="R83" s="8"/>
      <c r="S83" s="8"/>
      <c r="T83" s="8"/>
      <c r="U83" s="8"/>
      <c r="V83" s="38"/>
      <c r="W83" s="8"/>
      <c r="X83" s="8"/>
      <c r="Y83" s="8"/>
      <c r="Z83" s="8"/>
      <c r="AA83" s="8"/>
      <c r="AB83" s="8"/>
    </row>
    <row r="84" spans="2:28" x14ac:dyDescent="0.25">
      <c r="B84" s="8"/>
      <c r="C84" s="27"/>
      <c r="D84" s="8"/>
      <c r="E84" s="8"/>
      <c r="F84" s="8"/>
      <c r="G84" s="8"/>
      <c r="H84" s="8"/>
      <c r="I84" s="8"/>
      <c r="J84" s="8"/>
      <c r="K84" s="8"/>
      <c r="L84" s="8"/>
      <c r="M84" s="8"/>
      <c r="N84" s="8"/>
      <c r="O84" s="7"/>
      <c r="P84" s="8"/>
      <c r="Q84" s="37"/>
      <c r="R84" s="8"/>
      <c r="S84" s="8"/>
      <c r="T84" s="8"/>
      <c r="U84" s="8"/>
      <c r="V84" s="38"/>
      <c r="W84" s="8"/>
      <c r="X84" s="8"/>
      <c r="Y84" s="8"/>
      <c r="Z84" s="8"/>
      <c r="AA84" s="8"/>
      <c r="AB84" s="8"/>
    </row>
    <row r="85" spans="2:28" x14ac:dyDescent="0.25">
      <c r="B85" s="8"/>
      <c r="C85" s="27"/>
      <c r="D85" s="8"/>
      <c r="E85" s="8"/>
      <c r="F85" s="8"/>
      <c r="G85" s="8"/>
      <c r="H85" s="8"/>
      <c r="I85" s="8"/>
      <c r="J85" s="8"/>
      <c r="K85" s="8"/>
      <c r="L85" s="8"/>
      <c r="M85" s="8"/>
      <c r="N85" s="8"/>
      <c r="O85" s="7"/>
      <c r="P85" s="8"/>
      <c r="Q85" s="37"/>
      <c r="R85" s="8"/>
      <c r="S85" s="8"/>
      <c r="T85" s="8"/>
      <c r="U85" s="8"/>
      <c r="V85" s="38"/>
      <c r="W85" s="8"/>
      <c r="X85" s="8"/>
      <c r="Y85" s="8"/>
      <c r="Z85" s="8"/>
      <c r="AA85" s="8"/>
      <c r="AB85" s="8"/>
    </row>
    <row r="86" spans="2:28" x14ac:dyDescent="0.25">
      <c r="B86" s="8"/>
      <c r="C86" s="27"/>
      <c r="D86" s="8"/>
      <c r="E86" s="8"/>
      <c r="F86" s="8"/>
      <c r="G86" s="8"/>
      <c r="H86" s="8"/>
      <c r="I86" s="8"/>
      <c r="J86" s="8"/>
      <c r="K86" s="8"/>
      <c r="L86" s="8"/>
      <c r="M86" s="8"/>
      <c r="N86" s="8"/>
      <c r="O86" s="7"/>
      <c r="P86" s="8"/>
      <c r="Q86" s="37"/>
      <c r="R86" s="8"/>
      <c r="S86" s="8"/>
      <c r="T86" s="8"/>
      <c r="U86" s="8"/>
      <c r="V86" s="38"/>
      <c r="W86" s="8"/>
      <c r="X86" s="8"/>
      <c r="Y86" s="8"/>
      <c r="Z86" s="8"/>
      <c r="AA86" s="8"/>
      <c r="AB86" s="8"/>
    </row>
    <row r="87" spans="2:28" x14ac:dyDescent="0.25">
      <c r="B87" s="8"/>
      <c r="C87" s="27"/>
      <c r="D87" s="8"/>
      <c r="E87" s="8"/>
      <c r="F87" s="8"/>
      <c r="G87" s="8"/>
      <c r="H87" s="8"/>
      <c r="I87" s="8"/>
      <c r="J87" s="8"/>
      <c r="K87" s="8"/>
      <c r="L87" s="8"/>
      <c r="M87" s="8"/>
      <c r="N87" s="8"/>
      <c r="O87" s="7"/>
      <c r="P87" s="8"/>
      <c r="Q87" s="37"/>
      <c r="R87" s="8"/>
      <c r="S87" s="8"/>
      <c r="T87" s="8"/>
      <c r="U87" s="8"/>
      <c r="V87" s="38"/>
      <c r="W87" s="8"/>
      <c r="X87" s="8"/>
      <c r="Y87" s="8"/>
      <c r="Z87" s="8"/>
      <c r="AA87" s="8"/>
      <c r="AB87" s="8"/>
    </row>
    <row r="88" spans="2:28" x14ac:dyDescent="0.25">
      <c r="B88" s="8"/>
      <c r="C88" s="27"/>
      <c r="D88" s="8"/>
      <c r="E88" s="8"/>
      <c r="F88" s="8"/>
      <c r="G88" s="8"/>
      <c r="H88" s="8"/>
      <c r="I88" s="8"/>
      <c r="J88" s="8"/>
      <c r="K88" s="8"/>
      <c r="L88" s="8"/>
      <c r="M88" s="8"/>
      <c r="N88" s="8"/>
      <c r="O88" s="7"/>
      <c r="P88" s="8"/>
      <c r="Q88" s="37"/>
      <c r="R88" s="8"/>
      <c r="S88" s="8"/>
      <c r="T88" s="8"/>
      <c r="U88" s="8"/>
      <c r="V88" s="38"/>
      <c r="W88" s="8"/>
      <c r="X88" s="8"/>
      <c r="Y88" s="8"/>
      <c r="Z88" s="8"/>
      <c r="AA88" s="8"/>
      <c r="AB88" s="8"/>
    </row>
    <row r="89" spans="2:28" x14ac:dyDescent="0.25">
      <c r="B89" s="8"/>
      <c r="C89" s="27"/>
      <c r="D89" s="8"/>
      <c r="E89" s="8"/>
      <c r="F89" s="8"/>
      <c r="G89" s="8"/>
      <c r="H89" s="8"/>
      <c r="I89" s="8"/>
      <c r="J89" s="8"/>
      <c r="K89" s="8"/>
      <c r="L89" s="8"/>
      <c r="M89" s="8"/>
      <c r="N89" s="8"/>
      <c r="O89" s="7"/>
      <c r="P89" s="8"/>
      <c r="Q89" s="37"/>
      <c r="R89" s="8"/>
      <c r="S89" s="8"/>
      <c r="T89" s="8"/>
      <c r="U89" s="8"/>
      <c r="V89" s="38"/>
      <c r="W89" s="8"/>
      <c r="X89" s="8"/>
      <c r="Y89" s="8"/>
      <c r="Z89" s="8"/>
      <c r="AA89" s="8"/>
      <c r="AB89" s="8"/>
    </row>
    <row r="90" spans="2:28" x14ac:dyDescent="0.25">
      <c r="B90" s="8"/>
      <c r="C90" s="27"/>
      <c r="D90" s="8"/>
      <c r="E90" s="8"/>
      <c r="F90" s="8"/>
      <c r="G90" s="8"/>
      <c r="H90" s="8"/>
      <c r="I90" s="8"/>
      <c r="J90" s="8"/>
      <c r="K90" s="8"/>
      <c r="L90" s="8"/>
      <c r="M90" s="8"/>
      <c r="N90" s="8"/>
      <c r="O90" s="7"/>
      <c r="P90" s="8"/>
      <c r="Q90" s="37"/>
      <c r="R90" s="8"/>
      <c r="S90" s="8"/>
      <c r="T90" s="8"/>
      <c r="U90" s="8"/>
      <c r="V90" s="38"/>
      <c r="W90" s="8"/>
      <c r="X90" s="8"/>
      <c r="Y90" s="8"/>
      <c r="Z90" s="8"/>
      <c r="AA90" s="8"/>
      <c r="AB90" s="8"/>
    </row>
    <row r="91" spans="2:28" x14ac:dyDescent="0.25">
      <c r="B91" s="8"/>
      <c r="C91" s="27"/>
      <c r="D91" s="8"/>
      <c r="E91" s="8"/>
      <c r="F91" s="8"/>
      <c r="G91" s="8"/>
      <c r="H91" s="8"/>
      <c r="I91" s="8"/>
      <c r="J91" s="8"/>
      <c r="K91" s="8"/>
      <c r="L91" s="8"/>
      <c r="M91" s="8"/>
      <c r="N91" s="8"/>
      <c r="O91" s="7"/>
      <c r="P91" s="8"/>
      <c r="Q91" s="37"/>
      <c r="R91" s="8"/>
      <c r="S91" s="8"/>
      <c r="T91" s="8"/>
      <c r="U91" s="8"/>
      <c r="V91" s="38"/>
      <c r="W91" s="8"/>
      <c r="X91" s="8"/>
      <c r="Y91" s="8"/>
      <c r="Z91" s="8"/>
      <c r="AA91" s="8"/>
      <c r="AB91" s="8"/>
    </row>
    <row r="92" spans="2:28" x14ac:dyDescent="0.25">
      <c r="B92" s="8"/>
      <c r="C92" s="27"/>
      <c r="D92" s="8"/>
      <c r="E92" s="8"/>
      <c r="F92" s="8"/>
      <c r="G92" s="8"/>
      <c r="H92" s="8"/>
      <c r="I92" s="8"/>
      <c r="J92" s="8"/>
      <c r="K92" s="8"/>
      <c r="L92" s="8"/>
      <c r="M92" s="8"/>
      <c r="N92" s="8"/>
      <c r="O92" s="7"/>
      <c r="P92" s="8"/>
      <c r="Q92" s="37"/>
      <c r="R92" s="8"/>
      <c r="S92" s="8"/>
      <c r="T92" s="8"/>
      <c r="U92" s="8"/>
      <c r="V92" s="38"/>
      <c r="W92" s="8"/>
      <c r="X92" s="8"/>
      <c r="Y92" s="8"/>
      <c r="Z92" s="8"/>
      <c r="AA92" s="8"/>
      <c r="AB92" s="8"/>
    </row>
    <row r="93" spans="2:28" x14ac:dyDescent="0.25">
      <c r="B93" s="8"/>
      <c r="C93" s="27"/>
      <c r="D93" s="8"/>
      <c r="E93" s="8"/>
      <c r="F93" s="8"/>
      <c r="G93" s="8"/>
      <c r="H93" s="8"/>
      <c r="I93" s="8"/>
      <c r="J93" s="8"/>
      <c r="K93" s="8"/>
      <c r="L93" s="8"/>
      <c r="M93" s="8"/>
      <c r="N93" s="8"/>
      <c r="O93" s="7"/>
      <c r="P93" s="8"/>
      <c r="Q93" s="37"/>
      <c r="R93" s="8"/>
      <c r="S93" s="8"/>
      <c r="T93" s="8"/>
      <c r="U93" s="8"/>
      <c r="V93" s="38"/>
      <c r="W93" s="8"/>
      <c r="X93" s="8"/>
      <c r="Y93" s="8"/>
      <c r="Z93" s="8"/>
      <c r="AA93" s="8"/>
      <c r="AB93" s="8"/>
    </row>
    <row r="94" spans="2:28" x14ac:dyDescent="0.25">
      <c r="B94" s="8"/>
      <c r="C94" s="27"/>
      <c r="D94" s="8"/>
      <c r="E94" s="8"/>
      <c r="F94" s="8"/>
      <c r="G94" s="8"/>
      <c r="H94" s="8"/>
      <c r="I94" s="8"/>
      <c r="J94" s="8"/>
      <c r="K94" s="8"/>
      <c r="L94" s="8"/>
      <c r="M94" s="8"/>
      <c r="N94" s="8"/>
      <c r="O94" s="7"/>
      <c r="P94" s="8"/>
      <c r="Q94" s="37"/>
      <c r="R94" s="8"/>
      <c r="S94" s="8"/>
      <c r="T94" s="8"/>
      <c r="U94" s="8"/>
      <c r="V94" s="38"/>
      <c r="W94" s="8"/>
      <c r="X94" s="8"/>
      <c r="Y94" s="8"/>
      <c r="Z94" s="8"/>
      <c r="AA94" s="8"/>
      <c r="AB94" s="8"/>
    </row>
    <row r="95" spans="2:28" x14ac:dyDescent="0.25">
      <c r="B95" s="8"/>
      <c r="C95" s="27"/>
      <c r="D95" s="8"/>
      <c r="E95" s="8"/>
      <c r="F95" s="8"/>
      <c r="G95" s="8"/>
      <c r="H95" s="8"/>
      <c r="I95" s="8"/>
      <c r="J95" s="8"/>
      <c r="K95" s="8"/>
      <c r="L95" s="8"/>
      <c r="M95" s="8"/>
      <c r="N95" s="8"/>
      <c r="O95" s="7"/>
      <c r="P95" s="8"/>
      <c r="Q95" s="37"/>
      <c r="R95" s="8"/>
      <c r="S95" s="8"/>
      <c r="T95" s="8"/>
      <c r="U95" s="8"/>
      <c r="V95" s="38"/>
      <c r="W95" s="8"/>
      <c r="X95" s="8"/>
      <c r="Y95" s="8"/>
      <c r="Z95" s="8"/>
      <c r="AA95" s="8"/>
      <c r="AB95" s="8"/>
    </row>
    <row r="96" spans="2:28" x14ac:dyDescent="0.25">
      <c r="B96" s="8"/>
      <c r="C96" s="27"/>
      <c r="D96" s="8"/>
      <c r="E96" s="8"/>
      <c r="F96" s="8"/>
      <c r="G96" s="8"/>
      <c r="H96" s="8"/>
      <c r="I96" s="8"/>
      <c r="J96" s="8"/>
      <c r="K96" s="8"/>
      <c r="L96" s="8"/>
      <c r="M96" s="8"/>
      <c r="N96" s="8"/>
      <c r="O96" s="7"/>
      <c r="P96" s="8"/>
      <c r="Q96" s="37"/>
      <c r="R96" s="8"/>
      <c r="S96" s="8"/>
      <c r="T96" s="8"/>
      <c r="U96" s="8"/>
      <c r="V96" s="38"/>
      <c r="W96" s="8"/>
      <c r="X96" s="8"/>
      <c r="Y96" s="8"/>
      <c r="Z96" s="8"/>
      <c r="AA96" s="8"/>
      <c r="AB96" s="8"/>
    </row>
    <row r="97" spans="2:28" x14ac:dyDescent="0.25">
      <c r="B97" s="8"/>
      <c r="C97" s="27"/>
      <c r="D97" s="8"/>
      <c r="E97" s="8"/>
      <c r="F97" s="8"/>
      <c r="G97" s="8"/>
      <c r="H97" s="8"/>
      <c r="I97" s="8"/>
      <c r="J97" s="8"/>
      <c r="K97" s="8"/>
      <c r="L97" s="8"/>
      <c r="M97" s="8"/>
      <c r="N97" s="8"/>
      <c r="O97" s="7"/>
      <c r="P97" s="8"/>
      <c r="Q97" s="37"/>
      <c r="R97" s="8"/>
      <c r="S97" s="8"/>
      <c r="T97" s="8"/>
      <c r="U97" s="8"/>
      <c r="V97" s="38"/>
      <c r="W97" s="8"/>
      <c r="X97" s="8"/>
      <c r="Y97" s="8"/>
      <c r="Z97" s="8"/>
      <c r="AA97" s="8"/>
      <c r="AB97" s="8"/>
    </row>
    <row r="98" spans="2:28" x14ac:dyDescent="0.25">
      <c r="B98" s="8"/>
      <c r="C98" s="27"/>
      <c r="D98" s="8"/>
      <c r="E98" s="8"/>
      <c r="F98" s="8"/>
      <c r="G98" s="8"/>
      <c r="H98" s="8"/>
      <c r="I98" s="8"/>
      <c r="J98" s="8"/>
      <c r="K98" s="8"/>
      <c r="L98" s="8"/>
      <c r="M98" s="8"/>
      <c r="N98" s="8"/>
      <c r="O98" s="7"/>
      <c r="P98" s="8"/>
      <c r="Q98" s="37"/>
      <c r="R98" s="8"/>
      <c r="S98" s="8"/>
      <c r="T98" s="8"/>
      <c r="U98" s="8"/>
      <c r="V98" s="38"/>
      <c r="W98" s="8"/>
      <c r="X98" s="8"/>
      <c r="Y98" s="8"/>
      <c r="Z98" s="8"/>
      <c r="AA98" s="8"/>
      <c r="AB98" s="8"/>
    </row>
    <row r="99" spans="2:28" x14ac:dyDescent="0.25">
      <c r="B99" s="8"/>
      <c r="C99" s="27"/>
      <c r="D99" s="8"/>
      <c r="E99" s="8"/>
      <c r="F99" s="8"/>
      <c r="G99" s="8"/>
      <c r="H99" s="8"/>
      <c r="I99" s="8"/>
      <c r="J99" s="8"/>
      <c r="K99" s="8"/>
      <c r="L99" s="8"/>
      <c r="M99" s="8"/>
      <c r="N99" s="8"/>
      <c r="O99" s="7"/>
      <c r="P99" s="8"/>
      <c r="Q99" s="37"/>
      <c r="R99" s="8"/>
      <c r="S99" s="8"/>
      <c r="T99" s="8"/>
      <c r="U99" s="8"/>
      <c r="V99" s="38"/>
      <c r="W99" s="8"/>
      <c r="X99" s="8"/>
      <c r="Y99" s="8"/>
    </row>
    <row r="100" spans="2:28" x14ac:dyDescent="0.25">
      <c r="B100" s="8"/>
      <c r="C100" s="27"/>
      <c r="D100" s="8"/>
      <c r="E100" s="8"/>
      <c r="F100" s="8"/>
      <c r="G100" s="8"/>
      <c r="H100" s="8"/>
      <c r="I100" s="8"/>
      <c r="J100" s="8"/>
      <c r="K100" s="8"/>
      <c r="L100" s="8"/>
      <c r="M100" s="8"/>
      <c r="N100" s="8"/>
      <c r="O100" s="7"/>
      <c r="P100" s="8"/>
      <c r="Q100" s="37"/>
      <c r="R100" s="8"/>
      <c r="S100" s="8"/>
      <c r="T100" s="8"/>
      <c r="U100" s="8"/>
      <c r="V100" s="38"/>
      <c r="W100" s="8"/>
      <c r="X100" s="8"/>
      <c r="Y100" s="8"/>
    </row>
    <row r="101" spans="2:28" x14ac:dyDescent="0.25">
      <c r="B101" s="8"/>
      <c r="C101" s="27"/>
      <c r="D101" s="8"/>
      <c r="E101" s="8"/>
      <c r="F101" s="8"/>
      <c r="G101" s="8"/>
      <c r="H101" s="8"/>
      <c r="I101" s="8"/>
      <c r="J101" s="8"/>
      <c r="K101" s="8"/>
      <c r="L101" s="8"/>
      <c r="M101" s="8"/>
      <c r="N101" s="8"/>
      <c r="O101" s="7"/>
      <c r="P101" s="8"/>
      <c r="Q101" s="37"/>
      <c r="R101" s="8"/>
      <c r="S101" s="8"/>
      <c r="T101" s="8"/>
      <c r="U101" s="8"/>
      <c r="V101" s="38"/>
      <c r="W101" s="8"/>
      <c r="X101" s="8"/>
      <c r="Y101" s="8"/>
    </row>
    <row r="102" spans="2:28" x14ac:dyDescent="0.25">
      <c r="B102" s="8"/>
      <c r="C102" s="27"/>
      <c r="D102" s="8"/>
      <c r="E102" s="8"/>
      <c r="F102" s="8"/>
      <c r="G102" s="8"/>
      <c r="H102" s="8"/>
      <c r="I102" s="8"/>
      <c r="J102" s="8"/>
      <c r="K102" s="8"/>
      <c r="L102" s="8"/>
      <c r="M102" s="8"/>
      <c r="N102" s="8"/>
      <c r="O102" s="7"/>
      <c r="P102" s="8"/>
      <c r="Q102" s="37"/>
      <c r="R102" s="8"/>
      <c r="S102" s="8"/>
      <c r="T102" s="8"/>
      <c r="U102" s="8"/>
      <c r="V102" s="38"/>
      <c r="W102" s="8"/>
      <c r="X102" s="8"/>
      <c r="Y102" s="8"/>
    </row>
    <row r="103" spans="2:28" x14ac:dyDescent="0.25">
      <c r="B103" s="8"/>
      <c r="C103" s="27"/>
      <c r="D103" s="8"/>
      <c r="E103" s="8"/>
      <c r="F103" s="8"/>
      <c r="G103" s="8"/>
      <c r="H103" s="8"/>
      <c r="I103" s="8"/>
      <c r="J103" s="8"/>
      <c r="K103" s="8"/>
      <c r="L103" s="8"/>
      <c r="M103" s="8"/>
      <c r="N103" s="8"/>
      <c r="O103" s="7"/>
      <c r="P103" s="8"/>
      <c r="Q103" s="37"/>
      <c r="R103" s="8"/>
      <c r="S103" s="8"/>
      <c r="T103" s="8"/>
      <c r="U103" s="8"/>
      <c r="V103" s="38"/>
      <c r="W103" s="8"/>
      <c r="X103" s="8"/>
      <c r="Y103" s="8"/>
    </row>
    <row r="104" spans="2:28" x14ac:dyDescent="0.25">
      <c r="B104" s="8"/>
      <c r="C104" s="27"/>
      <c r="D104" s="8"/>
      <c r="E104" s="8"/>
      <c r="F104" s="8"/>
      <c r="G104" s="8"/>
      <c r="H104" s="8"/>
      <c r="I104" s="8"/>
      <c r="J104" s="8"/>
      <c r="K104" s="8"/>
      <c r="L104" s="8"/>
      <c r="M104" s="8"/>
      <c r="N104" s="8"/>
      <c r="O104" s="7"/>
      <c r="P104" s="8"/>
      <c r="Q104" s="37"/>
      <c r="R104" s="8"/>
      <c r="S104" s="8"/>
      <c r="T104" s="8"/>
      <c r="U104" s="8"/>
      <c r="V104" s="38"/>
      <c r="W104" s="8"/>
      <c r="X104" s="8"/>
      <c r="Y104" s="8"/>
    </row>
    <row r="105" spans="2:28" x14ac:dyDescent="0.25">
      <c r="B105" s="8"/>
      <c r="C105" s="27"/>
      <c r="D105" s="8"/>
      <c r="E105" s="8"/>
      <c r="F105" s="8"/>
      <c r="G105" s="8"/>
      <c r="H105" s="8"/>
      <c r="I105" s="8"/>
      <c r="J105" s="8"/>
      <c r="K105" s="8"/>
      <c r="L105" s="8"/>
      <c r="M105" s="8"/>
      <c r="N105" s="8"/>
      <c r="O105" s="7"/>
      <c r="P105" s="8"/>
      <c r="Q105" s="37"/>
      <c r="R105" s="8"/>
      <c r="S105" s="8"/>
      <c r="T105" s="8"/>
      <c r="U105" s="8"/>
      <c r="V105" s="38"/>
      <c r="W105" s="8"/>
      <c r="X105" s="8"/>
      <c r="Y105" s="8"/>
    </row>
    <row r="106" spans="2:28" x14ac:dyDescent="0.25">
      <c r="B106" s="8"/>
      <c r="C106" s="27"/>
      <c r="D106" s="8"/>
      <c r="E106" s="8"/>
      <c r="F106" s="8"/>
      <c r="G106" s="8"/>
      <c r="H106" s="8"/>
      <c r="I106" s="8"/>
      <c r="J106" s="8"/>
      <c r="K106" s="8"/>
      <c r="L106" s="8"/>
      <c r="M106" s="8"/>
      <c r="N106" s="8"/>
      <c r="O106" s="7"/>
      <c r="P106" s="8"/>
      <c r="Q106" s="37"/>
      <c r="R106" s="8"/>
      <c r="S106" s="8"/>
      <c r="T106" s="8"/>
      <c r="U106" s="8"/>
      <c r="V106" s="38"/>
      <c r="W106" s="8"/>
      <c r="X106" s="8"/>
      <c r="Y106" s="8"/>
    </row>
    <row r="107" spans="2:28" x14ac:dyDescent="0.25">
      <c r="B107" s="8"/>
      <c r="C107" s="28"/>
      <c r="D107" s="30"/>
      <c r="E107" s="30"/>
      <c r="F107" s="30"/>
      <c r="G107" s="30"/>
      <c r="H107" s="30"/>
      <c r="I107" s="30"/>
      <c r="J107" s="30"/>
      <c r="K107" s="30"/>
      <c r="L107" s="30"/>
      <c r="M107" s="30"/>
      <c r="N107" s="30"/>
      <c r="O107" s="29"/>
      <c r="P107" s="8"/>
      <c r="Q107" s="39"/>
      <c r="R107" s="40"/>
      <c r="S107" s="40"/>
      <c r="T107" s="40"/>
      <c r="U107" s="40"/>
      <c r="V107" s="41"/>
      <c r="W107" s="8"/>
      <c r="X107" s="8"/>
      <c r="Y107" s="8"/>
    </row>
    <row r="108" spans="2:28" x14ac:dyDescent="0.25">
      <c r="B108" s="8"/>
      <c r="C108" s="8"/>
      <c r="D108" s="8"/>
      <c r="E108" s="8"/>
      <c r="F108" s="8"/>
      <c r="G108" s="8"/>
      <c r="H108" s="8"/>
      <c r="I108" s="8"/>
      <c r="J108" s="8"/>
      <c r="K108" s="8"/>
      <c r="L108" s="8"/>
      <c r="M108" s="8"/>
      <c r="N108" s="8"/>
      <c r="O108" s="8"/>
      <c r="P108" s="8"/>
      <c r="Q108" s="8"/>
      <c r="R108" s="8"/>
      <c r="S108" s="8"/>
      <c r="T108" s="8"/>
      <c r="U108" s="8"/>
      <c r="V108" s="8"/>
      <c r="W108" s="8"/>
      <c r="X108" s="8"/>
      <c r="Y108" s="8"/>
    </row>
    <row r="109" spans="2:28" x14ac:dyDescent="0.25">
      <c r="B109" s="8"/>
      <c r="C109" s="8"/>
      <c r="D109" s="8"/>
      <c r="E109" s="8"/>
      <c r="F109" s="8"/>
      <c r="G109" s="8"/>
      <c r="H109" s="8"/>
      <c r="I109" s="8"/>
      <c r="J109" s="8"/>
      <c r="K109" s="8"/>
      <c r="L109" s="8"/>
      <c r="M109" s="8"/>
      <c r="N109" s="8"/>
      <c r="O109" s="8"/>
      <c r="P109" s="8"/>
      <c r="Q109" s="8"/>
      <c r="R109" s="8"/>
      <c r="S109" s="8"/>
      <c r="T109" s="8"/>
      <c r="U109" s="8"/>
      <c r="V109" s="8"/>
      <c r="W109" s="8"/>
      <c r="X109" s="8"/>
      <c r="Y109" s="8"/>
    </row>
    <row r="110" spans="2:28" x14ac:dyDescent="0.25">
      <c r="B110" s="8"/>
      <c r="C110" s="8"/>
      <c r="D110" s="8"/>
      <c r="E110" s="8"/>
      <c r="F110" s="8"/>
      <c r="G110" s="8"/>
      <c r="H110" s="8"/>
      <c r="I110" s="8"/>
      <c r="J110" s="8"/>
      <c r="K110" s="8"/>
      <c r="L110" s="8"/>
      <c r="M110" s="8"/>
      <c r="N110" s="8"/>
      <c r="O110" s="8"/>
      <c r="P110" s="8"/>
      <c r="Q110" s="8"/>
      <c r="R110" s="8"/>
      <c r="S110" s="8"/>
      <c r="T110" s="8"/>
      <c r="U110" s="8"/>
      <c r="V110" s="8"/>
      <c r="W110" s="8"/>
      <c r="X110" s="8"/>
      <c r="Y110" s="8"/>
    </row>
  </sheetData>
  <mergeCells count="31">
    <mergeCell ref="G60:H60"/>
    <mergeCell ref="G61:H62"/>
    <mergeCell ref="I60:J60"/>
    <mergeCell ref="I61:J62"/>
    <mergeCell ref="L2:O2"/>
    <mergeCell ref="L13:M14"/>
    <mergeCell ref="J5:M5"/>
    <mergeCell ref="K60:L60"/>
    <mergeCell ref="K61:L62"/>
    <mergeCell ref="U7:U8"/>
    <mergeCell ref="R10:S10"/>
    <mergeCell ref="R11:S11"/>
    <mergeCell ref="R12:S12"/>
    <mergeCell ref="L9:M9"/>
    <mergeCell ref="L12:M12"/>
    <mergeCell ref="R13:S13"/>
    <mergeCell ref="D2:G2"/>
    <mergeCell ref="D4:G17"/>
    <mergeCell ref="S1:T1"/>
    <mergeCell ref="H1:K1"/>
    <mergeCell ref="K16:L16"/>
    <mergeCell ref="K17:L17"/>
    <mergeCell ref="R7:R8"/>
    <mergeCell ref="S7:S8"/>
    <mergeCell ref="T7:T8"/>
    <mergeCell ref="R14:S14"/>
    <mergeCell ref="S16:T17"/>
    <mergeCell ref="R2:S2"/>
    <mergeCell ref="L8:M8"/>
    <mergeCell ref="J13:K14"/>
    <mergeCell ref="J12:K12"/>
  </mergeCells>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displayEmptyCellsAs="gap" xr2:uid="{241835A0-2E04-4194-B0FA-B9A90B7A317C}">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Financials!E56:N56</xm:f>
              <xm:sqref>X55</xm:sqref>
            </x14:sparkline>
          </x14:sparklines>
        </x14:sparklineGroup>
        <x14:sparklineGroup displayEmptyCellsAs="gap" xr2:uid="{F1101436-E168-4F1E-9D9B-522A4C8209F0}">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Financials!E53:N53</xm:f>
              <xm:sqref>X53</xm:sqref>
            </x14:sparkline>
          </x14:sparklines>
        </x14:sparklineGroup>
        <x14:sparklineGroup displayEmptyCellsAs="gap" xr2:uid="{0657F2EC-D237-4E03-AFF7-C85EC724BEFE}">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Financials!E55:N55</xm:f>
              <xm:sqref>X54</xm:sqref>
            </x14:sparkline>
          </x14:sparklines>
        </x14:sparklineGroup>
        <x14:sparklineGroup displayEmptyCellsAs="gap" xr2:uid="{433500B4-57E4-4E11-A169-24FAF2AFF483}">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Financials!E52:N52</xm:f>
              <xm:sqref>X52</xm:sqref>
            </x14:sparkline>
          </x14:sparklines>
        </x14:sparklineGroup>
        <x14:sparklineGroup displayEmptyCellsAs="gap" xr2:uid="{C46EF7F2-33E4-4095-AF62-E5865F92C520}">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Financials!E51:N51</xm:f>
              <xm:sqref>X51</xm:sqref>
            </x14:sparkline>
          </x14:sparklines>
        </x14:sparklineGroup>
        <x14:sparklineGroup displayEmptyCellsAs="gap" xr2:uid="{C4AD86C1-2E18-494B-94CD-09520F9A857D}">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Financials!E50:N50</xm:f>
              <xm:sqref>X50</xm:sqref>
            </x14:sparkline>
          </x14:sparklines>
        </x14:sparklineGroup>
        <x14:sparklineGroup displayEmptyCellsAs="gap" xr2:uid="{94F66E19-BE19-4E2F-9C62-BD2331064702}">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Financials!E47:N47</xm:f>
              <xm:sqref>X47</xm:sqref>
            </x14:sparkline>
          </x14:sparklines>
        </x14:sparklineGroup>
        <x14:sparklineGroup displayEmptyCellsAs="gap" xr2:uid="{65E6805F-D7CA-40CC-962D-E3B0E777CD2E}">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Financials!E38:N38</xm:f>
              <xm:sqref>X38</xm:sqref>
            </x14:sparkline>
            <x14:sparkline>
              <xm:f>Financials!E40:N40</xm:f>
              <xm:sqref>X40</xm:sqref>
            </x14:sparkline>
            <x14:sparkline>
              <xm:f>Financials!E42:N42</xm:f>
              <xm:sqref>X42</xm:sqref>
            </x14:sparkline>
            <x14:sparkline>
              <xm:f>Financials!E44:N44</xm:f>
              <xm:sqref>X44</xm:sqref>
            </x14:sparkline>
            <x14:sparkline>
              <xm:f>Financials!E46:N46</xm:f>
              <xm:sqref>X46</xm:sqref>
            </x14:sparkline>
          </x14:sparklines>
        </x14:sparklineGroup>
        <x14:sparklineGroup displayEmptyCellsAs="gap" xr2:uid="{CFCB6899-40E7-414C-A37D-00F2B1C66BCE}">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Financials!E37:N37</xm:f>
              <xm:sqref>X37</xm:sqref>
            </x14:sparkline>
            <x14:sparkline>
              <xm:f>Financials!E39:N39</xm:f>
              <xm:sqref>X39</xm:sqref>
            </x14:sparkline>
            <x14:sparkline>
              <xm:f>Financials!E41:N41</xm:f>
              <xm:sqref>X41</xm:sqref>
            </x14:sparkline>
            <x14:sparkline>
              <xm:f>Financials!E43:N43</xm:f>
              <xm:sqref>X43</xm:sqref>
            </x14:sparkline>
            <x14:sparkline>
              <xm:f>Financials!E45:N45</xm:f>
              <xm:sqref>X45</xm:sqref>
            </x14:sparkline>
          </x14:sparklines>
        </x14:sparklineGroup>
        <x14:sparklineGroup type="column" displayEmptyCellsAs="gap" negative="1" xr2:uid="{A29080DE-1519-4C81-B897-0DCC981AA736}">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Financials!E21:N21</xm:f>
              <xm:sqref>X21</xm:sqref>
            </x14:sparkline>
            <x14:sparkline>
              <xm:f>Financials!E22:N22</xm:f>
              <xm:sqref>X22</xm:sqref>
            </x14:sparkline>
            <x14:sparkline>
              <xm:f>Financials!E23:N23</xm:f>
              <xm:sqref>X23</xm:sqref>
            </x14:sparkline>
            <x14:sparkline>
              <xm:f>Financials!E24:N24</xm:f>
              <xm:sqref>X24</xm:sqref>
            </x14:sparkline>
            <x14:sparkline>
              <xm:f>Financials!E25:N25</xm:f>
              <xm:sqref>X25</xm:sqref>
            </x14:sparkline>
            <x14:sparkline>
              <xm:f>Financials!E26:N26</xm:f>
              <xm:sqref>X26</xm:sqref>
            </x14:sparkline>
            <x14:sparkline>
              <xm:f>Financials!E27:N27</xm:f>
              <xm:sqref>X27</xm:sqref>
            </x14:sparkline>
            <x14:sparkline>
              <xm:f>Financials!E28:N28</xm:f>
              <xm:sqref>X28</xm:sqref>
            </x14:sparkline>
            <x14:sparkline>
              <xm:f>Financials!E29:N29</xm:f>
              <xm:sqref>X29</xm:sqref>
            </x14:sparkline>
            <x14:sparkline>
              <xm:f>Financials!E30:N30</xm:f>
              <xm:sqref>X30</xm:sqref>
            </x14:sparkline>
            <x14:sparkline>
              <xm:f>Financials!E31:N31</xm:f>
              <xm:sqref>X31</xm:sqref>
            </x14:sparkline>
            <x14:sparkline>
              <xm:f>Financials!E32:N32</xm:f>
              <xm:sqref>X32</xm:sqref>
            </x14:sparkline>
            <x14:sparkline>
              <xm:f>Financials!E33:N33</xm:f>
              <xm:sqref>X33</xm:sqref>
            </x14:sparkline>
          </x14:sparklines>
        </x14:sparklineGroup>
        <x14:sparklineGroup type="column" displayEmptyCellsAs="gap" negative="1" xr2:uid="{8867D16F-86C9-4C32-93AC-D1DD61E3F2AB}">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Financials!E34:N34</xm:f>
              <xm:sqref>X34</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13BEC-2251-41BA-979D-E851580E43EF}">
  <sheetPr codeName="Hoja6"/>
  <dimension ref="A1:T34"/>
  <sheetViews>
    <sheetView workbookViewId="0">
      <selection activeCell="H7" sqref="H7"/>
    </sheetView>
  </sheetViews>
  <sheetFormatPr baseColWidth="10" defaultRowHeight="15" x14ac:dyDescent="0.25"/>
  <cols>
    <col min="2" max="2" width="30" customWidth="1"/>
    <col min="3" max="3" width="33" bestFit="1" customWidth="1"/>
    <col min="4" max="4" width="7.42578125" bestFit="1" customWidth="1"/>
    <col min="5" max="5" width="11.7109375" bestFit="1" customWidth="1"/>
    <col min="6" max="6" width="10.85546875" customWidth="1"/>
    <col min="7" max="7" width="11.85546875" bestFit="1" customWidth="1"/>
    <col min="8" max="8" width="16" bestFit="1" customWidth="1"/>
    <col min="9" max="9" width="14" bestFit="1" customWidth="1"/>
    <col min="10" max="10" width="11.85546875" bestFit="1" customWidth="1"/>
    <col min="11" max="11" width="10.85546875" bestFit="1" customWidth="1"/>
    <col min="12" max="12" width="14.28515625" bestFit="1" customWidth="1"/>
    <col min="13" max="13" width="13.5703125" bestFit="1" customWidth="1"/>
    <col min="14" max="14" width="11.5703125" bestFit="1" customWidth="1"/>
    <col min="15" max="15" width="10.5703125" bestFit="1" customWidth="1"/>
    <col min="16" max="16" width="11" bestFit="1" customWidth="1"/>
    <col min="17" max="17" width="10.140625" bestFit="1" customWidth="1"/>
    <col min="18" max="18" width="11.85546875" bestFit="1" customWidth="1"/>
    <col min="19" max="19" width="16.28515625" bestFit="1" customWidth="1"/>
    <col min="20" max="20" width="18.85546875" bestFit="1" customWidth="1"/>
  </cols>
  <sheetData>
    <row r="1" spans="1:20" s="114" customFormat="1" ht="17.100000000000001" customHeight="1" x14ac:dyDescent="0.25">
      <c r="A1" s="142" t="s">
        <v>106</v>
      </c>
      <c r="B1" s="143" t="s">
        <v>107</v>
      </c>
      <c r="C1" s="144" t="s">
        <v>108</v>
      </c>
      <c r="D1" s="144" t="s">
        <v>129</v>
      </c>
      <c r="E1" s="144" t="s">
        <v>109</v>
      </c>
      <c r="F1" s="144" t="s">
        <v>110</v>
      </c>
      <c r="G1" s="144" t="s">
        <v>130</v>
      </c>
      <c r="H1" s="145" t="s">
        <v>111</v>
      </c>
      <c r="I1" s="145" t="s">
        <v>61</v>
      </c>
      <c r="J1" s="145" t="s">
        <v>123</v>
      </c>
      <c r="K1" s="145" t="s">
        <v>112</v>
      </c>
      <c r="L1" s="145" t="s">
        <v>121</v>
      </c>
      <c r="M1" s="145" t="s">
        <v>122</v>
      </c>
      <c r="N1" s="145" t="s">
        <v>126</v>
      </c>
      <c r="O1" s="145" t="s">
        <v>124</v>
      </c>
      <c r="P1" s="145" t="s">
        <v>125</v>
      </c>
      <c r="Q1" s="145" t="s">
        <v>117</v>
      </c>
      <c r="R1" s="145" t="s">
        <v>113</v>
      </c>
      <c r="S1" s="145" t="s">
        <v>114</v>
      </c>
      <c r="T1" s="144" t="s">
        <v>115</v>
      </c>
    </row>
    <row r="2" spans="1:20" ht="17.100000000000001" customHeight="1" x14ac:dyDescent="0.25">
      <c r="A2" s="186" t="str" cm="1">
        <f t="array" ref="A2">_FV(B2,"Ticker symbol",TRUE)</f>
        <v>GOOGL</v>
      </c>
      <c r="B2" s="187" t="e" vm="2">
        <v>#VALUE!</v>
      </c>
      <c r="C2" s="188" t="str" cm="1">
        <f t="array" ref="C2">_FV(B2,"Industry")</f>
        <v>Software &amp; IT Services</v>
      </c>
      <c r="D2" s="189"/>
      <c r="E2" s="190" cm="1">
        <f t="array" ref="E2">_FV(B2,"Price")</f>
        <v>92.12</v>
      </c>
      <c r="F2" s="191">
        <v>5808</v>
      </c>
      <c r="G2" s="183">
        <f t="shared" ref="G2:G33" si="0">(F2/E2)^(1/5) -1</f>
        <v>1.2905223598917339</v>
      </c>
      <c r="H2" s="179">
        <f t="shared" ref="H2:H33" si="1">F2/E2</f>
        <v>63.048198002605297</v>
      </c>
      <c r="I2" s="136"/>
      <c r="J2" s="123" t="s">
        <v>96</v>
      </c>
      <c r="K2" s="123" t="s">
        <v>98</v>
      </c>
      <c r="L2" s="123"/>
      <c r="M2" s="128">
        <v>0.29499999999999998</v>
      </c>
      <c r="N2" s="128">
        <v>0.41149999999999998</v>
      </c>
      <c r="O2" s="128"/>
      <c r="P2" s="128">
        <v>0.8881</v>
      </c>
      <c r="Q2" s="128">
        <v>0.25900000000000001</v>
      </c>
      <c r="R2" s="123" t="s">
        <v>97</v>
      </c>
      <c r="S2" s="123" t="s">
        <v>94</v>
      </c>
      <c r="T2" s="146">
        <v>44633</v>
      </c>
    </row>
    <row r="3" spans="1:20" ht="17.100000000000001" customHeight="1" x14ac:dyDescent="0.25">
      <c r="A3" s="192" t="str" cm="1">
        <f t="array" ref="A3">_FV(B3,"Ticker symbol",TRUE)</f>
        <v>MSTR</v>
      </c>
      <c r="B3" s="115" t="e" vm="3">
        <v>#VALUE!</v>
      </c>
      <c r="C3" s="116" t="str" cm="1">
        <f t="array" ref="C3">_FV(B3,"Industry")</f>
        <v>Software &amp; IT Services</v>
      </c>
      <c r="D3" s="176"/>
      <c r="E3" s="117" cm="1">
        <f t="array" ref="E3">_FV(B3,"Price")</f>
        <v>216.97</v>
      </c>
      <c r="F3" s="193">
        <v>8499</v>
      </c>
      <c r="G3" s="184">
        <f t="shared" si="0"/>
        <v>1.0825413247357707</v>
      </c>
      <c r="H3" s="180">
        <f t="shared" si="1"/>
        <v>39.171314006544684</v>
      </c>
      <c r="I3" s="139"/>
      <c r="J3" s="121" t="s">
        <v>93</v>
      </c>
      <c r="K3" s="122"/>
      <c r="L3" s="122"/>
      <c r="M3" s="122"/>
      <c r="N3" s="122"/>
      <c r="O3" s="122"/>
      <c r="P3" s="122"/>
      <c r="Q3" s="122"/>
      <c r="R3" s="122"/>
      <c r="S3" s="123" t="s">
        <v>94</v>
      </c>
      <c r="T3" s="147">
        <v>44561</v>
      </c>
    </row>
    <row r="4" spans="1:20" ht="17.100000000000001" customHeight="1" x14ac:dyDescent="0.25">
      <c r="A4" s="192" t="str" cm="1">
        <f t="array" ref="A4">_FV(B4,"Ticker symbol",TRUE)</f>
        <v>TUEM</v>
      </c>
      <c r="B4" s="115" t="e" vm="4">
        <v>#VALUE!</v>
      </c>
      <c r="C4" s="116" t="str" cm="1">
        <f t="array" ref="C4">_FV(B4,"Industry")</f>
        <v>Diversified Retail</v>
      </c>
      <c r="D4" s="176"/>
      <c r="E4" s="117" cm="1">
        <f t="array" ref="E4">_FV(B4,"Price")</f>
        <v>0.46</v>
      </c>
      <c r="F4" s="137">
        <v>7.9</v>
      </c>
      <c r="G4" s="184">
        <f t="shared" si="0"/>
        <v>0.76593149397266269</v>
      </c>
      <c r="H4" s="179">
        <f t="shared" si="1"/>
        <v>17.173913043478262</v>
      </c>
      <c r="I4" s="177"/>
      <c r="J4" s="121" t="s">
        <v>93</v>
      </c>
      <c r="K4" s="121" t="s">
        <v>99</v>
      </c>
      <c r="L4" s="124"/>
      <c r="M4" s="125">
        <v>4.0000000000000001E-3</v>
      </c>
      <c r="N4" s="125">
        <v>-0.2104</v>
      </c>
      <c r="O4" s="125"/>
      <c r="P4" s="125">
        <v>-1.0179</v>
      </c>
      <c r="Q4" s="125">
        <v>3.7999999999999999E-2</v>
      </c>
      <c r="R4" s="121" t="s">
        <v>116</v>
      </c>
      <c r="S4" s="123" t="s">
        <v>94</v>
      </c>
      <c r="T4" s="147">
        <v>44868</v>
      </c>
    </row>
    <row r="5" spans="1:20" ht="17.100000000000001" customHeight="1" x14ac:dyDescent="0.25">
      <c r="A5" s="192" t="str" cm="1">
        <f t="array" ref="A5">_FV(B5,"Ticker symbol",TRUE)</f>
        <v>NTDOY</v>
      </c>
      <c r="B5" s="115" t="e" vm="5">
        <v>#VALUE!</v>
      </c>
      <c r="C5" s="116" t="str" cm="1">
        <f t="array" ref="C5">_FV(B5,"Industry")</f>
        <v>Leisure Products</v>
      </c>
      <c r="D5" s="176"/>
      <c r="E5" s="117" cm="1">
        <f t="array" ref="E5">_FV(B5,"Price")</f>
        <v>10.45</v>
      </c>
      <c r="F5" s="137">
        <v>89</v>
      </c>
      <c r="G5" s="184">
        <f t="shared" si="0"/>
        <v>0.53481043494668001</v>
      </c>
      <c r="H5" s="179">
        <f t="shared" si="1"/>
        <v>8.5167464114832541</v>
      </c>
      <c r="I5" s="136"/>
      <c r="J5" s="123" t="s">
        <v>96</v>
      </c>
      <c r="K5" s="123" t="s">
        <v>98</v>
      </c>
      <c r="L5" s="123"/>
      <c r="M5" s="128">
        <v>0.28000000000000003</v>
      </c>
      <c r="N5" s="127">
        <v>0.1</v>
      </c>
      <c r="O5" s="127"/>
      <c r="P5" s="128">
        <v>0.2</v>
      </c>
      <c r="Q5" s="128">
        <v>0.25</v>
      </c>
      <c r="R5" s="123" t="s">
        <v>97</v>
      </c>
      <c r="S5" s="129" t="s">
        <v>103</v>
      </c>
      <c r="T5" s="147">
        <v>44622</v>
      </c>
    </row>
    <row r="6" spans="1:20" ht="17.100000000000001" customHeight="1" x14ac:dyDescent="0.25">
      <c r="A6" s="192" t="str" cm="1">
        <f t="array" ref="A6">_FV(B6,"Ticker symbol",TRUE)</f>
        <v>GBUS</v>
      </c>
      <c r="B6" s="115" t="e" vm="6">
        <v>#VALUE!</v>
      </c>
      <c r="C6" s="116" t="str" cm="1">
        <f t="array" ref="C6">_FV(B6,"Industry")</f>
        <v>Homebuilding &amp; Construction Supplies</v>
      </c>
      <c r="D6" s="176"/>
      <c r="E6" s="118" cm="1">
        <f t="array" ref="E6">_FV(B6,"Price")</f>
        <v>16.7</v>
      </c>
      <c r="F6" s="137">
        <v>87</v>
      </c>
      <c r="G6" s="184">
        <f t="shared" si="0"/>
        <v>0.39110706508513227</v>
      </c>
      <c r="H6" s="179">
        <f t="shared" si="1"/>
        <v>5.2095808383233537</v>
      </c>
      <c r="I6" s="136"/>
      <c r="J6" s="123" t="s">
        <v>96</v>
      </c>
      <c r="K6" s="126" t="s">
        <v>95</v>
      </c>
      <c r="L6" s="126"/>
      <c r="M6" s="127">
        <v>0.16</v>
      </c>
      <c r="N6" s="128">
        <v>0.4</v>
      </c>
      <c r="O6" s="128"/>
      <c r="P6" s="128">
        <v>1</v>
      </c>
      <c r="Q6" s="128">
        <v>0.42</v>
      </c>
      <c r="R6" s="123" t="s">
        <v>97</v>
      </c>
      <c r="S6" s="123" t="s">
        <v>94</v>
      </c>
      <c r="T6" s="147">
        <v>44670</v>
      </c>
    </row>
    <row r="7" spans="1:20" ht="17.100000000000001" customHeight="1" x14ac:dyDescent="0.25">
      <c r="A7" s="192" t="str" cm="1">
        <f t="array" ref="A7">_FV(B7,"Ticker symbol",TRUE)</f>
        <v>327</v>
      </c>
      <c r="B7" s="115" t="e" vm="7">
        <v>#VALUE!</v>
      </c>
      <c r="C7" s="116" t="str" cm="1">
        <f t="array" ref="C7">_FV(B7,"Industry")</f>
        <v>Office Equipment</v>
      </c>
      <c r="D7" s="176"/>
      <c r="E7" s="117" cm="1">
        <f t="array" ref="E7">_FV(B7,"Price")</f>
        <v>7.05</v>
      </c>
      <c r="F7" s="137">
        <v>36</v>
      </c>
      <c r="G7" s="184">
        <f t="shared" si="0"/>
        <v>0.38555151246969244</v>
      </c>
      <c r="H7" s="179">
        <f t="shared" si="1"/>
        <v>5.1063829787234045</v>
      </c>
      <c r="I7" s="135"/>
      <c r="J7" s="124" t="s">
        <v>99</v>
      </c>
      <c r="K7" s="126" t="s">
        <v>95</v>
      </c>
      <c r="L7" s="126"/>
      <c r="M7" s="127">
        <v>0.16</v>
      </c>
      <c r="N7" s="128">
        <v>0.1472</v>
      </c>
      <c r="O7" s="128"/>
      <c r="P7" s="128">
        <v>0.45150000000000001</v>
      </c>
      <c r="Q7" s="127">
        <v>0.17929999999999999</v>
      </c>
      <c r="R7" s="123" t="s">
        <v>97</v>
      </c>
      <c r="S7" s="123" t="s">
        <v>94</v>
      </c>
      <c r="T7" s="147">
        <v>44199</v>
      </c>
    </row>
    <row r="8" spans="1:20" ht="17.100000000000001" customHeight="1" x14ac:dyDescent="0.25">
      <c r="A8" s="192" t="str" cm="1">
        <f t="array" ref="A8">_FV(B8,"Ticker symbol",TRUE)</f>
        <v>HEAR</v>
      </c>
      <c r="B8" s="115" t="e" vm="8">
        <v>#VALUE!</v>
      </c>
      <c r="C8" s="116" t="str" cm="1">
        <f t="array" ref="C8">_FV(B8,"Industry")</f>
        <v>Computers, Phones &amp; Household Electronics</v>
      </c>
      <c r="D8" s="176"/>
      <c r="E8" s="117" cm="1">
        <f t="array" ref="E8">_FV(B8,"Price")</f>
        <v>8.86</v>
      </c>
      <c r="F8" s="137">
        <v>41</v>
      </c>
      <c r="G8" s="185">
        <f t="shared" si="0"/>
        <v>0.35853248284768946</v>
      </c>
      <c r="H8" s="179">
        <f t="shared" si="1"/>
        <v>4.6275395033860045</v>
      </c>
      <c r="I8" s="135"/>
      <c r="J8" s="126" t="s">
        <v>95</v>
      </c>
      <c r="K8" s="126" t="s">
        <v>95</v>
      </c>
      <c r="L8" s="126"/>
      <c r="M8" s="130">
        <v>4.8000000000000001E-2</v>
      </c>
      <c r="N8" s="125">
        <v>1.7399999999999999E-2</v>
      </c>
      <c r="O8" s="125"/>
      <c r="P8" s="125">
        <v>-0.54259999999999997</v>
      </c>
      <c r="Q8" s="131">
        <v>0.11899999999999999</v>
      </c>
      <c r="R8" s="123" t="s">
        <v>97</v>
      </c>
      <c r="S8" s="126" t="s">
        <v>95</v>
      </c>
      <c r="T8" s="147">
        <v>44584</v>
      </c>
    </row>
    <row r="9" spans="1:20" ht="17.100000000000001" customHeight="1" x14ac:dyDescent="0.25">
      <c r="A9" s="192" t="str" cm="1">
        <f t="array" ref="A9">_FV(B9,"Ticker symbol",TRUE)</f>
        <v>BOTB</v>
      </c>
      <c r="B9" s="115" t="e" vm="9">
        <v>#VALUE!</v>
      </c>
      <c r="C9" s="116" t="str" cm="1">
        <f t="array" ref="C9">_FV(B9,"Industry")</f>
        <v>Hotels &amp; Entertainment Services</v>
      </c>
      <c r="D9" s="176"/>
      <c r="E9" s="117" cm="1">
        <f t="array" ref="E9">_FV(B9,"Price")/100</f>
        <v>3.78</v>
      </c>
      <c r="F9" s="137">
        <v>16</v>
      </c>
      <c r="G9" s="184">
        <f t="shared" si="0"/>
        <v>0.33452168934997695</v>
      </c>
      <c r="H9" s="179">
        <f t="shared" si="1"/>
        <v>4.2328042328042335</v>
      </c>
      <c r="I9" s="135"/>
      <c r="J9" s="126" t="s">
        <v>95</v>
      </c>
      <c r="K9" s="121" t="s">
        <v>99</v>
      </c>
      <c r="L9" s="124"/>
      <c r="M9" s="127">
        <v>0.2</v>
      </c>
      <c r="N9" s="128">
        <v>1.5</v>
      </c>
      <c r="O9" s="128"/>
      <c r="P9" s="128">
        <v>1</v>
      </c>
      <c r="Q9" s="128">
        <v>1.6</v>
      </c>
      <c r="R9" s="123" t="s">
        <v>97</v>
      </c>
      <c r="S9" s="129" t="s">
        <v>103</v>
      </c>
      <c r="T9" s="147">
        <v>44714</v>
      </c>
    </row>
    <row r="10" spans="1:20" ht="17.100000000000001" customHeight="1" x14ac:dyDescent="0.25">
      <c r="A10" s="192" t="str" cm="1">
        <f t="array" ref="A10">_FV(B10,"Ticker symbol",TRUE)</f>
        <v>AQB</v>
      </c>
      <c r="B10" s="115" t="e" vm="10">
        <v>#VALUE!</v>
      </c>
      <c r="C10" s="116" t="str" cm="1">
        <f t="array" ref="C10">_FV(B10,"Industry")</f>
        <v>Biotechnology &amp; Medical Research</v>
      </c>
      <c r="D10" s="176"/>
      <c r="E10" s="117" cm="1">
        <f t="array" ref="E10">_FV(B10,"Price")</f>
        <v>0.95269999999999999</v>
      </c>
      <c r="F10" s="137">
        <v>4</v>
      </c>
      <c r="G10" s="184">
        <f t="shared" si="0"/>
        <v>0.33235748238267848</v>
      </c>
      <c r="H10" s="179">
        <f t="shared" si="1"/>
        <v>4.1985934711871522</v>
      </c>
      <c r="I10" s="139"/>
      <c r="J10" s="121" t="s">
        <v>93</v>
      </c>
      <c r="K10" s="123" t="s">
        <v>98</v>
      </c>
      <c r="L10" s="123"/>
      <c r="M10" s="125">
        <v>-19.001000000000001</v>
      </c>
      <c r="N10" s="128">
        <v>8.2026000000000003</v>
      </c>
      <c r="O10" s="128"/>
      <c r="P10" s="128">
        <v>0.36109999999999998</v>
      </c>
      <c r="Q10" s="125">
        <v>-0.10199999999999999</v>
      </c>
      <c r="R10" s="123" t="s">
        <v>97</v>
      </c>
      <c r="S10" s="126" t="s">
        <v>95</v>
      </c>
      <c r="T10" s="147">
        <v>44575</v>
      </c>
    </row>
    <row r="11" spans="1:20" ht="17.100000000000001" customHeight="1" x14ac:dyDescent="0.25">
      <c r="A11" s="192" t="str" cm="1">
        <f t="array" ref="A11">_FV(B11,"Ticker symbol",TRUE)</f>
        <v>HZO</v>
      </c>
      <c r="B11" s="115" t="e" vm="11">
        <v>#VALUE!</v>
      </c>
      <c r="C11" s="116" t="str" cm="1">
        <f t="array" ref="C11">_FV(B11,"Industry")</f>
        <v>Leisure Products</v>
      </c>
      <c r="D11" s="176"/>
      <c r="E11" s="117" cm="1">
        <f t="array" ref="E11">_FV(B11,"Price")</f>
        <v>34.47</v>
      </c>
      <c r="F11" s="137">
        <v>143</v>
      </c>
      <c r="G11" s="184">
        <f t="shared" si="0"/>
        <v>0.32916516537824836</v>
      </c>
      <c r="H11" s="179">
        <f t="shared" si="1"/>
        <v>4.1485349579344355</v>
      </c>
      <c r="I11" s="140"/>
      <c r="J11" s="124" t="s">
        <v>99</v>
      </c>
      <c r="K11" s="126" t="s">
        <v>95</v>
      </c>
      <c r="L11" s="126"/>
      <c r="M11" s="130">
        <v>7.4999999999999997E-2</v>
      </c>
      <c r="N11" s="128">
        <v>0.36670000000000003</v>
      </c>
      <c r="O11" s="128"/>
      <c r="P11" s="128">
        <v>1.0765</v>
      </c>
      <c r="Q11" s="127">
        <v>0.20799999999999999</v>
      </c>
      <c r="R11" s="129" t="s">
        <v>101</v>
      </c>
      <c r="S11" s="126" t="s">
        <v>95</v>
      </c>
      <c r="T11" s="147">
        <v>44584</v>
      </c>
    </row>
    <row r="12" spans="1:20" ht="17.100000000000001" customHeight="1" x14ac:dyDescent="0.25">
      <c r="A12" s="192" t="str" cm="1">
        <f t="array" ref="A12">_FV(B12,"Ticker symbol",TRUE)</f>
        <v>FLWS</v>
      </c>
      <c r="B12" s="115" t="e" vm="12">
        <v>#VALUE!</v>
      </c>
      <c r="C12" s="116" t="str" cm="1">
        <f t="array" ref="C12">_FV(B12,"Industry")</f>
        <v>Specialty Retailers</v>
      </c>
      <c r="D12" s="176"/>
      <c r="E12" s="117" cm="1">
        <f t="array" ref="E12">_FV(B12,"Price")</f>
        <v>10.43</v>
      </c>
      <c r="F12" s="137">
        <v>40</v>
      </c>
      <c r="G12" s="184">
        <f t="shared" si="0"/>
        <v>0.30844398958991581</v>
      </c>
      <c r="H12" s="179">
        <f t="shared" si="1"/>
        <v>3.8350910834132312</v>
      </c>
      <c r="I12" s="140"/>
      <c r="J12" s="124" t="s">
        <v>99</v>
      </c>
      <c r="K12" s="129" t="s">
        <v>100</v>
      </c>
      <c r="L12" s="129"/>
      <c r="M12" s="130">
        <v>5.6000000000000001E-2</v>
      </c>
      <c r="N12" s="128">
        <v>0.42470000000000002</v>
      </c>
      <c r="O12" s="128"/>
      <c r="P12" s="128">
        <v>1.0111000000000001</v>
      </c>
      <c r="Q12" s="127">
        <v>0.152</v>
      </c>
      <c r="R12" s="129" t="s">
        <v>101</v>
      </c>
      <c r="S12" s="123" t="s">
        <v>94</v>
      </c>
      <c r="T12" s="147">
        <v>44868</v>
      </c>
    </row>
    <row r="13" spans="1:20" ht="17.100000000000001" customHeight="1" x14ac:dyDescent="0.25">
      <c r="A13" s="192" t="str" cm="1">
        <f t="array" ref="A13">_FV(B13,"Ticker symbol",TRUE)</f>
        <v>NGMS</v>
      </c>
      <c r="B13" s="115" t="e" vm="13">
        <v>#VALUE!</v>
      </c>
      <c r="C13" s="116" t="str" cm="1">
        <f t="array" ref="C13">_FV(B13,"Industry")</f>
        <v>Software &amp; IT Services</v>
      </c>
      <c r="D13" s="176"/>
      <c r="E13" s="117" cm="1">
        <f t="array" ref="E13">_FV(B13,"Price")</f>
        <v>12.26</v>
      </c>
      <c r="F13" s="137">
        <v>47</v>
      </c>
      <c r="G13" s="184">
        <f t="shared" si="0"/>
        <v>0.30834258547304283</v>
      </c>
      <c r="H13" s="180">
        <f t="shared" si="1"/>
        <v>3.8336052202283852</v>
      </c>
      <c r="I13" s="135">
        <v>0.06</v>
      </c>
      <c r="J13" s="124" t="s">
        <v>99</v>
      </c>
      <c r="K13" s="123" t="s">
        <v>98</v>
      </c>
      <c r="L13" s="136">
        <v>1</v>
      </c>
      <c r="M13" s="130">
        <v>0.13</v>
      </c>
      <c r="N13" s="128">
        <v>0.28999999999999998</v>
      </c>
      <c r="O13" s="128"/>
      <c r="P13" s="128"/>
      <c r="Q13" s="128">
        <v>0.4</v>
      </c>
      <c r="R13" s="123" t="s">
        <v>97</v>
      </c>
      <c r="S13" s="123" t="s">
        <v>94</v>
      </c>
      <c r="T13" s="147">
        <v>44685</v>
      </c>
    </row>
    <row r="14" spans="1:20" ht="17.100000000000001" customHeight="1" x14ac:dyDescent="0.25">
      <c r="A14" s="192" t="str" cm="1">
        <f t="array" ref="A14">_FV(B14,"Ticker symbol",TRUE)</f>
        <v>META</v>
      </c>
      <c r="B14" s="115" t="e" vm="1">
        <v>#VALUE!</v>
      </c>
      <c r="C14" s="116" t="str" cm="1">
        <f t="array" ref="C14">_FV(B14,"Industry")</f>
        <v>Software &amp; IT Services</v>
      </c>
      <c r="D14" s="176"/>
      <c r="E14" s="117" cm="1">
        <f t="array" ref="E14">_FV(B14,"Price")</f>
        <v>136.97999999999999</v>
      </c>
      <c r="F14" s="137">
        <v>516</v>
      </c>
      <c r="G14" s="184">
        <f t="shared" si="0"/>
        <v>0.30376256796223222</v>
      </c>
      <c r="H14" s="179">
        <f t="shared" si="1"/>
        <v>3.7669732807709155</v>
      </c>
      <c r="I14" s="171"/>
      <c r="J14" s="174" t="s">
        <v>96</v>
      </c>
      <c r="K14" s="174" t="s">
        <v>98</v>
      </c>
      <c r="L14" s="174"/>
      <c r="M14" s="132">
        <v>0.33400000000000002</v>
      </c>
      <c r="N14" s="132">
        <v>0.37180000000000002</v>
      </c>
      <c r="O14" s="132"/>
      <c r="P14" s="132">
        <v>0.3508</v>
      </c>
      <c r="Q14" s="132">
        <v>0.27200000000000002</v>
      </c>
      <c r="R14" s="174" t="s">
        <v>97</v>
      </c>
      <c r="S14" s="174" t="s">
        <v>94</v>
      </c>
      <c r="T14" s="147">
        <v>44595</v>
      </c>
    </row>
    <row r="15" spans="1:20" ht="17.100000000000001" customHeight="1" x14ac:dyDescent="0.25">
      <c r="A15" s="192" t="str" cm="1">
        <f t="array" ref="A15">_FV(B15,"Ticker symbol",TRUE)</f>
        <v>SFTBF</v>
      </c>
      <c r="B15" s="115" t="e" vm="14">
        <v>#VALUE!</v>
      </c>
      <c r="C15" s="116" t="str" cm="1">
        <f t="array" ref="C15">_FV(B15,"Industry")</f>
        <v>Telecommunications Services</v>
      </c>
      <c r="D15" s="176"/>
      <c r="E15" s="117" cm="1">
        <f t="array" ref="E15">_FV(B15,"Price")</f>
        <v>45.2</v>
      </c>
      <c r="F15" s="137">
        <v>156</v>
      </c>
      <c r="G15" s="184">
        <f t="shared" si="0"/>
        <v>0.28114189291375657</v>
      </c>
      <c r="H15" s="179">
        <f t="shared" si="1"/>
        <v>3.4513274336283182</v>
      </c>
      <c r="I15" s="135"/>
      <c r="J15" s="124" t="s">
        <v>99</v>
      </c>
      <c r="K15" s="122"/>
      <c r="L15" s="122"/>
      <c r="M15" s="122"/>
      <c r="N15" s="122"/>
      <c r="O15" s="122"/>
      <c r="P15" s="122"/>
      <c r="Q15" s="122"/>
      <c r="R15" s="122"/>
      <c r="S15" s="123" t="s">
        <v>94</v>
      </c>
      <c r="T15" s="147">
        <v>44694</v>
      </c>
    </row>
    <row r="16" spans="1:20" ht="17.100000000000001" customHeight="1" x14ac:dyDescent="0.25">
      <c r="A16" s="192" t="str" cm="1">
        <f t="array" ref="A16">_FV(B16,"Ticker symbol",TRUE)</f>
        <v>CRMT</v>
      </c>
      <c r="B16" s="115" t="e" vm="15">
        <v>#VALUE!</v>
      </c>
      <c r="C16" s="116" t="str" cm="1">
        <f t="array" ref="C16">_FV(B16,"Industry")</f>
        <v>Specialty Retailers</v>
      </c>
      <c r="D16" s="176"/>
      <c r="E16" s="117" cm="1">
        <f t="array" ref="E16">_FV(B16,"Price")</f>
        <v>78.400000000000006</v>
      </c>
      <c r="F16" s="137">
        <v>227</v>
      </c>
      <c r="G16" s="184">
        <f t="shared" si="0"/>
        <v>0.23692098867179734</v>
      </c>
      <c r="H16" s="179">
        <f t="shared" si="1"/>
        <v>2.8954081632653059</v>
      </c>
      <c r="I16" s="135"/>
      <c r="J16" s="126" t="s">
        <v>95</v>
      </c>
      <c r="K16" s="126" t="s">
        <v>95</v>
      </c>
      <c r="L16" s="126"/>
      <c r="M16" s="130">
        <v>0.113</v>
      </c>
      <c r="N16" s="128">
        <v>0.23369999999999999</v>
      </c>
      <c r="O16" s="128"/>
      <c r="P16" s="128">
        <v>1.0283</v>
      </c>
      <c r="Q16" s="131">
        <v>0.13700000000000001</v>
      </c>
      <c r="R16" s="126" t="s">
        <v>102</v>
      </c>
      <c r="S16" s="129" t="s">
        <v>103</v>
      </c>
      <c r="T16" s="147">
        <v>44584</v>
      </c>
    </row>
    <row r="17" spans="1:20" ht="17.100000000000001" customHeight="1" x14ac:dyDescent="0.25">
      <c r="A17" s="192">
        <v>4934</v>
      </c>
      <c r="B17" s="115" t="s">
        <v>104</v>
      </c>
      <c r="C17" s="116" t="s">
        <v>105</v>
      </c>
      <c r="D17" s="176"/>
      <c r="E17" s="119">
        <v>3770</v>
      </c>
      <c r="F17" s="193">
        <v>9800</v>
      </c>
      <c r="G17" s="184">
        <f t="shared" si="0"/>
        <v>0.21053386959483555</v>
      </c>
      <c r="H17" s="179">
        <f t="shared" si="1"/>
        <v>2.5994694960212201</v>
      </c>
      <c r="I17" s="135"/>
      <c r="J17" s="126" t="s">
        <v>95</v>
      </c>
      <c r="K17" s="126" t="s">
        <v>95</v>
      </c>
      <c r="L17" s="126"/>
      <c r="M17" s="130">
        <v>7.0000000000000007E-2</v>
      </c>
      <c r="N17" s="128">
        <v>0.6</v>
      </c>
      <c r="O17" s="128"/>
      <c r="P17" s="128">
        <v>2</v>
      </c>
      <c r="Q17" s="128">
        <v>0.4</v>
      </c>
      <c r="R17" s="123" t="s">
        <v>97</v>
      </c>
      <c r="S17" s="129" t="s">
        <v>103</v>
      </c>
      <c r="T17" s="147">
        <v>44681</v>
      </c>
    </row>
    <row r="18" spans="1:20" ht="17.100000000000001" customHeight="1" x14ac:dyDescent="0.25">
      <c r="A18" s="192" t="str" cm="1">
        <f t="array" ref="A18">_FV(B18,"Ticker symbol",TRUE)</f>
        <v>EVVTY</v>
      </c>
      <c r="B18" s="115" t="e" vm="16">
        <v>#VALUE!</v>
      </c>
      <c r="C18" s="116" t="str" cm="1">
        <f t="array" ref="C18">_FV(B18,"Industry")</f>
        <v>Hotels &amp; Entertainment Services</v>
      </c>
      <c r="D18" s="176">
        <v>0.1</v>
      </c>
      <c r="E18" s="117" cm="1">
        <f t="array" ref="E18">_FV(B18,"Price")</f>
        <v>110.04</v>
      </c>
      <c r="F18" s="137">
        <v>276</v>
      </c>
      <c r="G18" s="184">
        <f t="shared" si="0"/>
        <v>0.20190931230385001</v>
      </c>
      <c r="H18" s="179">
        <f t="shared" si="1"/>
        <v>2.5081788440567063</v>
      </c>
      <c r="I18" s="136"/>
      <c r="J18" s="124" t="s">
        <v>99</v>
      </c>
      <c r="K18" s="123" t="s">
        <v>98</v>
      </c>
      <c r="L18" s="123"/>
      <c r="M18" s="128">
        <v>0.54</v>
      </c>
      <c r="N18" s="128">
        <v>0.90500000000000003</v>
      </c>
      <c r="O18" s="128"/>
      <c r="P18" s="128">
        <v>0.8</v>
      </c>
      <c r="Q18" s="127">
        <v>0.2</v>
      </c>
      <c r="R18" s="123" t="s">
        <v>97</v>
      </c>
      <c r="S18" s="123" t="s">
        <v>94</v>
      </c>
      <c r="T18" s="147">
        <v>44940</v>
      </c>
    </row>
    <row r="19" spans="1:20" ht="17.100000000000001" customHeight="1" x14ac:dyDescent="0.25">
      <c r="A19" s="192" t="str" cm="1">
        <f t="array" ref="A19">_FV(B19,"Ticker symbol",TRUE)</f>
        <v>NVDA</v>
      </c>
      <c r="B19" s="115" t="e" vm="17">
        <v>#VALUE!</v>
      </c>
      <c r="C19" s="116" t="str" cm="1">
        <f t="array" ref="C19">_FV(B19,"Industry")</f>
        <v>Semiconductors &amp; Semiconductor Equipment</v>
      </c>
      <c r="D19" s="176"/>
      <c r="E19" s="117" cm="1">
        <f t="array" ref="E19">_FV(B19,"Price")</f>
        <v>168.99</v>
      </c>
      <c r="F19" s="137">
        <v>310</v>
      </c>
      <c r="G19" s="184">
        <f t="shared" si="0"/>
        <v>0.12901610644397832</v>
      </c>
      <c r="H19" s="180">
        <f t="shared" si="1"/>
        <v>1.8344280726670217</v>
      </c>
      <c r="I19" s="139">
        <v>0.02</v>
      </c>
      <c r="J19" s="123" t="s">
        <v>96</v>
      </c>
      <c r="K19" s="123" t="s">
        <v>98</v>
      </c>
      <c r="L19" s="168">
        <v>0.65</v>
      </c>
      <c r="M19" s="128">
        <v>0.36</v>
      </c>
      <c r="N19" s="128">
        <v>0.3</v>
      </c>
      <c r="O19" s="132">
        <v>0.4</v>
      </c>
      <c r="P19" s="128">
        <v>0.42</v>
      </c>
      <c r="Q19" s="128">
        <v>0.41</v>
      </c>
      <c r="R19" s="123" t="s">
        <v>97</v>
      </c>
      <c r="S19" s="123" t="s">
        <v>94</v>
      </c>
      <c r="T19" s="147">
        <v>44687</v>
      </c>
    </row>
    <row r="20" spans="1:20" ht="17.100000000000001" customHeight="1" x14ac:dyDescent="0.25">
      <c r="A20" s="192" t="str" cm="1">
        <f t="array" ref="A20">_FV(B20,"Ticker symbol",TRUE)</f>
        <v>CRSR</v>
      </c>
      <c r="B20" s="115" t="e" vm="18">
        <v>#VALUE!</v>
      </c>
      <c r="C20" s="116" t="str" cm="1">
        <f t="array" ref="C20">_FV(B20,"Industry")</f>
        <v>Computers, Phones &amp; Household Electronics</v>
      </c>
      <c r="D20" s="176"/>
      <c r="E20" s="117" cm="1">
        <f t="array" ref="E20">_FV(B20,"Price")</f>
        <v>14.89</v>
      </c>
      <c r="F20" s="137">
        <v>26</v>
      </c>
      <c r="G20" s="184">
        <f t="shared" si="0"/>
        <v>0.11793288124381229</v>
      </c>
      <c r="H20" s="179">
        <f t="shared" si="1"/>
        <v>1.7461383478844861</v>
      </c>
      <c r="I20" s="140"/>
      <c r="J20" s="124" t="s">
        <v>99</v>
      </c>
      <c r="K20" s="129" t="s">
        <v>100</v>
      </c>
      <c r="L20" s="129"/>
      <c r="M20" s="130">
        <v>5.2999999999999999E-2</v>
      </c>
      <c r="N20" s="127">
        <v>0.11849999999999999</v>
      </c>
      <c r="O20" s="127"/>
      <c r="P20" s="125">
        <v>-2.1899999999999999E-2</v>
      </c>
      <c r="Q20" s="131">
        <v>0.13100000000000001</v>
      </c>
      <c r="R20" s="129" t="s">
        <v>101</v>
      </c>
      <c r="S20" s="129" t="s">
        <v>103</v>
      </c>
      <c r="T20" s="148">
        <v>44599</v>
      </c>
    </row>
    <row r="21" spans="1:20" ht="17.100000000000001" customHeight="1" x14ac:dyDescent="0.25">
      <c r="A21" s="192" t="str" cm="1">
        <f t="array" ref="A21">_FV(B21,"Ticker symbol",TRUE)</f>
        <v>SAND</v>
      </c>
      <c r="B21" s="115" t="e" vm="19">
        <v>#VALUE!</v>
      </c>
      <c r="C21" s="116" t="str" cm="1">
        <f t="array" ref="C21">_FV(B21,"Industry")</f>
        <v>Metals &amp; Mining</v>
      </c>
      <c r="D21" s="176"/>
      <c r="E21" s="117" cm="1">
        <f t="array" ref="E21">_FV(B21,"Price")</f>
        <v>5.85</v>
      </c>
      <c r="F21" s="137">
        <v>10</v>
      </c>
      <c r="G21" s="184">
        <f t="shared" si="0"/>
        <v>0.11318879645586333</v>
      </c>
      <c r="H21" s="179">
        <f t="shared" si="1"/>
        <v>1.7094017094017095</v>
      </c>
      <c r="I21" s="140"/>
      <c r="J21" s="124" t="s">
        <v>99</v>
      </c>
      <c r="K21" s="123" t="s">
        <v>98</v>
      </c>
      <c r="L21" s="123"/>
      <c r="M21" s="127">
        <v>0.24</v>
      </c>
      <c r="N21" s="128">
        <v>0.23469999999999999</v>
      </c>
      <c r="O21" s="132"/>
      <c r="P21" s="132">
        <v>0.99909999999999999</v>
      </c>
      <c r="Q21" s="125">
        <v>4.7E-2</v>
      </c>
      <c r="R21" s="123" t="s">
        <v>97</v>
      </c>
      <c r="S21" s="123" t="s">
        <v>94</v>
      </c>
      <c r="T21" s="147">
        <v>44584</v>
      </c>
    </row>
    <row r="22" spans="1:20" ht="17.100000000000001" customHeight="1" x14ac:dyDescent="0.25">
      <c r="A22" s="192" t="str" cm="1">
        <f t="array" ref="A22">_FV(B22,"Ticker symbol",TRUE)</f>
        <v>OPRA</v>
      </c>
      <c r="B22" s="115" t="e" vm="20">
        <v>#VALUE!</v>
      </c>
      <c r="C22" s="116" t="str" cm="1">
        <f t="array" ref="C22">_FV(B22,"Industry")</f>
        <v>Software &amp; IT Services</v>
      </c>
      <c r="D22" s="176"/>
      <c r="E22" s="117" cm="1">
        <f t="array" ref="E22">_FV(B22,"Price")</f>
        <v>6.89</v>
      </c>
      <c r="F22" s="137">
        <v>10</v>
      </c>
      <c r="G22" s="185">
        <f t="shared" si="0"/>
        <v>7.7348361810405608E-2</v>
      </c>
      <c r="H22" s="179">
        <f t="shared" si="1"/>
        <v>1.4513788098693761</v>
      </c>
      <c r="I22" s="136"/>
      <c r="J22" s="126" t="s">
        <v>95</v>
      </c>
      <c r="K22" s="121" t="s">
        <v>99</v>
      </c>
      <c r="L22" s="136">
        <v>0.94</v>
      </c>
      <c r="M22" s="125">
        <v>-6.3E-2</v>
      </c>
      <c r="N22" s="128">
        <v>0.13</v>
      </c>
      <c r="O22" s="173">
        <v>-0.1</v>
      </c>
      <c r="P22" s="173">
        <v>-1.72</v>
      </c>
      <c r="Q22" s="125">
        <v>2.5000000000000001E-2</v>
      </c>
      <c r="R22" s="123" t="s">
        <v>97</v>
      </c>
      <c r="S22" s="121" t="s">
        <v>128</v>
      </c>
      <c r="T22" s="147">
        <v>44694</v>
      </c>
    </row>
    <row r="23" spans="1:20" ht="17.100000000000001" customHeight="1" x14ac:dyDescent="0.25">
      <c r="A23" s="192" t="str" cm="1">
        <f t="array" ref="A23">_FV(B23,"Ticker symbol",TRUE)</f>
        <v>CROX</v>
      </c>
      <c r="B23" s="115" t="e" vm="21">
        <v>#VALUE!</v>
      </c>
      <c r="C23" s="116" t="str" cm="1">
        <f t="array" ref="C23">_FV(B23,"Industry")</f>
        <v>Textiles &amp; Apparel</v>
      </c>
      <c r="D23" s="176"/>
      <c r="E23" s="117" cm="1">
        <f t="array" ref="E23">_FV(B23,"Price")</f>
        <v>125.82</v>
      </c>
      <c r="F23" s="137">
        <v>180</v>
      </c>
      <c r="G23" s="184">
        <f t="shared" si="0"/>
        <v>7.4248027331504041E-2</v>
      </c>
      <c r="H23" s="180">
        <f t="shared" si="1"/>
        <v>1.4306151645207439</v>
      </c>
      <c r="I23" s="136">
        <v>0.11</v>
      </c>
      <c r="J23" s="123" t="s">
        <v>96</v>
      </c>
      <c r="K23" s="123" t="s">
        <v>98</v>
      </c>
      <c r="L23" s="168">
        <v>0.6</v>
      </c>
      <c r="M23" s="128">
        <v>0.3</v>
      </c>
      <c r="N23" s="127">
        <v>0.08</v>
      </c>
      <c r="O23" s="128">
        <v>0.25</v>
      </c>
      <c r="P23" s="128">
        <v>0.2</v>
      </c>
      <c r="Q23" s="128">
        <v>0.3</v>
      </c>
      <c r="R23" s="121" t="s">
        <v>116</v>
      </c>
      <c r="S23" s="123" t="s">
        <v>94</v>
      </c>
      <c r="T23" s="147">
        <v>44689</v>
      </c>
    </row>
    <row r="24" spans="1:20" ht="17.100000000000001" customHeight="1" x14ac:dyDescent="0.25">
      <c r="A24" s="192" t="str" cm="1">
        <f t="array" ref="A24">_FV(B24,"Ticker symbol",TRUE)</f>
        <v>ATHM</v>
      </c>
      <c r="B24" s="115" t="e" vm="22">
        <v>#VALUE!</v>
      </c>
      <c r="C24" s="116" t="str" cm="1">
        <f t="array" ref="C24">_FV(B24,"Industry")</f>
        <v>Media &amp; Publishing</v>
      </c>
      <c r="D24" s="176"/>
      <c r="E24" s="117" cm="1">
        <f t="array" ref="E24">_FV(B24,"Price")</f>
        <v>35.869999999999997</v>
      </c>
      <c r="F24" s="137">
        <v>49</v>
      </c>
      <c r="G24" s="185">
        <f t="shared" si="0"/>
        <v>6.4370773245915558E-2</v>
      </c>
      <c r="H24" s="179">
        <f t="shared" si="1"/>
        <v>1.3660440479509339</v>
      </c>
      <c r="I24" s="139"/>
      <c r="J24" s="121" t="s">
        <v>93</v>
      </c>
      <c r="K24" s="126" t="s">
        <v>95</v>
      </c>
      <c r="L24" s="136">
        <v>0.85</v>
      </c>
      <c r="M24" s="128">
        <v>0.35399999999999998</v>
      </c>
      <c r="N24" s="125">
        <v>0</v>
      </c>
      <c r="O24" s="125">
        <v>0.03</v>
      </c>
      <c r="P24" s="125">
        <v>-0.04</v>
      </c>
      <c r="Q24" s="131">
        <v>0.16700000000000001</v>
      </c>
      <c r="R24" s="123" t="s">
        <v>97</v>
      </c>
      <c r="S24" s="121" t="s">
        <v>128</v>
      </c>
      <c r="T24" s="147">
        <v>44694</v>
      </c>
    </row>
    <row r="25" spans="1:20" ht="17.100000000000001" customHeight="1" x14ac:dyDescent="0.25">
      <c r="A25" s="192" t="str" cm="1">
        <f t="array" ref="A25">_FV(B25,"Ticker symbol",TRUE)</f>
        <v>DNP</v>
      </c>
      <c r="B25" s="115" t="e" vm="23">
        <v>#VALUE!</v>
      </c>
      <c r="C25" s="116" t="str" cm="1">
        <f t="array" ref="C25">_FV(B25,"Industry")</f>
        <v>Food &amp; Drug Retailing</v>
      </c>
      <c r="D25" s="176"/>
      <c r="E25" s="120" cm="1">
        <f t="array" ref="E25">_FV(B25,"Price")</f>
        <v>363.5</v>
      </c>
      <c r="F25" s="137">
        <v>492</v>
      </c>
      <c r="G25" s="184">
        <f t="shared" si="0"/>
        <v>6.2409969782309282E-2</v>
      </c>
      <c r="H25" s="179">
        <f t="shared" si="1"/>
        <v>1.3535075653370015</v>
      </c>
      <c r="I25" s="136"/>
      <c r="J25" s="123" t="s">
        <v>96</v>
      </c>
      <c r="K25" s="123" t="s">
        <v>98</v>
      </c>
      <c r="L25" s="123"/>
      <c r="M25" s="130">
        <v>0.06</v>
      </c>
      <c r="N25" s="128">
        <v>0.3</v>
      </c>
      <c r="O25" s="132"/>
      <c r="P25" s="132">
        <v>0.25</v>
      </c>
      <c r="Q25" s="127">
        <v>0.22</v>
      </c>
      <c r="R25" s="129" t="s">
        <v>101</v>
      </c>
      <c r="S25" s="129" t="s">
        <v>103</v>
      </c>
      <c r="T25" s="147">
        <v>44631</v>
      </c>
    </row>
    <row r="26" spans="1:20" ht="17.100000000000001" customHeight="1" x14ac:dyDescent="0.25">
      <c r="A26" s="192" t="str" cm="1">
        <f t="array" ref="A26">_FV(B26,"Ticker symbol",TRUE)</f>
        <v>XPEL</v>
      </c>
      <c r="B26" s="115" t="e" vm="24">
        <v>#VALUE!</v>
      </c>
      <c r="C26" s="116" t="str" cm="1">
        <f t="array" ref="C26">_FV(B26,"Industry")</f>
        <v>Automobiles &amp; Auto Parts</v>
      </c>
      <c r="D26" s="176"/>
      <c r="E26" s="117" cm="1">
        <f t="array" ref="E26">_FV(B26,"Price")</f>
        <v>73.040000000000006</v>
      </c>
      <c r="F26" s="137">
        <v>98</v>
      </c>
      <c r="G26" s="184">
        <f t="shared" si="0"/>
        <v>6.0554673847449836E-2</v>
      </c>
      <c r="H26" s="180">
        <f t="shared" si="1"/>
        <v>1.3417305585980284</v>
      </c>
      <c r="I26" s="139">
        <v>0.01</v>
      </c>
      <c r="J26" s="123" t="s">
        <v>96</v>
      </c>
      <c r="K26" s="123" t="s">
        <v>98</v>
      </c>
      <c r="L26" s="130">
        <v>0.35</v>
      </c>
      <c r="M26" s="130">
        <v>0.12</v>
      </c>
      <c r="N26" s="128">
        <v>0.3</v>
      </c>
      <c r="O26" s="128">
        <v>0.3</v>
      </c>
      <c r="P26" s="128">
        <v>0.5</v>
      </c>
      <c r="Q26" s="141">
        <v>0.49</v>
      </c>
      <c r="R26" s="129" t="s">
        <v>101</v>
      </c>
      <c r="S26" s="123" t="s">
        <v>94</v>
      </c>
      <c r="T26" s="147">
        <v>44685</v>
      </c>
    </row>
    <row r="27" spans="1:20" ht="17.100000000000001" customHeight="1" x14ac:dyDescent="0.25">
      <c r="A27" s="192" t="str" cm="1">
        <f t="array" ref="A27">_FV(B27,"Ticker symbol",TRUE)</f>
        <v>1830</v>
      </c>
      <c r="B27" s="115" t="e" vm="25">
        <v>#VALUE!</v>
      </c>
      <c r="C27" s="116" t="str" cm="1">
        <f t="array" ref="C27">_FV(B27,"Industry")</f>
        <v>Personal &amp; Household Products &amp; Services</v>
      </c>
      <c r="D27" s="176"/>
      <c r="E27" s="117" cm="1">
        <f t="array" ref="E27">_FV(B27,"Price")</f>
        <v>4.4800000000000004</v>
      </c>
      <c r="F27" s="137">
        <v>6</v>
      </c>
      <c r="G27" s="184">
        <f t="shared" si="0"/>
        <v>6.0167892317174232E-2</v>
      </c>
      <c r="H27" s="179">
        <f t="shared" si="1"/>
        <v>1.3392857142857142</v>
      </c>
      <c r="I27" s="139"/>
      <c r="J27" s="121" t="s">
        <v>93</v>
      </c>
      <c r="K27" s="121" t="s">
        <v>99</v>
      </c>
      <c r="L27" s="124"/>
      <c r="M27" s="128">
        <v>0.26</v>
      </c>
      <c r="N27" s="128">
        <v>0.3</v>
      </c>
      <c r="O27" s="128"/>
      <c r="P27" s="128">
        <v>0.25</v>
      </c>
      <c r="Q27" s="128">
        <v>0.32</v>
      </c>
      <c r="R27" s="123" t="s">
        <v>97</v>
      </c>
      <c r="S27" s="129" t="s">
        <v>103</v>
      </c>
      <c r="T27" s="147">
        <v>44671</v>
      </c>
    </row>
    <row r="28" spans="1:20" ht="17.100000000000001" customHeight="1" x14ac:dyDescent="0.25">
      <c r="A28" s="192" t="str" cm="1">
        <f t="array" ref="A28">_FV(B28,"Ticker symbol",TRUE)</f>
        <v>SPGI</v>
      </c>
      <c r="B28" s="115" t="e" vm="26">
        <v>#VALUE!</v>
      </c>
      <c r="C28" s="116" t="str" cm="1">
        <f t="array" ref="C28">_FV(B28,"Industry")</f>
        <v>Professional &amp; Commercial Services</v>
      </c>
      <c r="D28" s="176"/>
      <c r="E28" s="117" cm="1">
        <f t="array" ref="E28">_FV(B28,"Price")</f>
        <v>366.38</v>
      </c>
      <c r="F28" s="137">
        <v>471</v>
      </c>
      <c r="G28" s="184">
        <f t="shared" si="0"/>
        <v>5.1520707825783774E-2</v>
      </c>
      <c r="H28" s="180">
        <f t="shared" si="1"/>
        <v>1.2855505213166658</v>
      </c>
      <c r="I28" s="136">
        <v>0.03</v>
      </c>
      <c r="J28" s="123" t="s">
        <v>96</v>
      </c>
      <c r="K28" s="123" t="s">
        <v>98</v>
      </c>
      <c r="L28" s="168">
        <v>0.73</v>
      </c>
      <c r="M28" s="128">
        <v>0.36</v>
      </c>
      <c r="N28" s="127">
        <v>0.1</v>
      </c>
      <c r="O28" s="132">
        <v>0.24</v>
      </c>
      <c r="P28" s="132">
        <v>0.2</v>
      </c>
      <c r="Q28" s="128">
        <v>0.36</v>
      </c>
      <c r="R28" s="123" t="s">
        <v>97</v>
      </c>
      <c r="S28" s="126"/>
      <c r="T28" s="147">
        <v>44694</v>
      </c>
    </row>
    <row r="29" spans="1:20" ht="17.100000000000001" customHeight="1" x14ac:dyDescent="0.25">
      <c r="A29" s="192" t="str" cm="1">
        <f t="array" ref="A29">_FV(B29,"Ticker symbol",TRUE)</f>
        <v>FLEX</v>
      </c>
      <c r="B29" s="115" t="e" vm="27">
        <v>#VALUE!</v>
      </c>
      <c r="C29" s="116" t="str" cm="1">
        <f t="array" ref="C29">_FV(B29,"Industry")</f>
        <v>Electronic Equipment &amp; Parts</v>
      </c>
      <c r="D29" s="176"/>
      <c r="E29" s="117" cm="1">
        <f t="array" ref="E29">_FV(B29,"Price")</f>
        <v>24.03</v>
      </c>
      <c r="F29" s="137">
        <v>29</v>
      </c>
      <c r="G29" s="184">
        <f t="shared" si="0"/>
        <v>3.8314324195243499E-2</v>
      </c>
      <c r="H29" s="181">
        <f t="shared" si="1"/>
        <v>1.2068248023304202</v>
      </c>
      <c r="I29" s="135"/>
      <c r="J29" s="126" t="s">
        <v>95</v>
      </c>
      <c r="K29" s="126" t="s">
        <v>95</v>
      </c>
      <c r="L29" s="126"/>
      <c r="M29" s="175">
        <v>2.5000000000000001E-2</v>
      </c>
      <c r="N29" s="175">
        <v>-3.5000000000000001E-3</v>
      </c>
      <c r="O29" s="125"/>
      <c r="P29" s="128">
        <v>5.9993999999999996</v>
      </c>
      <c r="Q29" s="172">
        <v>9.2999999999999999E-2</v>
      </c>
      <c r="R29" s="126" t="s">
        <v>102</v>
      </c>
      <c r="S29" s="129" t="s">
        <v>103</v>
      </c>
      <c r="T29" s="149">
        <v>44584</v>
      </c>
    </row>
    <row r="30" spans="1:20" ht="17.100000000000001" customHeight="1" x14ac:dyDescent="0.25">
      <c r="A30" s="192" t="str" cm="1">
        <f t="array" ref="A30">_FV(B30,"Ticker symbol",TRUE)</f>
        <v>MTCH</v>
      </c>
      <c r="B30" s="115" t="e" vm="28">
        <v>#VALUE!</v>
      </c>
      <c r="C30" s="116" t="str" cm="1">
        <f t="array" ref="C30">_FV(B30,"Industry")</f>
        <v>Software &amp; IT Services</v>
      </c>
      <c r="D30" s="176"/>
      <c r="E30" s="117" cm="1">
        <f t="array" ref="E30">_FV(B30,"Price")</f>
        <v>46.13</v>
      </c>
      <c r="F30" s="137">
        <v>46</v>
      </c>
      <c r="G30" s="184">
        <f t="shared" si="0"/>
        <v>-5.6426096100037348E-4</v>
      </c>
      <c r="H30" s="181">
        <f t="shared" si="1"/>
        <v>0.99718187730327335</v>
      </c>
      <c r="I30" s="136"/>
      <c r="J30" s="123" t="s">
        <v>96</v>
      </c>
      <c r="K30" s="123" t="s">
        <v>98</v>
      </c>
      <c r="L30" s="123"/>
      <c r="M30" s="130">
        <v>9.2999999999999999E-2</v>
      </c>
      <c r="N30" s="138">
        <v>0.24759999999999999</v>
      </c>
      <c r="O30" s="128"/>
      <c r="P30" s="132">
        <v>1.1601999999999999</v>
      </c>
      <c r="Q30" s="131">
        <v>0.108</v>
      </c>
      <c r="R30" s="129" t="s">
        <v>101</v>
      </c>
      <c r="S30" s="126" t="s">
        <v>95</v>
      </c>
      <c r="T30" s="149">
        <v>44631</v>
      </c>
    </row>
    <row r="31" spans="1:20" ht="17.100000000000001" customHeight="1" x14ac:dyDescent="0.25">
      <c r="A31" s="192" t="str" cm="1">
        <f t="array" ref="A31">_FV(B31,"Ticker symbol",TRUE)</f>
        <v>GMWKF</v>
      </c>
      <c r="B31" s="115" t="e" vm="29">
        <v>#VALUE!</v>
      </c>
      <c r="C31" s="116" t="str" cm="1">
        <f t="array" ref="C31">_FV(B31,"Industry")</f>
        <v>Leisure Products</v>
      </c>
      <c r="D31" s="176"/>
      <c r="E31" s="117" cm="1">
        <f t="array" ref="E31">_FV(B31,"Price")</f>
        <v>114.5</v>
      </c>
      <c r="F31" s="137">
        <v>101</v>
      </c>
      <c r="G31" s="184">
        <f t="shared" si="0"/>
        <v>-2.4778701804655467E-2</v>
      </c>
      <c r="H31" s="181">
        <f t="shared" si="1"/>
        <v>0.88209606986899558</v>
      </c>
      <c r="I31" s="169"/>
      <c r="J31" s="123" t="s">
        <v>96</v>
      </c>
      <c r="K31" s="123" t="s">
        <v>98</v>
      </c>
      <c r="L31" s="123"/>
      <c r="M31" s="128">
        <v>0.33</v>
      </c>
      <c r="N31" s="128">
        <v>0.3</v>
      </c>
      <c r="O31" s="128"/>
      <c r="P31" s="132">
        <v>0.6</v>
      </c>
      <c r="Q31" s="128">
        <v>0.52</v>
      </c>
      <c r="R31" s="123" t="s">
        <v>97</v>
      </c>
      <c r="S31" s="123" t="s">
        <v>94</v>
      </c>
      <c r="T31" s="149">
        <v>44583</v>
      </c>
    </row>
    <row r="32" spans="1:20" ht="17.100000000000001" customHeight="1" x14ac:dyDescent="0.25">
      <c r="A32" s="192" t="str" cm="1">
        <f t="array" ref="A32">_FV(B32,"Ticker symbol",TRUE)</f>
        <v>MAD</v>
      </c>
      <c r="B32" s="115" t="e" vm="30">
        <v>#VALUE!</v>
      </c>
      <c r="C32" s="116" t="str" cm="1">
        <f t="array" ref="C32">_FV(B32,"Industry")</f>
        <v>Professional &amp; Commercial Services</v>
      </c>
      <c r="D32" s="176"/>
      <c r="E32" s="117" cm="1">
        <f t="array" ref="E32">_FV(B32,"Price")</f>
        <v>3.69</v>
      </c>
      <c r="F32" s="137">
        <v>3</v>
      </c>
      <c r="G32" s="184">
        <f t="shared" si="0"/>
        <v>-4.0557443874002841E-2</v>
      </c>
      <c r="H32" s="181">
        <f t="shared" si="1"/>
        <v>0.81300813008130079</v>
      </c>
      <c r="I32" s="169"/>
      <c r="J32" s="123" t="s">
        <v>96</v>
      </c>
      <c r="K32" s="126" t="s">
        <v>95</v>
      </c>
      <c r="L32" s="126"/>
      <c r="M32" s="125">
        <v>0.03</v>
      </c>
      <c r="N32" s="128">
        <v>0.3</v>
      </c>
      <c r="O32" s="128"/>
      <c r="P32" s="132">
        <v>0.2</v>
      </c>
      <c r="Q32" s="138">
        <v>0.25</v>
      </c>
      <c r="R32" s="126" t="s">
        <v>102</v>
      </c>
      <c r="S32" s="178" t="s">
        <v>94</v>
      </c>
      <c r="T32" s="149">
        <v>44653</v>
      </c>
    </row>
    <row r="33" spans="1:20" ht="17.100000000000001" customHeight="1" x14ac:dyDescent="0.25">
      <c r="A33" s="194" t="str" cm="1">
        <f t="array" ref="A33">_FV(B33,"Ticker symbol",TRUE)</f>
        <v>DOCS</v>
      </c>
      <c r="B33" s="156" t="e" vm="31">
        <v>#VALUE!</v>
      </c>
      <c r="C33" s="156" t="str" cm="1">
        <f t="array" ref="C33">_FV(B33,"Industry")</f>
        <v>Textiles &amp; Apparel</v>
      </c>
      <c r="D33" s="195"/>
      <c r="E33" s="157" cm="1">
        <f t="array" ref="E33">_FV(B33,"Price")/100</f>
        <v>2.1</v>
      </c>
      <c r="F33" s="158"/>
      <c r="G33" s="182">
        <f t="shared" si="0"/>
        <v>-1</v>
      </c>
      <c r="H33" s="181">
        <f t="shared" si="1"/>
        <v>0</v>
      </c>
      <c r="I33" s="140"/>
      <c r="J33" s="124" t="s">
        <v>99</v>
      </c>
      <c r="K33" s="123" t="s">
        <v>98</v>
      </c>
      <c r="L33" s="123"/>
      <c r="M33" s="123"/>
      <c r="N33" s="159"/>
      <c r="O33" s="159"/>
      <c r="P33" s="160"/>
      <c r="Q33" s="159"/>
      <c r="R33" s="159"/>
      <c r="S33" s="161"/>
      <c r="T33" s="148">
        <v>44677</v>
      </c>
    </row>
    <row r="34" spans="1:20" ht="15.75" x14ac:dyDescent="0.25">
      <c r="A34" s="151" t="s">
        <v>127</v>
      </c>
      <c r="B34" s="152">
        <f>SUBTOTAL(103,Tabla1[Nombre])</f>
        <v>32</v>
      </c>
      <c r="C34" s="152"/>
      <c r="D34" s="152"/>
      <c r="E34" s="153"/>
      <c r="F34" s="154"/>
      <c r="G34" s="154"/>
      <c r="H34" s="155">
        <f>MEDIAN(H2:H33)</f>
        <v>2.553824170038963</v>
      </c>
      <c r="I34" s="162">
        <f>SUBTOTAL(101,Tabla1[FCF Yield])</f>
        <v>4.5999999999999999E-2</v>
      </c>
      <c r="J34" s="165"/>
      <c r="K34" s="163"/>
      <c r="L34" s="170">
        <f>SUBTOTAL(101,Tabla1[M. Bruto])</f>
        <v>0.73142857142857132</v>
      </c>
      <c r="M34" s="166">
        <f>SUBTOTAL(101,Tabla1[M. Neto])</f>
        <v>-0.48324137931034505</v>
      </c>
      <c r="N34" s="164">
        <f>SUBTOTAL(101,Tabla1[Δ Rev.])</f>
        <v>0.56784482758620691</v>
      </c>
      <c r="O34" s="164">
        <f>SUBTOTAL(101,Tabla1[Δ FCF])</f>
        <v>0.18666666666666668</v>
      </c>
      <c r="P34" s="164">
        <f>SUBTOTAL(101,Tabla1[Δ EPS])</f>
        <v>0.62870357142857147</v>
      </c>
      <c r="Q34" s="166">
        <f>SUBTOTAL(101,Tabla1[CFROIC])</f>
        <v>0.27494137931034485</v>
      </c>
      <c r="R34" s="165"/>
      <c r="S34" s="167"/>
      <c r="T34" s="150">
        <f>SUBTOTAL(105,Tabla1[Last Modified])</f>
        <v>44199</v>
      </c>
    </row>
  </sheetData>
  <conditionalFormatting sqref="H35:H36 H1:H33 H38:H1048576">
    <cfRule type="colorScale" priority="2">
      <colorScale>
        <cfvo type="min"/>
        <cfvo type="percentile" val="50"/>
        <cfvo type="max"/>
        <color rgb="FFF8696B"/>
        <color rgb="FFFFEB84"/>
        <color rgb="FF63BE7B"/>
      </colorScale>
    </cfRule>
  </conditionalFormatting>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073C9-0840-4417-B1DE-07BD902CB29A}">
  <sheetPr codeName="Hoja2"/>
  <dimension ref="F2:Q38"/>
  <sheetViews>
    <sheetView workbookViewId="0">
      <selection activeCell="I5" sqref="I5"/>
    </sheetView>
  </sheetViews>
  <sheetFormatPr baseColWidth="10" defaultRowHeight="15" x14ac:dyDescent="0.25"/>
  <cols>
    <col min="1" max="5" width="11.42578125" style="8"/>
    <col min="6" max="6" width="11.42578125" style="8" customWidth="1"/>
    <col min="7" max="7" width="2.28515625" style="8" customWidth="1"/>
    <col min="8" max="8" width="19.42578125" style="8" bestFit="1" customWidth="1"/>
    <col min="9" max="15" width="11.42578125" style="8"/>
    <col min="16" max="16" width="21.5703125" style="8" customWidth="1"/>
    <col min="17" max="17" width="2.140625" style="8" customWidth="1"/>
    <col min="18" max="16384" width="11.42578125" style="8"/>
  </cols>
  <sheetData>
    <row r="2" spans="6:17" x14ac:dyDescent="0.25">
      <c r="G2" s="91"/>
      <c r="H2" s="57"/>
      <c r="I2" s="57"/>
      <c r="J2" s="57"/>
      <c r="K2" s="57"/>
      <c r="L2" s="57"/>
      <c r="M2" s="57"/>
      <c r="N2" s="57"/>
      <c r="O2" s="57"/>
      <c r="P2" s="57"/>
      <c r="Q2" s="59"/>
    </row>
    <row r="3" spans="6:17" x14ac:dyDescent="0.25">
      <c r="G3" s="37"/>
      <c r="H3" s="92" t="s">
        <v>68</v>
      </c>
      <c r="I3" s="92" t="s">
        <v>71</v>
      </c>
      <c r="J3" s="92"/>
      <c r="K3" s="92"/>
      <c r="L3" s="92"/>
      <c r="M3" s="92"/>
      <c r="N3" s="92"/>
      <c r="O3" s="92"/>
      <c r="P3" s="92"/>
      <c r="Q3" s="38"/>
    </row>
    <row r="4" spans="6:17" x14ac:dyDescent="0.25">
      <c r="G4" s="37"/>
      <c r="H4" s="92" t="s">
        <v>69</v>
      </c>
      <c r="I4" s="92" t="s">
        <v>70</v>
      </c>
      <c r="J4" s="92"/>
      <c r="K4" s="92"/>
      <c r="L4" s="92"/>
      <c r="M4" s="92"/>
      <c r="N4" s="92"/>
      <c r="O4" s="92"/>
      <c r="P4" s="92"/>
      <c r="Q4" s="38"/>
    </row>
    <row r="5" spans="6:17" x14ac:dyDescent="0.25">
      <c r="G5" s="37"/>
      <c r="H5" s="92" t="s">
        <v>72</v>
      </c>
      <c r="I5" s="92" t="s">
        <v>73</v>
      </c>
      <c r="J5" s="92"/>
      <c r="K5" s="92"/>
      <c r="L5" s="92"/>
      <c r="M5" s="92"/>
      <c r="N5" s="92"/>
      <c r="O5" s="92"/>
      <c r="P5" s="92"/>
      <c r="Q5" s="38"/>
    </row>
    <row r="6" spans="6:17" x14ac:dyDescent="0.25">
      <c r="G6" s="37"/>
      <c r="H6" s="92" t="s">
        <v>74</v>
      </c>
      <c r="I6" s="92" t="s">
        <v>75</v>
      </c>
      <c r="J6" s="92"/>
      <c r="K6" s="92"/>
      <c r="L6" s="92"/>
      <c r="M6" s="92"/>
      <c r="N6" s="92"/>
      <c r="O6" s="92"/>
      <c r="P6" s="92"/>
      <c r="Q6" s="38"/>
    </row>
    <row r="7" spans="6:17" x14ac:dyDescent="0.25">
      <c r="G7" s="37"/>
      <c r="H7" s="92" t="s">
        <v>78</v>
      </c>
      <c r="I7" s="92" t="s">
        <v>79</v>
      </c>
      <c r="J7" s="92"/>
      <c r="K7" s="92"/>
      <c r="L7" s="92"/>
      <c r="M7" s="92"/>
      <c r="N7" s="92"/>
      <c r="O7" s="92"/>
      <c r="P7" s="92"/>
      <c r="Q7" s="38"/>
    </row>
    <row r="8" spans="6:17" x14ac:dyDescent="0.25">
      <c r="F8" s="90"/>
      <c r="G8" s="37"/>
      <c r="H8" s="92"/>
      <c r="I8" s="92"/>
      <c r="J8" s="92"/>
      <c r="K8" s="92"/>
      <c r="L8" s="92"/>
      <c r="M8" s="92"/>
      <c r="N8" s="92"/>
      <c r="O8" s="92"/>
      <c r="P8" s="92"/>
      <c r="Q8" s="38"/>
    </row>
    <row r="9" spans="6:17" x14ac:dyDescent="0.25">
      <c r="G9" s="37"/>
      <c r="H9" s="92"/>
      <c r="I9" s="92"/>
      <c r="J9" s="92"/>
      <c r="K9" s="92"/>
      <c r="L9" s="92"/>
      <c r="M9" s="92"/>
      <c r="N9" s="92"/>
      <c r="O9" s="92"/>
      <c r="P9" s="92"/>
      <c r="Q9" s="38"/>
    </row>
    <row r="10" spans="6:17" x14ac:dyDescent="0.25">
      <c r="G10" s="37"/>
      <c r="H10" s="92"/>
      <c r="I10" s="92"/>
      <c r="J10" s="92"/>
      <c r="K10" s="92"/>
      <c r="L10" s="92"/>
      <c r="M10" s="92"/>
      <c r="N10" s="92"/>
      <c r="O10" s="92"/>
      <c r="P10" s="92"/>
      <c r="Q10" s="38"/>
    </row>
    <row r="11" spans="6:17" x14ac:dyDescent="0.25">
      <c r="G11" s="37"/>
      <c r="H11" s="92"/>
      <c r="I11" s="92"/>
      <c r="J11" s="92"/>
      <c r="K11" s="92"/>
      <c r="L11" s="92"/>
      <c r="M11" s="92"/>
      <c r="N11" s="92"/>
      <c r="O11" s="92"/>
      <c r="P11" s="92"/>
      <c r="Q11" s="38"/>
    </row>
    <row r="12" spans="6:17" x14ac:dyDescent="0.25">
      <c r="G12" s="37"/>
      <c r="H12" s="92"/>
      <c r="I12" s="92"/>
      <c r="J12" s="92"/>
      <c r="K12" s="92"/>
      <c r="L12" s="92"/>
      <c r="M12" s="92"/>
      <c r="N12" s="92"/>
      <c r="O12" s="92"/>
      <c r="P12" s="92"/>
      <c r="Q12" s="38"/>
    </row>
    <row r="13" spans="6:17" x14ac:dyDescent="0.25">
      <c r="G13" s="37"/>
      <c r="H13" s="92"/>
      <c r="I13" s="92"/>
      <c r="J13" s="92"/>
      <c r="K13" s="92"/>
      <c r="L13" s="92"/>
      <c r="M13" s="92"/>
      <c r="N13" s="92"/>
      <c r="O13" s="92"/>
      <c r="P13" s="92"/>
      <c r="Q13" s="38"/>
    </row>
    <row r="14" spans="6:17" x14ac:dyDescent="0.25">
      <c r="G14" s="37"/>
      <c r="H14" s="92"/>
      <c r="I14" s="92"/>
      <c r="J14" s="92"/>
      <c r="K14" s="92"/>
      <c r="L14" s="92"/>
      <c r="M14" s="92"/>
      <c r="N14" s="92"/>
      <c r="O14" s="92"/>
      <c r="P14" s="92"/>
      <c r="Q14" s="38"/>
    </row>
    <row r="15" spans="6:17" x14ac:dyDescent="0.25">
      <c r="G15" s="37"/>
      <c r="H15" s="92"/>
      <c r="I15" s="92"/>
      <c r="J15" s="92"/>
      <c r="K15" s="92"/>
      <c r="L15" s="92"/>
      <c r="M15" s="92"/>
      <c r="N15" s="92"/>
      <c r="O15" s="92"/>
      <c r="P15" s="92"/>
      <c r="Q15" s="38"/>
    </row>
    <row r="16" spans="6:17" x14ac:dyDescent="0.25">
      <c r="G16" s="37"/>
      <c r="H16" s="92"/>
      <c r="I16" s="92"/>
      <c r="J16" s="92"/>
      <c r="K16" s="92"/>
      <c r="L16" s="92"/>
      <c r="M16" s="92"/>
      <c r="N16" s="92"/>
      <c r="O16" s="92"/>
      <c r="P16" s="92"/>
      <c r="Q16" s="38"/>
    </row>
    <row r="17" spans="7:17" x14ac:dyDescent="0.25">
      <c r="G17" s="37"/>
      <c r="H17" s="92"/>
      <c r="I17" s="92"/>
      <c r="J17" s="92"/>
      <c r="K17" s="92"/>
      <c r="L17" s="92"/>
      <c r="M17" s="92"/>
      <c r="N17" s="92"/>
      <c r="O17" s="92"/>
      <c r="P17" s="92"/>
      <c r="Q17" s="38"/>
    </row>
    <row r="18" spans="7:17" x14ac:dyDescent="0.25">
      <c r="G18" s="37"/>
      <c r="Q18" s="38"/>
    </row>
    <row r="19" spans="7:17" x14ac:dyDescent="0.25">
      <c r="G19" s="37"/>
      <c r="Q19" s="38"/>
    </row>
    <row r="20" spans="7:17" x14ac:dyDescent="0.25">
      <c r="G20" s="37"/>
      <c r="Q20" s="38"/>
    </row>
    <row r="21" spans="7:17" x14ac:dyDescent="0.25">
      <c r="G21" s="37"/>
      <c r="Q21" s="38"/>
    </row>
    <row r="22" spans="7:17" x14ac:dyDescent="0.25">
      <c r="G22" s="37"/>
      <c r="Q22" s="38"/>
    </row>
    <row r="23" spans="7:17" x14ac:dyDescent="0.25">
      <c r="G23" s="37"/>
      <c r="Q23" s="38"/>
    </row>
    <row r="24" spans="7:17" x14ac:dyDescent="0.25">
      <c r="G24" s="37"/>
      <c r="Q24" s="38"/>
    </row>
    <row r="25" spans="7:17" x14ac:dyDescent="0.25">
      <c r="G25" s="37"/>
      <c r="Q25" s="38"/>
    </row>
    <row r="26" spans="7:17" x14ac:dyDescent="0.25">
      <c r="G26" s="37"/>
      <c r="Q26" s="38"/>
    </row>
    <row r="27" spans="7:17" x14ac:dyDescent="0.25">
      <c r="G27" s="37"/>
      <c r="Q27" s="38"/>
    </row>
    <row r="28" spans="7:17" x14ac:dyDescent="0.25">
      <c r="G28" s="37"/>
      <c r="Q28" s="38"/>
    </row>
    <row r="29" spans="7:17" x14ac:dyDescent="0.25">
      <c r="G29" s="37"/>
      <c r="Q29" s="38"/>
    </row>
    <row r="30" spans="7:17" x14ac:dyDescent="0.25">
      <c r="G30" s="37"/>
      <c r="Q30" s="38"/>
    </row>
    <row r="31" spans="7:17" x14ac:dyDescent="0.25">
      <c r="G31" s="37"/>
      <c r="Q31" s="38"/>
    </row>
    <row r="32" spans="7:17" x14ac:dyDescent="0.25">
      <c r="G32" s="37"/>
      <c r="Q32" s="38"/>
    </row>
    <row r="33" spans="7:17" x14ac:dyDescent="0.25">
      <c r="G33" s="37"/>
      <c r="Q33" s="38"/>
    </row>
    <row r="34" spans="7:17" x14ac:dyDescent="0.25">
      <c r="G34" s="37"/>
      <c r="Q34" s="38"/>
    </row>
    <row r="35" spans="7:17" x14ac:dyDescent="0.25">
      <c r="G35" s="37"/>
      <c r="Q35" s="38"/>
    </row>
    <row r="36" spans="7:17" x14ac:dyDescent="0.25">
      <c r="G36" s="37"/>
      <c r="Q36" s="38"/>
    </row>
    <row r="37" spans="7:17" x14ac:dyDescent="0.25">
      <c r="G37" s="37"/>
      <c r="Q37" s="38"/>
    </row>
    <row r="38" spans="7:17" x14ac:dyDescent="0.25">
      <c r="G38" s="39"/>
      <c r="H38" s="40"/>
      <c r="I38" s="40"/>
      <c r="J38" s="40"/>
      <c r="K38" s="40"/>
      <c r="L38" s="40"/>
      <c r="M38" s="40"/>
      <c r="N38" s="40"/>
      <c r="O38" s="40"/>
      <c r="P38" s="40"/>
      <c r="Q38" s="4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C78D3-4F4A-4EFD-9AC2-10B5A7065E61}">
  <sheetPr codeName="Hoja3"/>
  <dimension ref="A1:P5"/>
  <sheetViews>
    <sheetView workbookViewId="0">
      <selection activeCell="B4" sqref="B4"/>
    </sheetView>
  </sheetViews>
  <sheetFormatPr baseColWidth="10" defaultColWidth="9.140625" defaultRowHeight="15" x14ac:dyDescent="0.25"/>
  <cols>
    <col min="1" max="2" width="12" bestFit="1" customWidth="1"/>
  </cols>
  <sheetData>
    <row r="1" spans="1:16" x14ac:dyDescent="0.25">
      <c r="A1" t="s">
        <v>19</v>
      </c>
      <c r="B1" s="1">
        <v>1000000</v>
      </c>
      <c r="M1" s="105"/>
      <c r="N1" s="106"/>
      <c r="O1" s="106"/>
      <c r="P1" s="107"/>
    </row>
    <row r="2" spans="1:16" x14ac:dyDescent="0.25">
      <c r="B2" s="31"/>
      <c r="M2" s="108"/>
      <c r="N2" s="104"/>
      <c r="O2" s="104"/>
      <c r="P2" s="109"/>
    </row>
    <row r="3" spans="1:16" x14ac:dyDescent="0.25">
      <c r="A3" t="s">
        <v>41</v>
      </c>
      <c r="B3">
        <v>23.460999999999999</v>
      </c>
      <c r="M3" s="108"/>
      <c r="N3" s="104"/>
      <c r="O3" s="104"/>
      <c r="P3" s="109"/>
    </row>
    <row r="4" spans="1:16" x14ac:dyDescent="0.25">
      <c r="B4" s="93"/>
      <c r="M4" s="108"/>
      <c r="N4" s="104"/>
      <c r="O4" s="104"/>
      <c r="P4" s="109"/>
    </row>
    <row r="5" spans="1:16" ht="15.75" thickBot="1" x14ac:dyDescent="0.3">
      <c r="M5" s="110"/>
      <c r="N5" s="111"/>
      <c r="O5" s="111"/>
      <c r="P5" s="1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lear_dump">
                <anchor moveWithCells="1" sizeWithCells="1">
                  <from>
                    <xdr:col>12</xdr:col>
                    <xdr:colOff>381000</xdr:colOff>
                    <xdr:row>1</xdr:row>
                    <xdr:rowOff>0</xdr:rowOff>
                  </from>
                  <to>
                    <xdr:col>15</xdr:col>
                    <xdr:colOff>85725</xdr:colOff>
                    <xdr:row>3</xdr:row>
                    <xdr:rowOff>171450</xdr:rowOff>
                  </to>
                </anchor>
              </controlPr>
            </control>
          </mc:Choice>
        </mc:AlternateContent>
        <mc:AlternateContent xmlns:mc="http://schemas.openxmlformats.org/markup-compatibility/2006">
          <mc:Choice Requires="x14">
            <control shapeId="3074" r:id="rId5" name="Button 2">
              <controlPr defaultSize="0" print="0" autoFill="0" autoPict="0" macro="[0]!save_file">
                <anchor moveWithCells="1" sizeWithCells="1">
                  <from>
                    <xdr:col>16</xdr:col>
                    <xdr:colOff>514350</xdr:colOff>
                    <xdr:row>0</xdr:row>
                    <xdr:rowOff>104775</xdr:rowOff>
                  </from>
                  <to>
                    <xdr:col>19</xdr:col>
                    <xdr:colOff>457200</xdr:colOff>
                    <xdr:row>4</xdr:row>
                    <xdr:rowOff>66675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EE10E-7495-41AE-A723-126470A1D59C}">
  <sheetPr codeName="Hoja4"/>
  <dimension ref="A27:A93"/>
  <sheetViews>
    <sheetView topLeftCell="A61" workbookViewId="0">
      <selection activeCell="G53" sqref="G53"/>
    </sheetView>
  </sheetViews>
  <sheetFormatPr baseColWidth="10" defaultColWidth="9.140625" defaultRowHeight="15" x14ac:dyDescent="0.25"/>
  <cols>
    <col min="1" max="1" width="43.140625" bestFit="1" customWidth="1"/>
    <col min="12" max="12" width="12" bestFit="1" customWidth="1"/>
  </cols>
  <sheetData>
    <row r="27" s="80" customFormat="1" x14ac:dyDescent="0.25"/>
    <row r="65" s="80" customFormat="1" x14ac:dyDescent="0.25"/>
    <row r="93" s="80" customFormat="1" x14ac:dyDescent="0.25"/>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50652-9312-4958-804D-0A571A73AC46}">
  <sheetPr codeName="Hoja5"/>
  <dimension ref="A1:AL104"/>
  <sheetViews>
    <sheetView workbookViewId="0">
      <selection sqref="A1:N104"/>
    </sheetView>
  </sheetViews>
  <sheetFormatPr baseColWidth="10" defaultColWidth="9.140625" defaultRowHeight="15" x14ac:dyDescent="0.25"/>
  <cols>
    <col min="1" max="1" width="43.140625" bestFit="1" customWidth="1"/>
    <col min="2" max="9" width="11" bestFit="1" customWidth="1"/>
    <col min="10" max="10" width="11.7109375" bestFit="1" customWidth="1"/>
    <col min="11" max="12" width="12" bestFit="1" customWidth="1"/>
    <col min="13" max="13" width="12.140625" bestFit="1" customWidth="1"/>
    <col min="14" max="14" width="12" bestFit="1" customWidth="1"/>
    <col min="15" max="33" width="12.7109375" bestFit="1" customWidth="1"/>
    <col min="34" max="34" width="12" bestFit="1" customWidth="1"/>
    <col min="35" max="37" width="12.7109375" bestFit="1" customWidth="1"/>
  </cols>
  <sheetData>
    <row r="1" spans="1:38" x14ac:dyDescent="0.25">
      <c r="A1" s="44"/>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row>
    <row r="2" spans="1:38"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row>
    <row r="3" spans="1:38"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row>
    <row r="4" spans="1:38" x14ac:dyDescent="0.25">
      <c r="A4" s="45"/>
      <c r="B4" s="45"/>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row>
    <row r="5" spans="1:38" x14ac:dyDescent="0.25">
      <c r="A5" s="45"/>
      <c r="B5" s="45"/>
      <c r="C5" s="45"/>
      <c r="D5" s="45"/>
      <c r="E5" s="45"/>
      <c r="F5" s="45"/>
      <c r="G5" s="45"/>
      <c r="H5" s="45"/>
      <c r="I5" s="45"/>
      <c r="J5" s="45"/>
      <c r="K5" s="45"/>
      <c r="L5" s="45"/>
      <c r="M5" s="45"/>
      <c r="N5" s="45"/>
      <c r="O5" s="45"/>
      <c r="P5" s="45"/>
      <c r="Q5" s="45"/>
      <c r="R5" s="45"/>
      <c r="S5" s="45"/>
      <c r="T5" s="45"/>
      <c r="U5" s="45"/>
      <c r="V5" s="45"/>
      <c r="W5" s="45"/>
      <c r="X5" s="45"/>
      <c r="Y5" s="45"/>
      <c r="Z5" s="45"/>
      <c r="AA5" s="45"/>
      <c r="AB5" s="45"/>
      <c r="AC5" s="45"/>
      <c r="AD5" s="45"/>
      <c r="AE5" s="45"/>
      <c r="AF5" s="45"/>
      <c r="AG5" s="45"/>
      <c r="AH5" s="45"/>
      <c r="AI5" s="45"/>
      <c r="AJ5" s="45"/>
      <c r="AK5" s="45"/>
      <c r="AL5" s="45"/>
    </row>
    <row r="6" spans="1:38" x14ac:dyDescent="0.25">
      <c r="A6" s="45"/>
      <c r="B6" s="45"/>
      <c r="C6" s="45"/>
      <c r="D6" s="45"/>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row>
    <row r="7" spans="1:38" x14ac:dyDescent="0.25">
      <c r="A7" s="45"/>
      <c r="B7" s="45"/>
      <c r="C7" s="45"/>
      <c r="D7" s="45"/>
      <c r="E7" s="45"/>
      <c r="F7" s="45"/>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row>
    <row r="8" spans="1:38"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row>
    <row r="9" spans="1:38" x14ac:dyDescent="0.25">
      <c r="A9" s="45"/>
      <c r="B9" s="45"/>
      <c r="C9" s="45"/>
      <c r="D9" s="45"/>
      <c r="E9" s="45"/>
      <c r="F9" s="45"/>
      <c r="G9" s="45"/>
      <c r="H9" s="45"/>
      <c r="I9" s="45"/>
      <c r="J9" s="45"/>
      <c r="K9" s="45"/>
      <c r="L9" s="45"/>
      <c r="M9" s="45"/>
      <c r="N9" s="45"/>
      <c r="O9" s="45"/>
      <c r="P9" s="45"/>
      <c r="Q9" s="45"/>
      <c r="R9" s="45"/>
      <c r="S9" s="45"/>
      <c r="T9" s="45"/>
      <c r="U9" s="45"/>
      <c r="V9" s="45"/>
      <c r="W9" s="45"/>
      <c r="X9" s="45"/>
      <c r="Y9" s="45"/>
      <c r="Z9" s="45"/>
      <c r="AA9" s="45"/>
      <c r="AB9" s="45"/>
      <c r="AC9" s="45"/>
      <c r="AD9" s="45"/>
      <c r="AE9" s="45"/>
      <c r="AF9" s="45"/>
      <c r="AG9" s="45"/>
      <c r="AH9" s="45"/>
      <c r="AI9" s="45"/>
      <c r="AJ9" s="45"/>
      <c r="AK9" s="45"/>
      <c r="AL9" s="45"/>
    </row>
    <row r="10" spans="1:38"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row>
    <row r="11" spans="1:38" x14ac:dyDescent="0.25">
      <c r="A11" s="45"/>
      <c r="B11" s="45"/>
      <c r="C11" s="45"/>
      <c r="D11" s="45"/>
      <c r="E11" s="45"/>
      <c r="F11" s="45"/>
      <c r="G11" s="45"/>
      <c r="H11" s="45"/>
      <c r="I11" s="45"/>
      <c r="J11" s="45"/>
      <c r="K11" s="45"/>
      <c r="L11" s="45"/>
      <c r="M11" s="45"/>
      <c r="N11" s="45"/>
      <c r="O11" s="45"/>
      <c r="P11" s="45"/>
      <c r="Q11" s="45"/>
      <c r="R11" s="45"/>
      <c r="S11" s="45"/>
      <c r="T11" s="45"/>
      <c r="U11" s="45"/>
      <c r="V11" s="45"/>
      <c r="W11" s="45"/>
      <c r="X11" s="45"/>
      <c r="Y11" s="45"/>
      <c r="Z11" s="45"/>
      <c r="AA11" s="45"/>
      <c r="AB11" s="45"/>
      <c r="AC11" s="45"/>
      <c r="AD11" s="45"/>
      <c r="AE11" s="45"/>
      <c r="AF11" s="45"/>
      <c r="AG11" s="45"/>
      <c r="AH11" s="45"/>
      <c r="AI11" s="45"/>
      <c r="AJ11" s="45"/>
      <c r="AK11" s="45"/>
      <c r="AL11" s="45"/>
    </row>
    <row r="12" spans="1:38" x14ac:dyDescent="0.25">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row>
    <row r="13" spans="1:38" x14ac:dyDescent="0.25">
      <c r="A13" s="45"/>
      <c r="B13" s="45"/>
      <c r="C13" s="45"/>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row>
    <row r="14" spans="1:38" x14ac:dyDescent="0.25">
      <c r="A14" s="45"/>
      <c r="B14" s="45"/>
      <c r="C14" s="45"/>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row>
    <row r="15" spans="1:38" x14ac:dyDescent="0.25">
      <c r="A15" s="45"/>
      <c r="B15" s="45"/>
      <c r="C15" s="45"/>
      <c r="D15" s="45"/>
      <c r="E15" s="45"/>
      <c r="F15" s="45"/>
      <c r="G15" s="45"/>
      <c r="H15" s="4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row>
    <row r="16" spans="1:38" x14ac:dyDescent="0.25">
      <c r="A16" s="45"/>
      <c r="B16" s="45"/>
      <c r="C16" s="45"/>
      <c r="D16" s="45"/>
      <c r="E16" s="45"/>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row>
    <row r="17" spans="1:38"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row>
    <row r="18" spans="1:38"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row>
    <row r="19" spans="1:38"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row>
    <row r="20" spans="1:38"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row>
    <row r="21" spans="1:38"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row>
    <row r="22" spans="1:38"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row>
    <row r="23" spans="1:38"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row>
    <row r="24" spans="1:38" x14ac:dyDescent="0.25">
      <c r="A24" s="45"/>
      <c r="B24" s="45"/>
      <c r="C24" s="45"/>
      <c r="D24" s="45"/>
      <c r="E24" s="45"/>
      <c r="F24" s="45"/>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row>
    <row r="25" spans="1:38"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row>
    <row r="26" spans="1:38" x14ac:dyDescent="0.25">
      <c r="A26" s="45"/>
      <c r="B26" s="45"/>
      <c r="C26" s="45"/>
      <c r="D26" s="45"/>
      <c r="E26" s="45"/>
      <c r="F26" s="45"/>
      <c r="G26" s="45"/>
      <c r="H26" s="45"/>
      <c r="I26" s="45"/>
      <c r="J26" s="45"/>
      <c r="K26" s="45"/>
      <c r="L26" s="45"/>
      <c r="M26" s="45"/>
      <c r="N26" s="45"/>
      <c r="O26" s="45"/>
      <c r="P26" s="45"/>
      <c r="Q26" s="45"/>
      <c r="R26" s="45"/>
      <c r="S26" s="45"/>
      <c r="T26" s="45"/>
      <c r="U26" s="45"/>
      <c r="V26" s="45"/>
      <c r="W26" s="45"/>
      <c r="X26" s="45"/>
      <c r="Y26" s="45"/>
      <c r="Z26" s="45"/>
      <c r="AA26" s="45"/>
      <c r="AB26" s="45"/>
      <c r="AC26" s="45"/>
      <c r="AD26" s="45"/>
      <c r="AE26" s="45"/>
      <c r="AF26" s="45"/>
      <c r="AG26" s="45"/>
      <c r="AH26" s="45"/>
      <c r="AI26" s="45"/>
      <c r="AJ26" s="45"/>
      <c r="AK26" s="45"/>
      <c r="AL26" s="45"/>
    </row>
    <row r="27" spans="1:38" x14ac:dyDescent="0.25">
      <c r="A27" s="45"/>
      <c r="B27" s="45"/>
      <c r="C27" s="45"/>
      <c r="D27" s="45"/>
      <c r="E27" s="45"/>
      <c r="F27" s="45"/>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row>
    <row r="28" spans="1:38" x14ac:dyDescent="0.25">
      <c r="A28" s="45"/>
      <c r="B28" s="45"/>
      <c r="C28" s="45"/>
      <c r="D28" s="45"/>
      <c r="E28" s="45"/>
      <c r="F28" s="45"/>
      <c r="G28" s="45"/>
      <c r="H28" s="45"/>
      <c r="I28" s="45"/>
      <c r="J28" s="45"/>
      <c r="K28" s="45"/>
      <c r="L28" s="45"/>
      <c r="M28" s="45"/>
      <c r="N28" s="45"/>
      <c r="O28" s="45"/>
      <c r="P28" s="45"/>
      <c r="Q28" s="45"/>
      <c r="R28" s="45"/>
      <c r="S28" s="45"/>
      <c r="T28" s="45"/>
      <c r="U28" s="45"/>
      <c r="V28" s="45"/>
      <c r="W28" s="45"/>
      <c r="X28" s="45"/>
      <c r="Y28" s="45"/>
      <c r="Z28" s="45"/>
      <c r="AA28" s="45"/>
      <c r="AB28" s="45"/>
      <c r="AC28" s="45"/>
      <c r="AD28" s="45"/>
      <c r="AE28" s="45"/>
      <c r="AF28" s="45"/>
      <c r="AG28" s="45"/>
      <c r="AH28" s="45"/>
      <c r="AI28" s="45"/>
      <c r="AJ28" s="45"/>
      <c r="AK28" s="45"/>
      <c r="AL28" s="45"/>
    </row>
    <row r="29" spans="1:38" x14ac:dyDescent="0.25">
      <c r="A29" s="45"/>
      <c r="B29" s="45"/>
      <c r="C29" s="45"/>
      <c r="D29" s="45"/>
      <c r="E29" s="45"/>
      <c r="F29" s="45"/>
      <c r="G29" s="45"/>
      <c r="H29" s="45"/>
      <c r="I29" s="45"/>
      <c r="J29" s="45"/>
      <c r="K29" s="45"/>
      <c r="L29" s="45"/>
      <c r="M29" s="45"/>
      <c r="N29" s="45"/>
      <c r="O29" s="45"/>
      <c r="P29" s="45"/>
      <c r="Q29" s="45"/>
      <c r="R29" s="45"/>
      <c r="S29" s="45"/>
      <c r="T29" s="45"/>
      <c r="U29" s="45"/>
      <c r="V29" s="45"/>
      <c r="W29" s="45"/>
      <c r="X29" s="45"/>
      <c r="Y29" s="45"/>
      <c r="Z29" s="45"/>
      <c r="AA29" s="45"/>
      <c r="AB29" s="45"/>
      <c r="AC29" s="45"/>
      <c r="AD29" s="45"/>
      <c r="AE29" s="45"/>
      <c r="AF29" s="45"/>
      <c r="AG29" s="45"/>
      <c r="AH29" s="45"/>
      <c r="AI29" s="45"/>
      <c r="AJ29" s="45"/>
      <c r="AK29" s="45"/>
      <c r="AL29" s="45"/>
    </row>
    <row r="30" spans="1:38"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row>
    <row r="31" spans="1:38"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row>
    <row r="32" spans="1:38"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row>
    <row r="33" spans="1:38"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row>
    <row r="34" spans="1:38"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row>
    <row r="35" spans="1:38"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row>
    <row r="36" spans="1:38"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row>
    <row r="37" spans="1:38"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row>
    <row r="38" spans="1:38"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row>
    <row r="39" spans="1:38"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row>
    <row r="40" spans="1:38"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row>
    <row r="41" spans="1:38"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row>
    <row r="42" spans="1:38"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row>
    <row r="43" spans="1:38"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row>
    <row r="44" spans="1:38"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row>
    <row r="45" spans="1:38"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row>
    <row r="46" spans="1:38"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row>
    <row r="47" spans="1:38"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row>
    <row r="48" spans="1:38"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row>
    <row r="49" spans="1:38"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row>
    <row r="50" spans="1:38"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row>
    <row r="51" spans="1:38"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row>
    <row r="52" spans="1:38"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row>
    <row r="53" spans="1:38"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row>
    <row r="54" spans="1:38"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row>
    <row r="55" spans="1:38"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row>
    <row r="56" spans="1:38"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row>
    <row r="57" spans="1:38"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row>
    <row r="58" spans="1:38"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row>
    <row r="59" spans="1:38"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row>
    <row r="60" spans="1:38"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row>
    <row r="62" spans="1:38"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row>
    <row r="63" spans="1:38"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row>
    <row r="64" spans="1:38"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row>
    <row r="65" spans="1:38"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row>
    <row r="66" spans="1:38"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row>
    <row r="67" spans="1:38"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row>
    <row r="68" spans="1:38"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row>
    <row r="69" spans="1:38"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row>
    <row r="70" spans="1:38"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row>
    <row r="71" spans="1:38"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row>
    <row r="72" spans="1:38"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row>
    <row r="73" spans="1:38"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row>
    <row r="74" spans="1:38"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row>
    <row r="75" spans="1:38"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row>
    <row r="76" spans="1:38"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row>
    <row r="77" spans="1:38"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row>
    <row r="78" spans="1:38"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row>
    <row r="79" spans="1:38"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row>
    <row r="80" spans="1:38"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row>
    <row r="81" spans="1:38"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row>
    <row r="82" spans="1:38"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row>
    <row r="83" spans="1:38"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row>
    <row r="84" spans="1:38"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row>
    <row r="85" spans="1:38"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row>
    <row r="86" spans="1:38"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row>
    <row r="87" spans="1:38"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row>
    <row r="88" spans="1:38"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row>
    <row r="89" spans="1:38"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row>
    <row r="90" spans="1:38"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row>
    <row r="91" spans="1:38"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row>
    <row r="92" spans="1:38"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row>
    <row r="93" spans="1:38"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row>
    <row r="94" spans="1:38"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row>
    <row r="95" spans="1:38"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row>
    <row r="96" spans="1:38"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row>
    <row r="97" spans="1:38"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row>
    <row r="98" spans="1:38"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row>
    <row r="99" spans="1:38"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row>
    <row r="100" spans="1:38"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row>
    <row r="101" spans="1:38"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row>
    <row r="102" spans="1:38"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row>
    <row r="103" spans="1:38"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row>
    <row r="104" spans="1:38"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ED0F3-3032-4C1E-80A7-914E1C087C3C}">
  <dimension ref="A1"/>
  <sheetViews>
    <sheetView workbookViewId="0">
      <selection sqref="A1:AW104"/>
    </sheetView>
  </sheetViews>
  <sheetFormatPr baseColWidth="10" defaultRowHeight="15" x14ac:dyDescent="0.25"/>
  <cols>
    <col min="1" max="1" width="25.85546875" customWidth="1"/>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C09177-8C12-4DAE-BC92-341E1BE91BF7}">
  <dimension ref="A1"/>
  <sheetViews>
    <sheetView workbookViewId="0"/>
  </sheetViews>
  <sheetFormatPr baseColWidth="10"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Financials</vt:lpstr>
      <vt:lpstr>Tracking</vt:lpstr>
      <vt:lpstr>Bible</vt:lpstr>
      <vt:lpstr>Options</vt:lpstr>
      <vt:lpstr>Processed</vt:lpstr>
      <vt:lpstr>Dump</vt:lpstr>
      <vt:lpstr>DumpQ</vt:lpstr>
      <vt:lpstr>ProcessedQ</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J700070 Hernandx</dc:creator>
  <cp:lastModifiedBy>J700070 Hernandx</cp:lastModifiedBy>
  <dcterms:created xsi:type="dcterms:W3CDTF">2015-06-05T18:17:20Z</dcterms:created>
  <dcterms:modified xsi:type="dcterms:W3CDTF">2023-01-14T16:23:02Z</dcterms:modified>
</cp:coreProperties>
</file>