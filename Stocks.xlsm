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juani\Documents\Coding Projects\Python Projects\Excel_python\Finance-Super-Excel\"/>
    </mc:Choice>
  </mc:AlternateContent>
  <xr:revisionPtr revIDLastSave="0" documentId="13_ncr:1_{47EF4481-1FA4-4F6A-8D40-F03C6631A85D}" xr6:coauthVersionLast="47" xr6:coauthVersionMax="47" xr10:uidLastSave="{00000000-0000-0000-0000-000000000000}"/>
  <bookViews>
    <workbookView xWindow="-120" yWindow="-120" windowWidth="28110" windowHeight="16440" activeTab="3" xr2:uid="{00000000-000D-0000-FFFF-FFFF00000000}"/>
  </bookViews>
  <sheets>
    <sheet name="Financials" sheetId="4" r:id="rId1"/>
    <sheet name="Financials (2)" sheetId="14" r:id="rId2"/>
    <sheet name="Tracking" sheetId="7" r:id="rId3"/>
    <sheet name="Options" sheetId="5" r:id="rId4"/>
    <sheet name="IncomeStatement" sheetId="10" r:id="rId5"/>
    <sheet name="BalanceSheet" sheetId="11" r:id="rId6"/>
    <sheet name="CashFlow" sheetId="12" r:id="rId7"/>
    <sheet name="Ratios" sheetId="13" r:id="rId8"/>
    <sheet name="Bible" sheetId="6" r:id="rId9"/>
    <sheet name="Dump" sheetId="2" r:id="rId10"/>
    <sheet name="DumpQ" sheetId="8" r:id="rId11"/>
    <sheet name="Processed" sheetId="3" r:id="rId12"/>
    <sheet name="ProcessedQ" sheetId="9" r:id="rId13"/>
  </sheets>
  <calcPr calcId="191029"/>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22" i="14" l="1"/>
  <c r="F22" i="14"/>
  <c r="G22" i="14"/>
  <c r="H22" i="14"/>
  <c r="I22" i="14"/>
  <c r="J22" i="14"/>
  <c r="K22" i="14"/>
  <c r="L22" i="14"/>
  <c r="M22" i="14"/>
  <c r="R22" i="14" s="1"/>
  <c r="N22" i="14"/>
  <c r="N21" i="14"/>
  <c r="E21" i="14"/>
  <c r="F21" i="14"/>
  <c r="G21" i="14"/>
  <c r="H21" i="14"/>
  <c r="I21" i="14"/>
  <c r="J21" i="14"/>
  <c r="K21" i="14"/>
  <c r="L21" i="14"/>
  <c r="M21" i="14"/>
  <c r="U55" i="14"/>
  <c r="T55" i="14"/>
  <c r="S55" i="14"/>
  <c r="R55" i="14"/>
  <c r="U54" i="14"/>
  <c r="T54" i="14"/>
  <c r="S54" i="14"/>
  <c r="R54" i="14"/>
  <c r="U53" i="14"/>
  <c r="T53" i="14"/>
  <c r="S53" i="14"/>
  <c r="R53" i="14"/>
  <c r="U52" i="14"/>
  <c r="T52" i="14"/>
  <c r="S52" i="14"/>
  <c r="R52" i="14"/>
  <c r="U51" i="14"/>
  <c r="T51" i="14"/>
  <c r="S51" i="14"/>
  <c r="R51" i="14"/>
  <c r="U50" i="14"/>
  <c r="T50" i="14"/>
  <c r="S50" i="14"/>
  <c r="R50" i="14"/>
  <c r="U47" i="14"/>
  <c r="T47" i="14"/>
  <c r="S47" i="14"/>
  <c r="R47" i="14"/>
  <c r="U46" i="14"/>
  <c r="T46" i="14"/>
  <c r="S46" i="14"/>
  <c r="R46" i="14"/>
  <c r="U45" i="14"/>
  <c r="T45" i="14"/>
  <c r="S45" i="14"/>
  <c r="R45" i="14"/>
  <c r="U44" i="14"/>
  <c r="T44" i="14"/>
  <c r="S44" i="14"/>
  <c r="R44" i="14"/>
  <c r="U43" i="14"/>
  <c r="T43" i="14"/>
  <c r="S43" i="14"/>
  <c r="R43" i="14"/>
  <c r="U42" i="14"/>
  <c r="T42" i="14"/>
  <c r="S42" i="14"/>
  <c r="R42" i="14"/>
  <c r="U41" i="14"/>
  <c r="T41" i="14"/>
  <c r="S41" i="14"/>
  <c r="R41" i="14"/>
  <c r="U40" i="14"/>
  <c r="T40" i="14"/>
  <c r="S40" i="14"/>
  <c r="R40" i="14"/>
  <c r="U39" i="14"/>
  <c r="T39" i="14"/>
  <c r="S39" i="14"/>
  <c r="R39" i="14"/>
  <c r="U38" i="14"/>
  <c r="T38" i="14"/>
  <c r="S38" i="14"/>
  <c r="R38" i="14"/>
  <c r="U37" i="14"/>
  <c r="T37" i="14"/>
  <c r="S37" i="14"/>
  <c r="R37" i="14"/>
  <c r="U34" i="14"/>
  <c r="T34" i="14"/>
  <c r="S34" i="14"/>
  <c r="R34" i="14"/>
  <c r="U33" i="14"/>
  <c r="T33" i="14"/>
  <c r="S33" i="14"/>
  <c r="R33" i="14"/>
  <c r="U32" i="14"/>
  <c r="T32" i="14"/>
  <c r="S32" i="14"/>
  <c r="R32" i="14"/>
  <c r="U31" i="14"/>
  <c r="T31" i="14"/>
  <c r="S31" i="14"/>
  <c r="R31" i="14"/>
  <c r="U30" i="14"/>
  <c r="T30" i="14"/>
  <c r="S30" i="14"/>
  <c r="R30" i="14"/>
  <c r="U29" i="14"/>
  <c r="T29" i="14"/>
  <c r="S29" i="14"/>
  <c r="R29" i="14"/>
  <c r="U28" i="14"/>
  <c r="T28" i="14"/>
  <c r="S28" i="14"/>
  <c r="R28" i="14"/>
  <c r="U27" i="14"/>
  <c r="T27" i="14"/>
  <c r="S27" i="14"/>
  <c r="R27" i="14"/>
  <c r="U26" i="14"/>
  <c r="T26" i="14"/>
  <c r="S26" i="14"/>
  <c r="R26" i="14"/>
  <c r="U25" i="14"/>
  <c r="T25" i="14"/>
  <c r="S25" i="14"/>
  <c r="R25" i="14"/>
  <c r="U24" i="14"/>
  <c r="T24" i="14"/>
  <c r="S24" i="14"/>
  <c r="R24" i="14"/>
  <c r="U23" i="14"/>
  <c r="T23" i="14"/>
  <c r="S23" i="14"/>
  <c r="R23" i="14"/>
  <c r="U22" i="14"/>
  <c r="T22" i="14"/>
  <c r="AE16" i="14"/>
  <c r="A12" i="14"/>
  <c r="N9" i="14"/>
  <c r="K9" i="14" a="1"/>
  <c r="K9" i="14" s="1"/>
  <c r="A9" i="14"/>
  <c r="K8" i="14" a="1"/>
  <c r="K8" i="14" s="1"/>
  <c r="M6" i="14" a="1"/>
  <c r="M6" i="14" s="1"/>
  <c r="L6" i="14" a="1"/>
  <c r="L6" i="14" s="1"/>
  <c r="A6" i="14"/>
  <c r="AD5" i="14"/>
  <c r="AD6" i="14" s="1"/>
  <c r="AD7" i="14" s="1"/>
  <c r="AD8" i="14" s="1"/>
  <c r="AD9" i="14" s="1"/>
  <c r="AD10" i="14" s="1"/>
  <c r="AD11" i="14" s="1"/>
  <c r="AD12" i="14" s="1"/>
  <c r="AD13" i="14" s="1"/>
  <c r="AD14" i="14" s="1"/>
  <c r="AE15" i="14" s="1"/>
  <c r="J5" i="14" a="1"/>
  <c r="J5" i="14" s="1"/>
  <c r="AD4" i="14"/>
  <c r="D4" i="14" a="1"/>
  <c r="D4" i="14" s="1"/>
  <c r="L2" i="14" a="1"/>
  <c r="L2" i="14" s="1"/>
  <c r="D34" i="7"/>
  <c r="S22" i="14" l="1"/>
  <c r="S21" i="14"/>
  <c r="U21" i="14"/>
  <c r="R21" i="14"/>
  <c r="T21" i="14"/>
  <c r="I2" i="14" a="1"/>
  <c r="I2" i="14" s="1"/>
  <c r="K17" i="14" s="1"/>
  <c r="S5" i="14"/>
  <c r="R5" i="14"/>
  <c r="N8" i="14"/>
  <c r="S16" i="14"/>
  <c r="U17" i="14" s="1"/>
  <c r="AE16" i="4"/>
  <c r="E28" i="7" a="1"/>
  <c r="E28" i="7" s="1"/>
  <c r="C28" i="7" a="1"/>
  <c r="C28" i="7" s="1"/>
  <c r="A28" i="7" a="1"/>
  <c r="A28" i="7" s="1"/>
  <c r="E3" i="7" a="1"/>
  <c r="E3" i="7" s="1"/>
  <c r="E23" i="7" a="1"/>
  <c r="E23" i="7" s="1"/>
  <c r="C23" i="7" a="1"/>
  <c r="C23" i="7" s="1"/>
  <c r="A23" i="7" a="1"/>
  <c r="A23" i="7" s="1"/>
  <c r="E19" i="7" a="1"/>
  <c r="E19" i="7" s="1"/>
  <c r="C19" i="7" a="1"/>
  <c r="C19" i="7" s="1"/>
  <c r="A19" i="7" a="1"/>
  <c r="A19" i="7" s="1"/>
  <c r="S34" i="7"/>
  <c r="P34" i="7"/>
  <c r="O34" i="7"/>
  <c r="N34" i="7"/>
  <c r="M34" i="7"/>
  <c r="L34" i="7"/>
  <c r="K34" i="7"/>
  <c r="H34" i="7"/>
  <c r="B34" i="7"/>
  <c r="E26" i="7" a="1"/>
  <c r="E26" i="7" s="1"/>
  <c r="C26" i="7" a="1"/>
  <c r="C26" i="7" s="1"/>
  <c r="A26" i="7" a="1"/>
  <c r="A26" i="7" s="1"/>
  <c r="S7" i="14" l="1"/>
  <c r="R7" i="14"/>
  <c r="U5" i="14"/>
  <c r="T5" i="14"/>
  <c r="G23" i="7"/>
  <c r="G26" i="7"/>
  <c r="G28" i="7"/>
  <c r="G19" i="7"/>
  <c r="E13" i="7" a="1"/>
  <c r="E13" i="7" s="1"/>
  <c r="C13" i="7" a="1"/>
  <c r="C13" i="7" s="1"/>
  <c r="A13" i="7" a="1"/>
  <c r="A13" i="7" s="1"/>
  <c r="E33" i="7" a="1"/>
  <c r="E33" i="7" s="1"/>
  <c r="E9" i="7" a="1"/>
  <c r="E9" i="7" s="1"/>
  <c r="E8" i="7" a="1"/>
  <c r="E8" i="7" s="1"/>
  <c r="C20" i="7" a="1"/>
  <c r="C20" i="7" s="1"/>
  <c r="C5" i="7" a="1"/>
  <c r="C5" i="7" s="1"/>
  <c r="C21" i="7" a="1"/>
  <c r="C21" i="7" s="1"/>
  <c r="C32" i="7" a="1"/>
  <c r="C32" i="7" s="1"/>
  <c r="C30" i="7" a="1"/>
  <c r="C30" i="7" s="1"/>
  <c r="C31" i="7" a="1"/>
  <c r="C31" i="7" s="1"/>
  <c r="C33" i="7" a="1"/>
  <c r="C33" i="7" s="1"/>
  <c r="C4" i="7" a="1"/>
  <c r="C4" i="7" s="1"/>
  <c r="C22" i="7" a="1"/>
  <c r="C22" i="7" s="1"/>
  <c r="C9" i="7" a="1"/>
  <c r="C9" i="7" s="1"/>
  <c r="C11" i="7" a="1"/>
  <c r="C11" i="7" s="1"/>
  <c r="C8" i="7" a="1"/>
  <c r="C8" i="7" s="1"/>
  <c r="C29" i="7" a="1"/>
  <c r="C29" i="7" s="1"/>
  <c r="C27" i="7" a="1"/>
  <c r="C27" i="7" s="1"/>
  <c r="C24" i="7" a="1"/>
  <c r="C24" i="7" s="1"/>
  <c r="A21" i="7" a="1"/>
  <c r="A21" i="7" s="1"/>
  <c r="A32" i="7" a="1"/>
  <c r="A32" i="7" s="1"/>
  <c r="A30" i="7" a="1"/>
  <c r="A30" i="7" s="1"/>
  <c r="A31" i="7" a="1"/>
  <c r="A31" i="7" s="1"/>
  <c r="A33" i="7" a="1"/>
  <c r="A33" i="7" s="1"/>
  <c r="A4" i="7" a="1"/>
  <c r="A4" i="7" s="1"/>
  <c r="A22" i="7" a="1"/>
  <c r="A22" i="7" s="1"/>
  <c r="A9" i="7" a="1"/>
  <c r="A9" i="7" s="1"/>
  <c r="A11" i="7" a="1"/>
  <c r="A11" i="7" s="1"/>
  <c r="A8" i="7" a="1"/>
  <c r="A8" i="7" s="1"/>
  <c r="A29" i="7" a="1"/>
  <c r="A29" i="7" s="1"/>
  <c r="A27" i="7" a="1"/>
  <c r="A27" i="7" s="1"/>
  <c r="A24" i="7" a="1"/>
  <c r="A24" i="7" s="1"/>
  <c r="E4" i="7" a="1"/>
  <c r="E4" i="7" s="1"/>
  <c r="E22" i="7" a="1"/>
  <c r="E22" i="7" s="1"/>
  <c r="E11" i="7" a="1"/>
  <c r="E11" i="7" s="1"/>
  <c r="E29" i="7" a="1"/>
  <c r="E29" i="7" s="1"/>
  <c r="E27" i="7" a="1"/>
  <c r="E27" i="7" s="1"/>
  <c r="E24" i="7" a="1"/>
  <c r="E24" i="7" s="1"/>
  <c r="G17" i="7"/>
  <c r="C25" i="7" a="1"/>
  <c r="C25" i="7" s="1"/>
  <c r="C2" i="7" a="1"/>
  <c r="C2" i="7" s="1"/>
  <c r="C16" i="7" a="1"/>
  <c r="C16" i="7" s="1"/>
  <c r="C14" i="7" a="1"/>
  <c r="C14" i="7" s="1"/>
  <c r="C10" i="7" a="1"/>
  <c r="C10" i="7" s="1"/>
  <c r="C12" i="7" a="1"/>
  <c r="C12" i="7" s="1"/>
  <c r="C18" i="7" a="1"/>
  <c r="C18" i="7" s="1"/>
  <c r="C7" i="7" a="1"/>
  <c r="C7" i="7" s="1"/>
  <c r="C6" i="7" a="1"/>
  <c r="C6" i="7" s="1"/>
  <c r="C15" i="7" a="1"/>
  <c r="C15" i="7" s="1"/>
  <c r="C3" i="7" a="1"/>
  <c r="C3" i="7" s="1"/>
  <c r="E5" i="7" a="1"/>
  <c r="E5" i="7" s="1"/>
  <c r="E30" i="7" a="1"/>
  <c r="E30" i="7" s="1"/>
  <c r="E32" i="7" a="1"/>
  <c r="E32" i="7" s="1"/>
  <c r="E21" i="7" a="1"/>
  <c r="E21" i="7" s="1"/>
  <c r="E31" i="7" a="1"/>
  <c r="E31" i="7" s="1"/>
  <c r="E25" i="7" a="1"/>
  <c r="E25" i="7" s="1"/>
  <c r="E20" i="7" a="1"/>
  <c r="E20" i="7" s="1"/>
  <c r="E2" i="7" a="1"/>
  <c r="E2" i="7" s="1"/>
  <c r="E16" i="7" a="1"/>
  <c r="E16" i="7" s="1"/>
  <c r="E14" i="7" a="1"/>
  <c r="E14" i="7" s="1"/>
  <c r="E10" i="7" a="1"/>
  <c r="E10" i="7" s="1"/>
  <c r="E12" i="7" a="1"/>
  <c r="E12" i="7" s="1"/>
  <c r="E18" i="7" a="1"/>
  <c r="E18" i="7" s="1"/>
  <c r="E7" i="7" a="1"/>
  <c r="E7" i="7" s="1"/>
  <c r="E6" i="7" a="1"/>
  <c r="E6" i="7" s="1"/>
  <c r="E15" i="7" a="1"/>
  <c r="E15" i="7" s="1"/>
  <c r="G3" i="7"/>
  <c r="A7" i="7" a="1"/>
  <c r="A7" i="7" s="1"/>
  <c r="A18" i="7" a="1"/>
  <c r="A18" i="7" s="1"/>
  <c r="A12" i="7" a="1"/>
  <c r="A12" i="7" s="1"/>
  <c r="A10" i="7" a="1"/>
  <c r="A10" i="7" s="1"/>
  <c r="A14" i="7" a="1"/>
  <c r="A14" i="7" s="1"/>
  <c r="A16" i="7" a="1"/>
  <c r="A16" i="7" s="1"/>
  <c r="A2" i="7" a="1"/>
  <c r="A2" i="7" s="1"/>
  <c r="A20" i="7" a="1"/>
  <c r="A20" i="7" s="1"/>
  <c r="A25" i="7" a="1"/>
  <c r="A25" i="7" s="1"/>
  <c r="A5" i="7" a="1"/>
  <c r="A5" i="7" s="1"/>
  <c r="A6" i="7" a="1"/>
  <c r="A6" i="7" s="1"/>
  <c r="A15" i="7" a="1"/>
  <c r="A15" i="7" s="1"/>
  <c r="A3" i="7" a="1"/>
  <c r="A3" i="7" s="1"/>
  <c r="A12" i="4"/>
  <c r="A6" i="4"/>
  <c r="R34" i="4"/>
  <c r="R47" i="4"/>
  <c r="U54" i="4"/>
  <c r="T54" i="4"/>
  <c r="S54" i="4"/>
  <c r="R54" i="4"/>
  <c r="R53" i="4"/>
  <c r="R52" i="4"/>
  <c r="R51" i="4"/>
  <c r="R50" i="4"/>
  <c r="U34" i="4"/>
  <c r="T34" i="4"/>
  <c r="S34" i="4"/>
  <c r="AD4" i="4"/>
  <c r="AD5" i="4" s="1"/>
  <c r="J5" i="4" a="1"/>
  <c r="J5" i="4" s="1"/>
  <c r="I2" i="4" s="1" a="1"/>
  <c r="I2" i="4" s="1"/>
  <c r="N9" i="4"/>
  <c r="K9" i="4" a="1"/>
  <c r="K9" i="4" s="1"/>
  <c r="K8" i="4" a="1"/>
  <c r="K8" i="4" s="1"/>
  <c r="M6" i="4" a="1"/>
  <c r="M6" i="4" s="1"/>
  <c r="L6" i="4" a="1"/>
  <c r="L6" i="4" s="1"/>
  <c r="L2" i="4" a="1"/>
  <c r="L2" i="4" s="1"/>
  <c r="D4" i="4" a="1"/>
  <c r="D4" i="4" s="1"/>
  <c r="U21" i="4"/>
  <c r="T21" i="4"/>
  <c r="S21" i="4"/>
  <c r="R21" i="4"/>
  <c r="U23" i="4"/>
  <c r="T23" i="4"/>
  <c r="S23" i="4"/>
  <c r="R23" i="4"/>
  <c r="U22" i="4"/>
  <c r="T22" i="4"/>
  <c r="S22" i="4"/>
  <c r="R22" i="4"/>
  <c r="U52" i="4"/>
  <c r="T52" i="4"/>
  <c r="S52" i="4"/>
  <c r="U51" i="4"/>
  <c r="T51" i="4"/>
  <c r="S51" i="4"/>
  <c r="U50" i="4"/>
  <c r="T50" i="4"/>
  <c r="S50" i="4"/>
  <c r="U33" i="4"/>
  <c r="T33" i="4"/>
  <c r="S33" i="4"/>
  <c r="R33" i="4"/>
  <c r="U32" i="4"/>
  <c r="T32" i="4"/>
  <c r="S32" i="4"/>
  <c r="R32" i="4"/>
  <c r="U47" i="4"/>
  <c r="T47" i="4"/>
  <c r="S47" i="4"/>
  <c r="U46" i="4"/>
  <c r="T46" i="4"/>
  <c r="S46" i="4"/>
  <c r="R46" i="4"/>
  <c r="U45" i="4"/>
  <c r="T45" i="4"/>
  <c r="S45" i="4"/>
  <c r="R45" i="4"/>
  <c r="U44" i="4"/>
  <c r="T44" i="4"/>
  <c r="S44" i="4"/>
  <c r="R44" i="4"/>
  <c r="U43" i="4"/>
  <c r="T43" i="4"/>
  <c r="S43" i="4"/>
  <c r="R43" i="4"/>
  <c r="U42" i="4"/>
  <c r="T42" i="4"/>
  <c r="S42" i="4"/>
  <c r="R42" i="4"/>
  <c r="U41" i="4"/>
  <c r="T41" i="4"/>
  <c r="S41" i="4"/>
  <c r="R41" i="4"/>
  <c r="U40" i="4"/>
  <c r="T40" i="4"/>
  <c r="S40" i="4"/>
  <c r="R40" i="4"/>
  <c r="U39" i="4"/>
  <c r="T39" i="4"/>
  <c r="S39" i="4"/>
  <c r="R39" i="4"/>
  <c r="U38" i="4"/>
  <c r="T38" i="4"/>
  <c r="S38" i="4"/>
  <c r="R38" i="4"/>
  <c r="U37" i="4"/>
  <c r="T37" i="4"/>
  <c r="S37" i="4"/>
  <c r="R37" i="4"/>
  <c r="U30" i="4"/>
  <c r="T30" i="4"/>
  <c r="A9" i="4" s="1"/>
  <c r="S30" i="4"/>
  <c r="R30" i="4"/>
  <c r="U29" i="4"/>
  <c r="T29" i="4"/>
  <c r="S29" i="4"/>
  <c r="R29" i="4"/>
  <c r="R28" i="4"/>
  <c r="S28" i="4"/>
  <c r="T28" i="4"/>
  <c r="U28" i="4"/>
  <c r="U27" i="4"/>
  <c r="T27" i="4"/>
  <c r="S27" i="4"/>
  <c r="R27" i="4"/>
  <c r="U26" i="4"/>
  <c r="T26" i="4"/>
  <c r="S26" i="4"/>
  <c r="R26" i="4"/>
  <c r="U25" i="4"/>
  <c r="T25" i="4"/>
  <c r="S25" i="4"/>
  <c r="R25" i="4"/>
  <c r="U24" i="4"/>
  <c r="T24" i="4"/>
  <c r="S24" i="4"/>
  <c r="R24" i="4"/>
  <c r="U31" i="4"/>
  <c r="T31" i="4"/>
  <c r="S31" i="4"/>
  <c r="R31" i="4"/>
  <c r="A19" i="5" l="1" a="1"/>
  <c r="A19" i="5" s="1"/>
  <c r="U7" i="14"/>
  <c r="A15" i="14" s="1"/>
  <c r="T7" i="14"/>
  <c r="N8" i="4"/>
  <c r="G32" i="7"/>
  <c r="G14" i="7"/>
  <c r="G30" i="7"/>
  <c r="G29" i="7"/>
  <c r="G8" i="7"/>
  <c r="G16" i="7"/>
  <c r="G5" i="7"/>
  <c r="G11" i="7"/>
  <c r="G9" i="7"/>
  <c r="G27" i="7"/>
  <c r="G15" i="7"/>
  <c r="G2" i="7"/>
  <c r="G22" i="7"/>
  <c r="G33" i="7"/>
  <c r="G10" i="7"/>
  <c r="G6" i="7"/>
  <c r="G20" i="7"/>
  <c r="G4" i="7"/>
  <c r="G25" i="7"/>
  <c r="G7" i="7"/>
  <c r="G18" i="7"/>
  <c r="G31" i="7"/>
  <c r="G12" i="7"/>
  <c r="G21" i="7"/>
  <c r="G24" i="7"/>
  <c r="G13" i="7"/>
  <c r="K17" i="4"/>
  <c r="S7" i="4" s="1"/>
  <c r="R5" i="4"/>
  <c r="U55" i="4"/>
  <c r="S55" i="4"/>
  <c r="R55" i="4"/>
  <c r="T55" i="4"/>
  <c r="U53" i="4"/>
  <c r="S53" i="4"/>
  <c r="T53" i="4"/>
  <c r="AD6" i="4"/>
  <c r="S5" i="4"/>
  <c r="G34" i="7" l="1"/>
  <c r="R7" i="4"/>
  <c r="U7" i="4"/>
  <c r="A15" i="4" s="1"/>
  <c r="T7" i="4"/>
  <c r="AD7" i="4"/>
  <c r="T5" i="4"/>
  <c r="U5" i="4"/>
  <c r="AD8" i="4" l="1"/>
  <c r="AD9" i="4" s="1"/>
  <c r="AD10" i="4" s="1"/>
  <c r="AD11" i="4" l="1"/>
  <c r="AD12" i="4" s="1"/>
  <c r="AD13" i="4" s="1"/>
  <c r="AD14" i="4" s="1"/>
  <c r="AE15" i="4" s="1"/>
  <c r="S16" i="4"/>
  <c r="U17"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1">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futureMetadata>
  <cellMetadata count="1">
    <bk>
      <rc t="1" v="0"/>
    </bk>
  </cellMetadata>
  <valueMetadata count="31">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valueMetadata>
</metadata>
</file>

<file path=xl/sharedStrings.xml><?xml version="1.0" encoding="utf-8"?>
<sst xmlns="http://schemas.openxmlformats.org/spreadsheetml/2006/main" count="1514" uniqueCount="1072">
  <si>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</si>
  <si>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</si>
  <si>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</si>
  <si>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</si>
  <si>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</si>
  <si>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</si>
  <si>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</si>
  <si>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</si>
  <si>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</si>
  <si>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</si>
  <si>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</si>
  <si>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</si>
  <si>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</si>
  <si>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Book value per share</t>
  </si>
  <si>
    <t>Total Debt</t>
  </si>
  <si>
    <t>Net Debt</t>
  </si>
  <si>
    <t>Revenue per share</t>
  </si>
  <si>
    <t>Operating Income per share</t>
  </si>
  <si>
    <t>Dividends per share</t>
  </si>
  <si>
    <t>Units in:</t>
  </si>
  <si>
    <t>R&amp;D %</t>
  </si>
  <si>
    <t>SG&amp;A %</t>
  </si>
  <si>
    <t>Other %</t>
  </si>
  <si>
    <t>Depreciation &amp; Amortization %</t>
  </si>
  <si>
    <t>Interest Income %</t>
  </si>
  <si>
    <t>y/y</t>
  </si>
  <si>
    <t>3y. CAGR</t>
  </si>
  <si>
    <t>5y. CAGR</t>
  </si>
  <si>
    <t>9y. CAGR</t>
  </si>
  <si>
    <t>Shares</t>
  </si>
  <si>
    <t>Shares Diluted</t>
  </si>
  <si>
    <t>Revenue %</t>
  </si>
  <si>
    <t>Return on Assets %</t>
  </si>
  <si>
    <t>Return on Equity %</t>
  </si>
  <si>
    <t>Return on Invested Capital %</t>
  </si>
  <si>
    <t>Price</t>
  </si>
  <si>
    <t>Industry:</t>
  </si>
  <si>
    <t>Change:</t>
  </si>
  <si>
    <t>Billions</t>
  </si>
  <si>
    <t>52 W. High:</t>
  </si>
  <si>
    <t>52 W. Low:</t>
  </si>
  <si>
    <t>Market Cap:</t>
  </si>
  <si>
    <t>Valuation Summary</t>
  </si>
  <si>
    <t>Dividend Yield:</t>
  </si>
  <si>
    <t>Dividend Payout:</t>
  </si>
  <si>
    <t>Institutional Ownership</t>
  </si>
  <si>
    <t>Insider Ownership</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</si>
  <si>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</si>
  <si>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</si>
  <si>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</si>
  <si>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</si>
  <si>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</si>
  <si>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</si>
  <si>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</si>
  <si>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</si>
  <si>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</si>
  <si>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</si>
  <si>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</si>
  <si>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</si>
  <si>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</si>
  <si>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</si>
  <si>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</si>
  <si>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</si>
  <si>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</si>
  <si>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</si>
  <si>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</si>
  <si>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</si>
  <si>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</si>
  <si>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</si>
  <si>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</si>
  <si>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</si>
  <si>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</si>
  <si>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</si>
  <si>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How much net income does a company generate with all its capital</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</si>
  <si>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</si>
  <si>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</si>
  <si>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</si>
  <si>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</si>
  <si>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</si>
  <si>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</si>
  <si>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</si>
  <si>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</si>
  <si>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</si>
  <si>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</si>
  <si>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</si>
  <si>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</si>
  <si>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</si>
  <si>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</si>
  <si>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Roic</t>
  </si>
  <si>
    <t>FCF Growth</t>
  </si>
  <si>
    <t>Gross Margin</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</si>
  <si>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</si>
  <si>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</si>
  <si>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</si>
  <si>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</si>
  <si>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</si>
  <si>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</si>
  <si>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</si>
  <si>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</si>
  <si>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</si>
  <si>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</si>
  <si>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</si>
  <si>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</si>
  <si>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</si>
  <si>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</si>
  <si>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</si>
  <si>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</si>
  <si>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</si>
  <si>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</si>
  <si>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</si>
  <si>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</si>
  <si>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</si>
  <si>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</si>
  <si>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</si>
  <si>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</si>
  <si>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</si>
  <si>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</si>
  <si>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</si>
  <si>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</si>
  <si>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Z-Score</t>
  </si>
  <si>
    <t>EBITDA / Net Debt</t>
  </si>
  <si>
    <t>M. Bruto</t>
  </si>
  <si>
    <t>M. Neto</t>
  </si>
  <si>
    <t>Riesgo</t>
  </si>
  <si>
    <t>Δ FCF</t>
  </si>
  <si>
    <t>Δ EPS</t>
  </si>
  <si>
    <t>Δ Rev.</t>
  </si>
  <si>
    <t>Total</t>
  </si>
  <si>
    <t>MALA</t>
  </si>
  <si>
    <t>IR</t>
  </si>
  <si>
    <t>TTM</t>
  </si>
  <si>
    <t>Multiplier</t>
  </si>
  <si>
    <t>Inventory</t>
  </si>
  <si>
    <t>Other Current Assets</t>
  </si>
  <si>
    <t>Total Current Assets</t>
  </si>
  <si>
    <t>Goodwill</t>
  </si>
  <si>
    <t>Total Assets</t>
  </si>
  <si>
    <t>Accounts Payable</t>
  </si>
  <si>
    <t>Other Current Liabilities</t>
  </si>
  <si>
    <t>Total Current Liabilities</t>
  </si>
  <si>
    <t>Total Liabilities</t>
  </si>
  <si>
    <t>Common Stock</t>
  </si>
  <si>
    <t>Retained Earnings</t>
  </si>
  <si>
    <t>Minority Interest</t>
  </si>
  <si>
    <t>Accounts Receivable</t>
  </si>
  <si>
    <t>80-100%</t>
  </si>
  <si>
    <t>Income Statement | TIKR.com</t>
  </si>
  <si>
    <t>LTM</t>
  </si>
  <si>
    <t>Revenues</t>
  </si>
  <si>
    <t>110.855,00</t>
  </si>
  <si>
    <t>136.819,00</t>
  </si>
  <si>
    <t>161.857,00</t>
  </si>
  <si>
    <t>182.527,00</t>
  </si>
  <si>
    <t>257.637,00</t>
  </si>
  <si>
    <t>282.113,00</t>
  </si>
  <si>
    <t>Total Revenues</t>
  </si>
  <si>
    <t>   % Change YoY</t>
  </si>
  <si>
    <t>23,4 %</t>
  </si>
  <si>
    <t>18,3 %</t>
  </si>
  <si>
    <t>12,8 %</t>
  </si>
  <si>
    <t>41,2 %</t>
  </si>
  <si>
    <t>Cost of Goods Sold</t>
  </si>
  <si>
    <t>(45.583,00)</t>
  </si>
  <si>
    <t>(59.549,00)</t>
  </si>
  <si>
    <t>(71.896,00)</t>
  </si>
  <si>
    <t>(84.732,00)</t>
  </si>
  <si>
    <t>(110.939,00)</t>
  </si>
  <si>
    <t>(123.849,00)</t>
  </si>
  <si>
    <t>65.272,00</t>
  </si>
  <si>
    <t>77.270,00</t>
  </si>
  <si>
    <t>89.961,00</t>
  </si>
  <si>
    <t>97.795,00</t>
  </si>
  <si>
    <t>146.698,00</t>
  </si>
  <si>
    <t>158.264,00</t>
  </si>
  <si>
    <t>18,4 %</t>
  </si>
  <si>
    <t>16,4 %</t>
  </si>
  <si>
    <t>8,7 %</t>
  </si>
  <si>
    <t>50,0 %</t>
  </si>
  <si>
    <t>   % Gross Margins</t>
  </si>
  <si>
    <t>58,9 %</t>
  </si>
  <si>
    <t>56,5 %</t>
  </si>
  <si>
    <t>55,6 %</t>
  </si>
  <si>
    <t>53,6 %</t>
  </si>
  <si>
    <t>56,9 %</t>
  </si>
  <si>
    <t>56,1 %</t>
  </si>
  <si>
    <t>Selling General &amp; Admin Expenses</t>
  </si>
  <si>
    <t>(19.733,00)</t>
  </si>
  <si>
    <t>(23.256,00)</t>
  </si>
  <si>
    <t>(28.015,00)</t>
  </si>
  <si>
    <t>(28.998,00)</t>
  </si>
  <si>
    <t>(36.422,00)</t>
  </si>
  <si>
    <t>(41.756,00)</t>
  </si>
  <si>
    <t>R&amp;D Expenses</t>
  </si>
  <si>
    <t>(16.625,00)</t>
  </si>
  <si>
    <t>(21.419,00)</t>
  </si>
  <si>
    <t>(26.018,00)</t>
  </si>
  <si>
    <t>(27.573,00)</t>
  </si>
  <si>
    <t>(31.562,00)</t>
  </si>
  <si>
    <t>(37.941,00)</t>
  </si>
  <si>
    <t>Total Operating Expenses</t>
  </si>
  <si>
    <t>(36.358,00)</t>
  </si>
  <si>
    <t>(44.675,00)</t>
  </si>
  <si>
    <t>(54.033,00)</t>
  </si>
  <si>
    <t>(56.571,00)</t>
  </si>
  <si>
    <t>(67.984,00)</t>
  </si>
  <si>
    <t>(79.697,00)</t>
  </si>
  <si>
    <t>28.914,00</t>
  </si>
  <si>
    <t>32.595,00</t>
  </si>
  <si>
    <t>35.928,00</t>
  </si>
  <si>
    <t>41.224,00</t>
  </si>
  <si>
    <t>78.714,00</t>
  </si>
  <si>
    <t>78.567,00</t>
  </si>
  <si>
    <t>12,7 %</t>
  </si>
  <si>
    <t>10,2 %</t>
  </si>
  <si>
    <t>14,7 %</t>
  </si>
  <si>
    <t>90,9 %</t>
  </si>
  <si>
    <t>   % Operating Margins</t>
  </si>
  <si>
    <t>26,1 %</t>
  </si>
  <si>
    <t>23,8 %</t>
  </si>
  <si>
    <t>22,2 %</t>
  </si>
  <si>
    <t>22,6 %</t>
  </si>
  <si>
    <t>30,6 %</t>
  </si>
  <si>
    <t>27,8 %</t>
  </si>
  <si>
    <t>Interest Expense</t>
  </si>
  <si>
    <t>(109,00)</t>
  </si>
  <si>
    <t>(114,00)</t>
  </si>
  <si>
    <t>(100,00)</t>
  </si>
  <si>
    <t>(135,00)</t>
  </si>
  <si>
    <t>(346,00)</t>
  </si>
  <si>
    <t>(384,00)</t>
  </si>
  <si>
    <t>Interest And Investment Income</t>
  </si>
  <si>
    <t>1312,00</t>
  </si>
  <si>
    <t>1878,00</t>
  </si>
  <si>
    <t>2427,00</t>
  </si>
  <si>
    <t>1865,00</t>
  </si>
  <si>
    <t>1499,00</t>
  </si>
  <si>
    <t>1893,00</t>
  </si>
  <si>
    <t>Currency Exchange Gains (Loss)</t>
  </si>
  <si>
    <t>(121,00)</t>
  </si>
  <si>
    <t>(80,00)</t>
  </si>
  <si>
    <t>103,00</t>
  </si>
  <si>
    <t>(344,00)</t>
  </si>
  <si>
    <t>(240,00)</t>
  </si>
  <si>
    <t>(632,00)</t>
  </si>
  <si>
    <t>Other Non Operating Income (Expenses)</t>
  </si>
  <si>
    <t>126,00</t>
  </si>
  <si>
    <t>(825,00)</t>
  </si>
  <si>
    <t>(224,00)</t>
  </si>
  <si>
    <t>(1589,00)</t>
  </si>
  <si>
    <t>682,00</t>
  </si>
  <si>
    <t>EBT Excl. Unusual Items</t>
  </si>
  <si>
    <t>30.122,00</t>
  </si>
  <si>
    <t>33.454,00</t>
  </si>
  <si>
    <t>38.134,00</t>
  </si>
  <si>
    <t>42.266,00</t>
  </si>
  <si>
    <t>78.038,00</t>
  </si>
  <si>
    <t>80.126,00</t>
  </si>
  <si>
    <t>Gain (Loss) On Sale Of Investments</t>
  </si>
  <si>
    <t>(193,00)</t>
  </si>
  <si>
    <t>6530,00</t>
  </si>
  <si>
    <t>3188,00</t>
  </si>
  <si>
    <t>5816,00</t>
  </si>
  <si>
    <t>12.696,00</t>
  </si>
  <si>
    <t>(1543,00)</t>
  </si>
  <si>
    <t>Gain (Loss) On Sale Of Assets</t>
  </si>
  <si>
    <t>Asset Writedown</t>
  </si>
  <si>
    <t>In Process R&amp;D Expenses</t>
  </si>
  <si>
    <t>Legal Settlements</t>
  </si>
  <si>
    <t>(2736,00)</t>
  </si>
  <si>
    <t>(5071,00)</t>
  </si>
  <si>
    <t>(1697,00)</t>
  </si>
  <si>
    <t>Other Unusual Items</t>
  </si>
  <si>
    <t>EBT Incl. Unusual Items</t>
  </si>
  <si>
    <t>27.193,00</t>
  </si>
  <si>
    <t>34.913,00</t>
  </si>
  <si>
    <t>39.625,00</t>
  </si>
  <si>
    <t>48.082,00</t>
  </si>
  <si>
    <t>90.734,00</t>
  </si>
  <si>
    <t>78.583,00</t>
  </si>
  <si>
    <t>Income Tax Expense</t>
  </si>
  <si>
    <t>(14.531,00)</t>
  </si>
  <si>
    <t>(4177,00)</t>
  </si>
  <si>
    <t>(5282,00)</t>
  </si>
  <si>
    <t>(7813,00)</t>
  </si>
  <si>
    <t>(14.701,00)</t>
  </si>
  <si>
    <t>(11.593,00)</t>
  </si>
  <si>
    <t>Earnings From Continuing Operations</t>
  </si>
  <si>
    <t>12.662,00</t>
  </si>
  <si>
    <t>30.736,00</t>
  </si>
  <si>
    <t>34.343,00</t>
  </si>
  <si>
    <t>40.269,00</t>
  </si>
  <si>
    <t>76.033,00</t>
  </si>
  <si>
    <t>66.990,00</t>
  </si>
  <si>
    <t>Earnings Of Discontinued Operations</t>
  </si>
  <si>
    <t>Net Income to Company</t>
  </si>
  <si>
    <t>Net Income to Common Incl Extra Items</t>
  </si>
  <si>
    <t>   % Net Income to Common Incl Extra Items Margins</t>
  </si>
  <si>
    <t>11,4 %</t>
  </si>
  <si>
    <t>22,5 %</t>
  </si>
  <si>
    <t>21,2 %</t>
  </si>
  <si>
    <t>22,1 %</t>
  </si>
  <si>
    <t>29,5 %</t>
  </si>
  <si>
    <t>23,7 %</t>
  </si>
  <si>
    <t>Net Income to Common Excl. Extra Items</t>
  </si>
  <si>
    <t>   % Net Income to Common Excl. Extra Items Margins</t>
  </si>
  <si>
    <t>Supplementary Data:</t>
  </si>
  <si>
    <t>Diluted EPS Excl Extra Items</t>
  </si>
  <si>
    <t>0,90</t>
  </si>
  <si>
    <t>2,19</t>
  </si>
  <si>
    <t>2,46</t>
  </si>
  <si>
    <t>2,93</t>
  </si>
  <si>
    <t>5,61</t>
  </si>
  <si>
    <t>5,04</t>
  </si>
  <si>
    <t>142,8 %</t>
  </si>
  <si>
    <t>12,5 %</t>
  </si>
  <si>
    <t>19,2 %</t>
  </si>
  <si>
    <t>91,4 %</t>
  </si>
  <si>
    <t>Weighted Average Diluted Shares Outstanding</t>
  </si>
  <si>
    <t>14.071,68</t>
  </si>
  <si>
    <t>14.065,70</t>
  </si>
  <si>
    <t>13.971,12</t>
  </si>
  <si>
    <t>13.740,56</t>
  </si>
  <si>
    <t>13.553,48</t>
  </si>
  <si>
    <t>13.284,23</t>
  </si>
  <si>
    <t>(0,0 %)</t>
  </si>
  <si>
    <t>(0,7 %)</t>
  </si>
  <si>
    <t>(1,7 %)</t>
  </si>
  <si>
    <t>(1,4 %)</t>
  </si>
  <si>
    <t>Weighted Average Basic Shares Outstanding</t>
  </si>
  <si>
    <t>13.858,02</t>
  </si>
  <si>
    <t>13.902,80</t>
  </si>
  <si>
    <t>13.851,92</t>
  </si>
  <si>
    <t>13.616,32</t>
  </si>
  <si>
    <t>13.353,00</t>
  </si>
  <si>
    <t>13.152,00</t>
  </si>
  <si>
    <t>0,3 %</t>
  </si>
  <si>
    <t>(0,4 %)</t>
  </si>
  <si>
    <t>(1,9 %)</t>
  </si>
  <si>
    <t>Basic EPS</t>
  </si>
  <si>
    <t>0,91</t>
  </si>
  <si>
    <t>2,21</t>
  </si>
  <si>
    <t>2,48</t>
  </si>
  <si>
    <t>2,96</t>
  </si>
  <si>
    <t>5,69</t>
  </si>
  <si>
    <t>5,09</t>
  </si>
  <si>
    <t>35.813,00</t>
  </si>
  <si>
    <t>41.624,00</t>
  </si>
  <si>
    <t>47.579,00</t>
  </si>
  <si>
    <t>54.903,00</t>
  </si>
  <si>
    <t>91.144,00</t>
  </si>
  <si>
    <t>93.733,00</t>
  </si>
  <si>
    <t>16,2 %</t>
  </si>
  <si>
    <t>14,3 %</t>
  </si>
  <si>
    <t>15,4 %</t>
  </si>
  <si>
    <t>66,0 %</t>
  </si>
  <si>
    <t>EBITDAR</t>
  </si>
  <si>
    <t>36.913,00</t>
  </si>
  <si>
    <t>57.789,00</t>
  </si>
  <si>
    <t>94.569,00</t>
  </si>
  <si>
    <t>R&amp;D Expense</t>
  </si>
  <si>
    <t>16.625,00</t>
  </si>
  <si>
    <t>21.419,00</t>
  </si>
  <si>
    <t>26.018,00</t>
  </si>
  <si>
    <t>27.573,00</t>
  </si>
  <si>
    <t>31.562,00</t>
  </si>
  <si>
    <t>37.941,00</t>
  </si>
  <si>
    <t>Selling and Marketing Expense</t>
  </si>
  <si>
    <t>12.893,00</t>
  </si>
  <si>
    <t>16.333,00</t>
  </si>
  <si>
    <t>18.464,00</t>
  </si>
  <si>
    <t>17.946,00</t>
  </si>
  <si>
    <t>22.912,00</t>
  </si>
  <si>
    <t>26.988,00</t>
  </si>
  <si>
    <t>General and Administrative Expense</t>
  </si>
  <si>
    <t>6840,00</t>
  </si>
  <si>
    <t>6923,00</t>
  </si>
  <si>
    <t>9551,00</t>
  </si>
  <si>
    <t>11.052,00</t>
  </si>
  <si>
    <t>13.510,00</t>
  </si>
  <si>
    <t>14.768,00</t>
  </si>
  <si>
    <t>Effective Tax Rate %</t>
  </si>
  <si>
    <t>53,4 %</t>
  </si>
  <si>
    <t>12,0 %</t>
  </si>
  <si>
    <t>13,3 %</t>
  </si>
  <si>
    <t>14,8 %</t>
  </si>
  <si>
    <t>213,82</t>
  </si>
  <si>
    <t>281,07</t>
  </si>
  <si>
    <t>410,19</t>
  </si>
  <si>
    <t>685,48</t>
  </si>
  <si>
    <t>1216,45</t>
  </si>
  <si>
    <t>1322,38</t>
  </si>
  <si>
    <t>Finance Div. Revenues</t>
  </si>
  <si>
    <t>Insurance Division Revenues</t>
  </si>
  <si>
    <t>Gain (Loss) on Sale of Assets (Rev)</t>
  </si>
  <si>
    <t>Gain (Loss) on Sale of Investment (Rev)</t>
  </si>
  <si>
    <t>Interest And Invest. Income (Rev)</t>
  </si>
  <si>
    <t>Other Revenues</t>
  </si>
  <si>
    <t>0,20</t>
  </si>
  <si>
    <t>0,08</t>
  </si>
  <si>
    <t>0,07</t>
  </si>
  <si>
    <t>214,02</t>
  </si>
  <si>
    <t>281,15</t>
  </si>
  <si>
    <t>410,27</t>
  </si>
  <si>
    <t>31,4 %</t>
  </si>
  <si>
    <t>45,9 %</t>
  </si>
  <si>
    <t>67,1 %</t>
  </si>
  <si>
    <t>77,5 %</t>
  </si>
  <si>
    <t>Finance Div. Operating Exp.</t>
  </si>
  <si>
    <t>Insurance Division Operating Expenses</t>
  </si>
  <si>
    <t>Interest Expense - Finance Division</t>
  </si>
  <si>
    <t>100,0 %</t>
  </si>
  <si>
    <t>(86,53)</t>
  </si>
  <si>
    <t>(111,90)</t>
  </si>
  <si>
    <t>(141,80)</t>
  </si>
  <si>
    <t>(163,39)</t>
  </si>
  <si>
    <t>(235,79)</t>
  </si>
  <si>
    <t>(258,02)</t>
  </si>
  <si>
    <t>Exploration / Drilling Costs</t>
  </si>
  <si>
    <t>Provision for Bad Debts</t>
  </si>
  <si>
    <t>Stock-Based Compensation</t>
  </si>
  <si>
    <t>Pre-Opening Costs</t>
  </si>
  <si>
    <t>Depreciation &amp; Amortization</t>
  </si>
  <si>
    <t>(16,50)</t>
  </si>
  <si>
    <t>(20,85)</t>
  </si>
  <si>
    <t>(28,58)</t>
  </si>
  <si>
    <t>(39,72)</t>
  </si>
  <si>
    <t>(91,79)</t>
  </si>
  <si>
    <t>(91,35)</t>
  </si>
  <si>
    <t>Amortization of Goodwill and Intangible Assets</t>
  </si>
  <si>
    <t>Impairment of Oil Gas &amp; Mineral Properties</t>
  </si>
  <si>
    <t>Other Operating Expenses</t>
  </si>
  <si>
    <t>(30,75)</t>
  </si>
  <si>
    <t>(45,90)</t>
  </si>
  <si>
    <t>(63,25)</t>
  </si>
  <si>
    <t>(115,28)</t>
  </si>
  <si>
    <t>(143,56)</t>
  </si>
  <si>
    <t>(146,52)</t>
  </si>
  <si>
    <t>(133,78)</t>
  </si>
  <si>
    <t>(178,64)</t>
  </si>
  <si>
    <t>(233,63)</t>
  </si>
  <si>
    <t>(318,39)</t>
  </si>
  <si>
    <t>(471,14)</t>
  </si>
  <si>
    <t>(495,89)</t>
  </si>
  <si>
    <t>80,24</t>
  </si>
  <si>
    <t>102,51</t>
  </si>
  <si>
    <t>176,64</t>
  </si>
  <si>
    <t>367,09</t>
  </si>
  <si>
    <t>745,32</t>
  </si>
  <si>
    <t>826,49</t>
  </si>
  <si>
    <t>72,3 %</t>
  </si>
  <si>
    <t>107,8 %</t>
  </si>
  <si>
    <t>103,0 %</t>
  </si>
  <si>
    <t>37,5 %</t>
  </si>
  <si>
    <t>36,5 %</t>
  </si>
  <si>
    <t>43,1 %</t>
  </si>
  <si>
    <t>61,3 %</t>
  </si>
  <si>
    <t>62,5 %</t>
  </si>
  <si>
    <t>(0,22)</t>
  </si>
  <si>
    <t>(0,18)</t>
  </si>
  <si>
    <t>(0,24)</t>
  </si>
  <si>
    <t>(1,30)</t>
  </si>
  <si>
    <t>(3,19)</t>
  </si>
  <si>
    <t>0,01</t>
  </si>
  <si>
    <t>0,05</t>
  </si>
  <si>
    <t>0,06</t>
  </si>
  <si>
    <t>0,26</t>
  </si>
  <si>
    <t>11,48</t>
  </si>
  <si>
    <t>Income (Loss) On Equity Invest.</t>
  </si>
  <si>
    <t>(4,04)</t>
  </si>
  <si>
    <t>(3,48)</t>
  </si>
  <si>
    <t>(0,05)</t>
  </si>
  <si>
    <t>(0,01)</t>
  </si>
  <si>
    <t>(0,03)</t>
  </si>
  <si>
    <t>(0,44)</t>
  </si>
  <si>
    <t>(0,38)</t>
  </si>
  <si>
    <t>79,98</t>
  </si>
  <si>
    <t>102,33</t>
  </si>
  <si>
    <t>176,41</t>
  </si>
  <si>
    <t>365,85</t>
  </si>
  <si>
    <t>737,90</t>
  </si>
  <si>
    <t>834,10</t>
  </si>
  <si>
    <t>Merger &amp; Restructuring Charges</t>
  </si>
  <si>
    <t>(0,98)</t>
  </si>
  <si>
    <t>(0,95)</t>
  </si>
  <si>
    <t>(0,81)</t>
  </si>
  <si>
    <t>Impairment of Goodwill</t>
  </si>
  <si>
    <t>Insurance Settlements</t>
  </si>
  <si>
    <t>364,87</t>
  </si>
  <si>
    <t>736,96</t>
  </si>
  <si>
    <t>833,29</t>
  </si>
  <si>
    <t>(5,44)</t>
  </si>
  <si>
    <t>(6,72)</t>
  </si>
  <si>
    <t>(8,46)</t>
  </si>
  <si>
    <t>(17,18)</t>
  </si>
  <si>
    <t>(47,87)</t>
  </si>
  <si>
    <t>(57,77)</t>
  </si>
  <si>
    <t>74,54</t>
  </si>
  <si>
    <t>95,61</t>
  </si>
  <si>
    <t>167,95</t>
  </si>
  <si>
    <t>347,69</t>
  </si>
  <si>
    <t>689,09</t>
  </si>
  <si>
    <t>775,52</t>
  </si>
  <si>
    <t>Extraordinary Item &amp; Accounting Change</t>
  </si>
  <si>
    <t>Preferred Dividend and Other Adjustments</t>
  </si>
  <si>
    <t>34,8 %</t>
  </si>
  <si>
    <t>34,0 %</t>
  </si>
  <si>
    <t>40,9 %</t>
  </si>
  <si>
    <t>50,7 %</t>
  </si>
  <si>
    <t>56,6 %</t>
  </si>
  <si>
    <t>58,6 %</t>
  </si>
  <si>
    <t>0,41</t>
  </si>
  <si>
    <t>0,53</t>
  </si>
  <si>
    <t>0,92</t>
  </si>
  <si>
    <t>1,84</t>
  </si>
  <si>
    <t>3,11</t>
  </si>
  <si>
    <t>3,54</t>
  </si>
  <si>
    <t>28,4 %</t>
  </si>
  <si>
    <t>74,5 %</t>
  </si>
  <si>
    <t>100,5 %</t>
  </si>
  <si>
    <t>68,4 %</t>
  </si>
  <si>
    <t>181,69</t>
  </si>
  <si>
    <t>182,63</t>
  </si>
  <si>
    <t>183,39</t>
  </si>
  <si>
    <t>189,02</t>
  </si>
  <si>
    <t>221,82</t>
  </si>
  <si>
    <t>218,87</t>
  </si>
  <si>
    <t>4,0 %</t>
  </si>
  <si>
    <t>1,7 %</t>
  </si>
  <si>
    <t>12,3 %</t>
  </si>
  <si>
    <t>9,3 %</t>
  </si>
  <si>
    <t>179,85</t>
  </si>
  <si>
    <t>180,74</t>
  </si>
  <si>
    <t>183,93</t>
  </si>
  <si>
    <t>213,71</t>
  </si>
  <si>
    <t>213,65</t>
  </si>
  <si>
    <t>1,6 %</t>
  </si>
  <si>
    <t>10,8 %</t>
  </si>
  <si>
    <t>8,3 %</t>
  </si>
  <si>
    <t>Dividends Per Share</t>
  </si>
  <si>
    <t>0,22</t>
  </si>
  <si>
    <t>0,27</t>
  </si>
  <si>
    <t>0,47</t>
  </si>
  <si>
    <t>0,83</t>
  </si>
  <si>
    <t>1,62</t>
  </si>
  <si>
    <t>1,39</t>
  </si>
  <si>
    <t>27,3 %</t>
  </si>
  <si>
    <t>71,3 %</t>
  </si>
  <si>
    <t>76,3 %</t>
  </si>
  <si>
    <t>94,6 %</t>
  </si>
  <si>
    <t>Special Dividends Per Share</t>
  </si>
  <si>
    <t>Payout Ratio %</t>
  </si>
  <si>
    <t>38,8 %</t>
  </si>
  <si>
    <t>28,8 %</t>
  </si>
  <si>
    <t>26,8 %</t>
  </si>
  <si>
    <t>38,3 %</t>
  </si>
  <si>
    <t>0,93</t>
  </si>
  <si>
    <t>1,89</t>
  </si>
  <si>
    <t>3,22</t>
  </si>
  <si>
    <t>3,63</t>
  </si>
  <si>
    <t>FFO Payout Ratio %</t>
  </si>
  <si>
    <t>FFO</t>
  </si>
  <si>
    <t>86,43</t>
  </si>
  <si>
    <t>111,55</t>
  </si>
  <si>
    <t>189,89</t>
  </si>
  <si>
    <t>387,16</t>
  </si>
  <si>
    <t>790,87</t>
  </si>
  <si>
    <t>878,04</t>
  </si>
  <si>
    <t>29,1 %</t>
  </si>
  <si>
    <t>70,2 %</t>
  </si>
  <si>
    <t>103,9 %</t>
  </si>
  <si>
    <t>104,3 %</t>
  </si>
  <si>
    <t>89,74</t>
  </si>
  <si>
    <t>190,59</t>
  </si>
  <si>
    <t>387,30</t>
  </si>
  <si>
    <t>791,15</t>
  </si>
  <si>
    <t>6,8 %</t>
  </si>
  <si>
    <t>6,6 %</t>
  </si>
  <si>
    <t>4,8 %</t>
  </si>
  <si>
    <t>4,7 %</t>
  </si>
  <si>
    <t>6,5 %</t>
  </si>
  <si>
    <t>6,9 %</t>
  </si>
  <si>
    <t>Distributable Cash per Share (Diluted)</t>
  </si>
  <si>
    <t>Annualized Distributions per Unit</t>
  </si>
  <si>
    <t>Same Store Sales Growth %</t>
  </si>
  <si>
    <t>Balance Sheet | TIKR.com</t>
  </si>
  <si>
    <t>Cash And Equivalents</t>
  </si>
  <si>
    <t>59,11</t>
  </si>
  <si>
    <t>97,32</t>
  </si>
  <si>
    <t>204,73</t>
  </si>
  <si>
    <t>270,80</t>
  </si>
  <si>
    <t>479,66</t>
  </si>
  <si>
    <t>313,24</t>
  </si>
  <si>
    <t>Short Term Investments</t>
  </si>
  <si>
    <t>Trading Asset Securities</t>
  </si>
  <si>
    <t>Total Cash And Short Term Investments</t>
  </si>
  <si>
    <t>47,42</t>
  </si>
  <si>
    <t>55,05</t>
  </si>
  <si>
    <t>74,55</t>
  </si>
  <si>
    <t>147,34</t>
  </si>
  <si>
    <t>236,83</t>
  </si>
  <si>
    <t>260,09</t>
  </si>
  <si>
    <t>Other Receivables</t>
  </si>
  <si>
    <t>32,75</t>
  </si>
  <si>
    <t>47,52</t>
  </si>
  <si>
    <t>83,99</t>
  </si>
  <si>
    <t>175,85</t>
  </si>
  <si>
    <t>170,24</t>
  </si>
  <si>
    <t>257,08</t>
  </si>
  <si>
    <t>Notes Receivable</t>
  </si>
  <si>
    <t>Total Receivables</t>
  </si>
  <si>
    <t>80,17</t>
  </si>
  <si>
    <t>102,57</t>
  </si>
  <si>
    <t>158,54</t>
  </si>
  <si>
    <t>323,19</t>
  </si>
  <si>
    <t>407,07</t>
  </si>
  <si>
    <t>517,17</t>
  </si>
  <si>
    <t>0,97</t>
  </si>
  <si>
    <t>1,56</t>
  </si>
  <si>
    <t>1,80</t>
  </si>
  <si>
    <t>4,01</t>
  </si>
  <si>
    <t>Prepaid Expenses</t>
  </si>
  <si>
    <t>1,05</t>
  </si>
  <si>
    <t>1,04</t>
  </si>
  <si>
    <t>2,10</t>
  </si>
  <si>
    <t>4,86</t>
  </si>
  <si>
    <t>19,94</t>
  </si>
  <si>
    <t>37,90</t>
  </si>
  <si>
    <t>Finance Division Loans and Leases Current</t>
  </si>
  <si>
    <t>Finance Division Other Current Assets</t>
  </si>
  <si>
    <t>Loans Held For Sale</t>
  </si>
  <si>
    <t>Deferred Tax Assets Current</t>
  </si>
  <si>
    <t>Restricted Cash</t>
  </si>
  <si>
    <t>2,66</t>
  </si>
  <si>
    <t>2,29</t>
  </si>
  <si>
    <t>9,20</t>
  </si>
  <si>
    <t>10,57</t>
  </si>
  <si>
    <t>142,53</t>
  </si>
  <si>
    <t>204,56</t>
  </si>
  <si>
    <t>369,23</t>
  </si>
  <si>
    <t>609,86</t>
  </si>
  <si>
    <t>921,25</t>
  </si>
  <si>
    <t>868,31</t>
  </si>
  <si>
    <t>Gross Property Plant And Equipment</t>
  </si>
  <si>
    <t>50,24</t>
  </si>
  <si>
    <t>66,53</t>
  </si>
  <si>
    <t>108,43</t>
  </si>
  <si>
    <t>234,42</t>
  </si>
  <si>
    <t>252,17</t>
  </si>
  <si>
    <t>Accumulated Depreciation</t>
  </si>
  <si>
    <t>(14,89)</t>
  </si>
  <si>
    <t>(21,14)</t>
  </si>
  <si>
    <t>(32,72)</t>
  </si>
  <si>
    <t>(104,49)</t>
  </si>
  <si>
    <t>(99,12)</t>
  </si>
  <si>
    <t>Net Property Plant And Equipment</t>
  </si>
  <si>
    <t>35,35</t>
  </si>
  <si>
    <t>45,39</t>
  </si>
  <si>
    <t>75,70</t>
  </si>
  <si>
    <t>129,94</t>
  </si>
  <si>
    <t>153,05</t>
  </si>
  <si>
    <t>172,59</t>
  </si>
  <si>
    <t>Long-term Investments</t>
  </si>
  <si>
    <t>14,00</t>
  </si>
  <si>
    <t>2240,82</t>
  </si>
  <si>
    <t>2490,87</t>
  </si>
  <si>
    <t>2313,97</t>
  </si>
  <si>
    <t>Other Intangibles</t>
  </si>
  <si>
    <t>19,88</t>
  </si>
  <si>
    <t>24,45</t>
  </si>
  <si>
    <t>26,63</t>
  </si>
  <si>
    <t>883,44</t>
  </si>
  <si>
    <t>861,88</t>
  </si>
  <si>
    <t>750,81</t>
  </si>
  <si>
    <t>Finance Division Loans and Leases Long-Term</t>
  </si>
  <si>
    <t>Finance Division Other Long-Term Assets</t>
  </si>
  <si>
    <t>Accounts Receivable Long-Term</t>
  </si>
  <si>
    <t>Loans Receivable Long-Term</t>
  </si>
  <si>
    <t>Deferred Tax Assets Long-Term</t>
  </si>
  <si>
    <t>0,09</t>
  </si>
  <si>
    <t>0,21</t>
  </si>
  <si>
    <t>0,17</t>
  </si>
  <si>
    <t>3,29</t>
  </si>
  <si>
    <t>2,69</t>
  </si>
  <si>
    <t>Deferred Charges Long-Term</t>
  </si>
  <si>
    <t>Other Long-Term Assets</t>
  </si>
  <si>
    <t>2,92</t>
  </si>
  <si>
    <t>1,09</t>
  </si>
  <si>
    <t>1,25</t>
  </si>
  <si>
    <t>4,03</t>
  </si>
  <si>
    <t>12,63</t>
  </si>
  <si>
    <t>9,46</t>
  </si>
  <si>
    <t>200,76</t>
  </si>
  <si>
    <t>275,70</t>
  </si>
  <si>
    <t>487,00</t>
  </si>
  <si>
    <t>3871,38</t>
  </si>
  <si>
    <t>4442,37</t>
  </si>
  <si>
    <t>4117,81</t>
  </si>
  <si>
    <t>4,74</t>
  </si>
  <si>
    <t>3,65</t>
  </si>
  <si>
    <t>5,95</t>
  </si>
  <si>
    <t>18,73</t>
  </si>
  <si>
    <t>9,76</t>
  </si>
  <si>
    <t>10,65</t>
  </si>
  <si>
    <t>Accrued Expenses</t>
  </si>
  <si>
    <t>12,00</t>
  </si>
  <si>
    <t>14,24</t>
  </si>
  <si>
    <t>23,25</t>
  </si>
  <si>
    <t>45,66</t>
  </si>
  <si>
    <t>50,63</t>
  </si>
  <si>
    <t>43,47</t>
  </si>
  <si>
    <t>Short-term Borrowings</t>
  </si>
  <si>
    <t>Current Portion of Long-Term Debt</t>
  </si>
  <si>
    <t>1,14</t>
  </si>
  <si>
    <t>6,30</t>
  </si>
  <si>
    <t>Current Portion of Capital Lease Obligations</t>
  </si>
  <si>
    <t>4,42</t>
  </si>
  <si>
    <t>14,53</t>
  </si>
  <si>
    <t>16,66</t>
  </si>
  <si>
    <t>16,83</t>
  </si>
  <si>
    <t>Finance Division Debt Current</t>
  </si>
  <si>
    <t>Finance Division Other Current Liabilities</t>
  </si>
  <si>
    <t>Current Income Taxes Payable</t>
  </si>
  <si>
    <t>38,27</t>
  </si>
  <si>
    <t>57,21</t>
  </si>
  <si>
    <t>91,45</t>
  </si>
  <si>
    <t>200,44</t>
  </si>
  <si>
    <t>215,18</t>
  </si>
  <si>
    <t>295,97</t>
  </si>
  <si>
    <t>Unearned Revenue Current</t>
  </si>
  <si>
    <t>2,00</t>
  </si>
  <si>
    <t>0,94</t>
  </si>
  <si>
    <t>4,10</t>
  </si>
  <si>
    <t>7,74</t>
  </si>
  <si>
    <t>4,94</t>
  </si>
  <si>
    <t>Deferred Tax Liability Current</t>
  </si>
  <si>
    <t>2,08</t>
  </si>
  <si>
    <t>6,23</t>
  </si>
  <si>
    <t>19,01</t>
  </si>
  <si>
    <t>162,69</t>
  </si>
  <si>
    <t>124,10</t>
  </si>
  <si>
    <t>42,79</t>
  </si>
  <si>
    <t>60,23</t>
  </si>
  <si>
    <t>83,36</t>
  </si>
  <si>
    <t>154,47</t>
  </si>
  <si>
    <t>449,79</t>
  </si>
  <si>
    <t>421,27</t>
  </si>
  <si>
    <t>409,71</t>
  </si>
  <si>
    <t>8,03</t>
  </si>
  <si>
    <t>6,44</t>
  </si>
  <si>
    <t>Capital Leases</t>
  </si>
  <si>
    <t>17,37</t>
  </si>
  <si>
    <t>46,52</t>
  </si>
  <si>
    <t>60,52</t>
  </si>
  <si>
    <t>50,99</t>
  </si>
  <si>
    <t>Finance Division Debt Non Current</t>
  </si>
  <si>
    <t>Finance Division Other Non Current Liabilities</t>
  </si>
  <si>
    <t>Unearned Revenue Non Current</t>
  </si>
  <si>
    <t>Pension &amp; Other Post Retirement Benefits</t>
  </si>
  <si>
    <t>Deferred Tax Liability Non Current</t>
  </si>
  <si>
    <t>0,68</t>
  </si>
  <si>
    <t>44,79</t>
  </si>
  <si>
    <t>66,94</t>
  </si>
  <si>
    <t>58,71</t>
  </si>
  <si>
    <t>Other Non Current Liabilities</t>
  </si>
  <si>
    <t>261,78</t>
  </si>
  <si>
    <t>358,49</t>
  </si>
  <si>
    <t>68,93</t>
  </si>
  <si>
    <t>89,80</t>
  </si>
  <si>
    <t>171,92</t>
  </si>
  <si>
    <t>541,10</t>
  </si>
  <si>
    <t>810,51</t>
  </si>
  <si>
    <t>877,90</t>
  </si>
  <si>
    <t>Preferred Stock Redeemable</t>
  </si>
  <si>
    <t>Preferred Stock Non Redeemable</t>
  </si>
  <si>
    <t>Preferred Stock Convertible</t>
  </si>
  <si>
    <t>Preferred Stock - Others</t>
  </si>
  <si>
    <t>Total Preferred Equity</t>
  </si>
  <si>
    <t>0,65</t>
  </si>
  <si>
    <t>0,62</t>
  </si>
  <si>
    <t>0,61</t>
  </si>
  <si>
    <t>0,78</t>
  </si>
  <si>
    <t>0,74</t>
  </si>
  <si>
    <t>0,63</t>
  </si>
  <si>
    <t>Additional Paid In Capital</t>
  </si>
  <si>
    <t>5,64</t>
  </si>
  <si>
    <t>6,72</t>
  </si>
  <si>
    <t>19,55</t>
  </si>
  <si>
    <t>2719,05</t>
  </si>
  <si>
    <t>2738,02</t>
  </si>
  <si>
    <t>2355,91</t>
  </si>
  <si>
    <t>125,60</t>
  </si>
  <si>
    <t>178,68</t>
  </si>
  <si>
    <t>294,81</t>
  </si>
  <si>
    <t>564,58</t>
  </si>
  <si>
    <t>913,92</t>
  </si>
  <si>
    <t>1025,65</t>
  </si>
  <si>
    <t>Treasury Stock</t>
  </si>
  <si>
    <t>Comprehensive Income and Other</t>
  </si>
  <si>
    <t>(0,12)</t>
  </si>
  <si>
    <t>0,11</t>
  </si>
  <si>
    <t>45,87</t>
  </si>
  <si>
    <t>(20,81)</t>
  </si>
  <si>
    <t>(142,28)</t>
  </si>
  <si>
    <t>Total Common Equity</t>
  </si>
  <si>
    <t>131,83</t>
  </si>
  <si>
    <t>185,90</t>
  </si>
  <si>
    <t>315,08</t>
  </si>
  <si>
    <t>3330,28</t>
  </si>
  <si>
    <t>3631,86</t>
  </si>
  <si>
    <t>3239,91</t>
  </si>
  <si>
    <t>Total Equity</t>
  </si>
  <si>
    <t>Total Liabilities And Equity</t>
  </si>
  <si>
    <t>Total Shares Out. on Filing Date</t>
  </si>
  <si>
    <t>213,21</t>
  </si>
  <si>
    <t>Book Value/Share</t>
  </si>
  <si>
    <t>0,73</t>
  </si>
  <si>
    <t>1,03</t>
  </si>
  <si>
    <t>1,73</t>
  </si>
  <si>
    <t>15,68</t>
  </si>
  <si>
    <t>16,98</t>
  </si>
  <si>
    <t>15,20</t>
  </si>
  <si>
    <t>Tangible Book Value</t>
  </si>
  <si>
    <t>111,95</t>
  </si>
  <si>
    <t>161,45</t>
  </si>
  <si>
    <t>274,45</t>
  </si>
  <si>
    <t>206,02</t>
  </si>
  <si>
    <t>279,10</t>
  </si>
  <si>
    <t>175,13</t>
  </si>
  <si>
    <t>Tangible Book Value/Share</t>
  </si>
  <si>
    <t>1,51</t>
  </si>
  <si>
    <t>1,30</t>
  </si>
  <si>
    <t>0,82</t>
  </si>
  <si>
    <t>9,17</t>
  </si>
  <si>
    <t>7,53</t>
  </si>
  <si>
    <t>28,09</t>
  </si>
  <si>
    <t>61,04</t>
  </si>
  <si>
    <t>77,18</t>
  </si>
  <si>
    <t>67,82</t>
  </si>
  <si>
    <t>(49,94)</t>
  </si>
  <si>
    <t>(89,79)</t>
  </si>
  <si>
    <t>(176,65)</t>
  </si>
  <si>
    <t>(209,76)</t>
  </si>
  <si>
    <t>(402,48)</t>
  </si>
  <si>
    <t>(245,43)</t>
  </si>
  <si>
    <t>Total Minority Interest</t>
  </si>
  <si>
    <t>Equity Method Investments</t>
  </si>
  <si>
    <t>Land</t>
  </si>
  <si>
    <t>Buildings</t>
  </si>
  <si>
    <t>Construction In Progress</t>
  </si>
  <si>
    <t>Full Time Employees</t>
  </si>
  <si>
    <t>Cash Flow Statement | TIKR.com</t>
  </si>
  <si>
    <t>6,07</t>
  </si>
  <si>
    <t>8,68</t>
  </si>
  <si>
    <t>15,28</t>
  </si>
  <si>
    <t>21,02</t>
  </si>
  <si>
    <t>29,83</t>
  </si>
  <si>
    <t>38,01</t>
  </si>
  <si>
    <t>0,35</t>
  </si>
  <si>
    <t>1,91</t>
  </si>
  <si>
    <t>5,16</t>
  </si>
  <si>
    <t>25,98</t>
  </si>
  <si>
    <t>22,36</t>
  </si>
  <si>
    <t>Impairment of Oil, Gas &amp; Mineral Properties</t>
  </si>
  <si>
    <t>Total Depreciation &amp; Amortization</t>
  </si>
  <si>
    <t>6,19</t>
  </si>
  <si>
    <t>9,03</t>
  </si>
  <si>
    <t>17,19</t>
  </si>
  <si>
    <t>26,18</t>
  </si>
  <si>
    <t>55,81</t>
  </si>
  <si>
    <t>60,38</t>
  </si>
  <si>
    <t>Amortization of Deferred Charges</t>
  </si>
  <si>
    <t>10,31</t>
  </si>
  <si>
    <t>11,43</t>
  </si>
  <si>
    <t>11,39</t>
  </si>
  <si>
    <t>13,54</t>
  </si>
  <si>
    <t>35,98</t>
  </si>
  <si>
    <t>30,98</t>
  </si>
  <si>
    <t>Minority Interest in Earnings</t>
  </si>
  <si>
    <t>(Gain) Loss From Sale Of Asset</t>
  </si>
  <si>
    <t>(Gain) Loss on Sale of Investments</t>
  </si>
  <si>
    <t>Asset Writedown &amp; Restructuring Costs</t>
  </si>
  <si>
    <t>0,39</t>
  </si>
  <si>
    <t>(0,00)</t>
  </si>
  <si>
    <t>Net (Increase) Decrease in Loans Originated / Sold - Operating</t>
  </si>
  <si>
    <t>Provision for Credit Losses</t>
  </si>
  <si>
    <t>(Income) Loss On Equity Investments</t>
  </si>
  <si>
    <t>Tax Benefit from Stock Options</t>
  </si>
  <si>
    <t>Provision and Write-off of Bad Debts</t>
  </si>
  <si>
    <t>Net Cash From Discontinued Operations</t>
  </si>
  <si>
    <t>Other Operating Activities</t>
  </si>
  <si>
    <t>1,97</t>
  </si>
  <si>
    <t>3,87</t>
  </si>
  <si>
    <t>41,30</t>
  </si>
  <si>
    <t>9,22</t>
  </si>
  <si>
    <t>(2,46)</t>
  </si>
  <si>
    <t>Change in Trading Asset Securities</t>
  </si>
  <si>
    <t>Change In Accounts Receivable</t>
  </si>
  <si>
    <t>(24,54)</t>
  </si>
  <si>
    <t>(9,31)</t>
  </si>
  <si>
    <t>(19,38)</t>
  </si>
  <si>
    <t>(39,51)</t>
  </si>
  <si>
    <t>(80,18)</t>
  </si>
  <si>
    <t>(75,45)</t>
  </si>
  <si>
    <t>Change In Inventories</t>
  </si>
  <si>
    <t>Change In Accounts Payable</t>
  </si>
  <si>
    <t>2,14</t>
  </si>
  <si>
    <t>(0,87)</t>
  </si>
  <si>
    <t>1,52</t>
  </si>
  <si>
    <t>(0,31)</t>
  </si>
  <si>
    <t>(8,10)</t>
  </si>
  <si>
    <t>2,45</t>
  </si>
  <si>
    <t>Change in Unearned Revenues</t>
  </si>
  <si>
    <t>Change In Income Taxes</t>
  </si>
  <si>
    <t>Change In Deferred Taxes</t>
  </si>
  <si>
    <t>Change in Other Net Operating Assets</t>
  </si>
  <si>
    <t>4,36</t>
  </si>
  <si>
    <t>4,30</t>
  </si>
  <si>
    <t>14,64</t>
  </si>
  <si>
    <t>(2,80)</t>
  </si>
  <si>
    <t>(20,18)</t>
  </si>
  <si>
    <t>(12,03)</t>
  </si>
  <si>
    <t>Cash from Operations</t>
  </si>
  <si>
    <t>74,97</t>
  </si>
  <si>
    <t>114,60</t>
  </si>
  <si>
    <t>197,18</t>
  </si>
  <si>
    <t>386,09</t>
  </si>
  <si>
    <t>681,65</t>
  </si>
  <si>
    <t>779,37</t>
  </si>
  <si>
    <t>Memo: Change in Net Working Capital</t>
  </si>
  <si>
    <t>(18,04)</t>
  </si>
  <si>
    <t>(5,88)</t>
  </si>
  <si>
    <t>(3,21)</t>
  </si>
  <si>
    <t>(42,63)</t>
  </si>
  <si>
    <t>(108,45)</t>
  </si>
  <si>
    <t>(85,04)</t>
  </si>
  <si>
    <t>Capital Expenditure</t>
  </si>
  <si>
    <t>(12,47)</t>
  </si>
  <si>
    <t>(20,47)</t>
  </si>
  <si>
    <t>(21,26)</t>
  </si>
  <si>
    <t>(28,40)</t>
  </si>
  <si>
    <t>(37,91)</t>
  </si>
  <si>
    <t>(55,40)</t>
  </si>
  <si>
    <t>Sale of Property, Plant, and Equipment</t>
  </si>
  <si>
    <t>Cash Acquisitions</t>
  </si>
  <si>
    <t>(13,25)</t>
  </si>
  <si>
    <t>56,30</t>
  </si>
  <si>
    <t>(104,97)</t>
  </si>
  <si>
    <t>(253,61)</t>
  </si>
  <si>
    <t>Divestitures</t>
  </si>
  <si>
    <t>Sale (Purchase) of Real Estate properties</t>
  </si>
  <si>
    <t>Sale (Purchase) of Intangible assets</t>
  </si>
  <si>
    <t>(12,67)</t>
  </si>
  <si>
    <t>(17,48)</t>
  </si>
  <si>
    <t>(12,52)</t>
  </si>
  <si>
    <t>(16,66)</t>
  </si>
  <si>
    <t>(32,19)</t>
  </si>
  <si>
    <t>(34,05)</t>
  </si>
  <si>
    <t>Investment in Marketable and Equity Securities</t>
  </si>
  <si>
    <t>Net (Increase) Decrease in Loans Originated / Sold - Investing</t>
  </si>
  <si>
    <t>Other Investing Activities</t>
  </si>
  <si>
    <t>(1,73)</t>
  </si>
  <si>
    <t>1,70</t>
  </si>
  <si>
    <t>(0,68)</t>
  </si>
  <si>
    <t>(2,90)</t>
  </si>
  <si>
    <t>(1,29)</t>
  </si>
  <si>
    <t>(2,00)</t>
  </si>
  <si>
    <t>Cash from Investing</t>
  </si>
  <si>
    <t>(26,86)</t>
  </si>
  <si>
    <t>(36,26)</t>
  </si>
  <si>
    <t>(47,70)</t>
  </si>
  <si>
    <t>8,33</t>
  </si>
  <si>
    <t>(176,36)</t>
  </si>
  <si>
    <t>(345,06)</t>
  </si>
  <si>
    <t>Total Debt Issued</t>
  </si>
  <si>
    <t>Total Debt Repaid</t>
  </si>
  <si>
    <t>(0,90)</t>
  </si>
  <si>
    <t>(1,23)</t>
  </si>
  <si>
    <t>(5,00)</t>
  </si>
  <si>
    <t>(238,71)</t>
  </si>
  <si>
    <t>(14,61)</t>
  </si>
  <si>
    <t>(15,68)</t>
  </si>
  <si>
    <t>Issuance of Common Stock</t>
  </si>
  <si>
    <t>13,15</t>
  </si>
  <si>
    <t>26,39</t>
  </si>
  <si>
    <t>Repurchase of Common Stock</t>
  </si>
  <si>
    <t>(12,04)</t>
  </si>
  <si>
    <t>(140,35)</t>
  </si>
  <si>
    <t>(194,91)</t>
  </si>
  <si>
    <t>Issuance of Preferred Stock</t>
  </si>
  <si>
    <t>Repurchase of Preferred Stock</t>
  </si>
  <si>
    <t>Common Dividends Paid</t>
  </si>
  <si>
    <t>(19,42)</t>
  </si>
  <si>
    <t>(37,09)</t>
  </si>
  <si>
    <t>(48,42)</t>
  </si>
  <si>
    <t>(93,01)</t>
  </si>
  <si>
    <t>(164,33)</t>
  </si>
  <si>
    <t>(296,67)</t>
  </si>
  <si>
    <t>Preferred Dividends Paid</t>
  </si>
  <si>
    <t>Common &amp; Preferred Stock Dividends Paid</t>
  </si>
  <si>
    <t>Special Dividend Paid</t>
  </si>
  <si>
    <t>Other Financing Activities</t>
  </si>
  <si>
    <t>(0,17)</t>
  </si>
  <si>
    <t>1,83</t>
  </si>
  <si>
    <t>10,05</t>
  </si>
  <si>
    <t>(2,10)</t>
  </si>
  <si>
    <t>Cash from Financing</t>
  </si>
  <si>
    <t>(20,32)</t>
  </si>
  <si>
    <t>(37,40)</t>
  </si>
  <si>
    <t>(40,44)</t>
  </si>
  <si>
    <t>(341,94)</t>
  </si>
  <si>
    <t>(282,85)</t>
  </si>
  <si>
    <t>(509,36)</t>
  </si>
  <si>
    <t>Foreign Exchange Rate Adjustments</t>
  </si>
  <si>
    <t>(0,09)</t>
  </si>
  <si>
    <t>(0,07)</t>
  </si>
  <si>
    <t>0,40</t>
  </si>
  <si>
    <t>(4,65)</t>
  </si>
  <si>
    <t>4,93</t>
  </si>
  <si>
    <t>4,23</t>
  </si>
  <si>
    <t>Miscellaneous Cash Flow Adjustments</t>
  </si>
  <si>
    <t>Net Change in Cash</t>
  </si>
  <si>
    <t>27,70</t>
  </si>
  <si>
    <t>40,87</t>
  </si>
  <si>
    <t>109,44</t>
  </si>
  <si>
    <t>47,83</t>
  </si>
  <si>
    <t>227,36</t>
  </si>
  <si>
    <t>(70,81)</t>
  </si>
  <si>
    <t>62,50</t>
  </si>
  <si>
    <t>94,13</t>
  </si>
  <si>
    <t>175,92</t>
  </si>
  <si>
    <t>357,68</t>
  </si>
  <si>
    <t>643,74</t>
  </si>
  <si>
    <t>723,98</t>
  </si>
  <si>
    <t>50,6 %</t>
  </si>
  <si>
    <t>86,9 %</t>
  </si>
  <si>
    <t>103,3 %</t>
  </si>
  <si>
    <t>80,0 %</t>
  </si>
  <si>
    <t>   % Free Cash Flow Margins</t>
  </si>
  <si>
    <t>29,2 %</t>
  </si>
  <si>
    <t>33,5 %</t>
  </si>
  <si>
    <t>42,9 %</t>
  </si>
  <si>
    <t>52,2 %</t>
  </si>
  <si>
    <t>52,9 %</t>
  </si>
  <si>
    <t>54,7 %</t>
  </si>
  <si>
    <t>Cash and Cash Equivalents, Beginning of Period</t>
  </si>
  <si>
    <t>31,42</t>
  </si>
  <si>
    <t>56,45</t>
  </si>
  <si>
    <t>95,29</t>
  </si>
  <si>
    <t>222,97</t>
  </si>
  <si>
    <t>252,30</t>
  </si>
  <si>
    <t>412,97</t>
  </si>
  <si>
    <t>Cash and Cash Equivalents, End of Period</t>
  </si>
  <si>
    <t>Cash Interest Paid</t>
  </si>
  <si>
    <t>0,18</t>
  </si>
  <si>
    <t>3,84</t>
  </si>
  <si>
    <t>2,01</t>
  </si>
  <si>
    <t>Cash Taxes Paid</t>
  </si>
  <si>
    <t>3,57</t>
  </si>
  <si>
    <t>3,34</t>
  </si>
  <si>
    <t>5,94</t>
  </si>
  <si>
    <t>7,96</t>
  </si>
  <si>
    <t>30,50</t>
  </si>
  <si>
    <t>47,27</t>
  </si>
  <si>
    <t>Maintenance CAPEX</t>
  </si>
  <si>
    <t>Cash Flow per Share</t>
  </si>
  <si>
    <t>0,28</t>
  </si>
  <si>
    <t>0,43</t>
  </si>
  <si>
    <t>1,85</t>
  </si>
  <si>
    <t>2,86</t>
  </si>
  <si>
    <t>3,23</t>
  </si>
  <si>
    <t>Decision Making</t>
  </si>
  <si>
    <t>Stocks to compare: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</si>
</sst>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 #,##0.00\ &quot;€&quot;_-;\-* #,##0.00\ &quot;€&quot;_-;_-* &quot;-&quot;??\ &quot;€&quot;_-;_-@_-"/>
    <numFmt numFmtId="164" formatCode="#,##0.0"/>
    <numFmt numFmtId="165" formatCode="_([$$-409]* #,##0.00_);_([$$-409]* \(#,##0.00\);_([$$-409]* &quot;-&quot;??_);_(@_)"/>
    <numFmt numFmtId="166" formatCode="0.0"/>
    <numFmt numFmtId="167" formatCode="_-[$$-409]* #,##0.00_ ;_-[$$-409]* \-#,##0.00\ ;_-[$$-409]* &quot;-&quot;??_ ;_-@_ "/>
    <numFmt numFmtId="168" formatCode="_([$€-2]\ * #,##0.00_);_([$€-2]\ * \(#,##0.00\);_([$€-2]\ * &quot;-&quot;??_);_(@_)"/>
    <numFmt numFmtId="169" formatCode="_-* #,##0.00\ [$zł-415]_-;\-* #,##0.00\ [$zł-415]_-;_-* &quot;-&quot;??\ [$zł-415]_-;_-@_-"/>
    <numFmt numFmtId="170" formatCode="_([$$-409]* #,##0.00_);_([$$-409]* \(#,##0.00\);_([$$-409]* &quot;-&quot;_);_(@_)"/>
    <numFmt numFmtId="171" formatCode="##.0\x"/>
    <numFmt numFmtId="172" formatCode="#,##0.000"/>
  </numFmts>
  <fonts count="55"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1"/>
      <color theme="10"/>
      <name val="Calibri"/>
      <family val="2"/>
      <scheme val="minor"/>
    </font>
    <font>
      <sz val="12"/>
      <color theme="1"/>
      <name val="Calibri Light"/>
      <family val="2"/>
      <scheme val="major"/>
    </font>
    <font>
      <sz val="14"/>
      <color theme="1"/>
      <name val="Calibri Light"/>
      <family val="2"/>
      <scheme val="major"/>
    </font>
    <font>
      <sz val="16"/>
      <color theme="1"/>
      <name val="Calibri Light"/>
      <family val="2"/>
      <scheme val="major"/>
    </font>
    <font>
      <sz val="20"/>
      <color theme="1"/>
      <name val="Calibri Light"/>
      <family val="2"/>
      <scheme val="major"/>
    </font>
    <font>
      <sz val="10"/>
      <color theme="1"/>
      <name val="Calibri Light"/>
      <family val="2"/>
      <scheme val="major"/>
    </font>
    <font>
      <b/>
      <sz val="11"/>
      <color theme="1"/>
      <name val="Calibri"/>
      <family val="2"/>
      <scheme val="min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
      <sz val="9"/>
      <color theme="1"/>
      <name val="Calibri Light"/>
      <family val="2"/>
      <scheme val="major"/>
    </font>
    <font>
      <sz val="8"/>
      <color theme="1"/>
      <name val="Calibri Light"/>
      <family val="2"/>
      <scheme val="major"/>
    </font>
    <font>
      <b/>
      <sz val="12"/>
      <color theme="9" tint="0.39997558519241921"/>
      <name val="Calibri"/>
      <family val="2"/>
    </font>
    <font>
      <b/>
      <sz val="12"/>
      <color rgb="FFFF5050"/>
      <name val="Calibri"/>
      <family val="2"/>
    </font>
    <font>
      <b/>
      <sz val="11"/>
      <color rgb="FFFFFFFF"/>
      <name val="Roboto"/>
    </font>
    <font>
      <sz val="11"/>
      <color rgb="FFFFFFFF"/>
      <name val="Roboto"/>
    </font>
    <font>
      <sz val="11"/>
      <color rgb="FFCFD2D6"/>
      <name val="Roboto"/>
    </font>
    <font>
      <b/>
      <sz val="11"/>
      <color rgb="FFCFD2D6"/>
      <name val="Roboto"/>
    </font>
    <font>
      <b/>
      <i/>
      <sz val="11"/>
      <color rgb="FFFFFFFF"/>
      <name val="Roboto"/>
    </font>
    <font>
      <b/>
      <i/>
      <sz val="11"/>
      <color rgb="FFCFD2D6"/>
      <name val="Roboto"/>
    </font>
    <font>
      <b/>
      <i/>
      <sz val="11"/>
      <color rgb="FF000000"/>
      <name val="Roboto"/>
    </font>
    <font>
      <sz val="11"/>
      <color rgb="FFF44336"/>
      <name val="Roboto"/>
    </font>
    <font>
      <b/>
      <sz val="11"/>
      <color rgb="FFF44336"/>
      <name val="Roboto"/>
    </font>
    <font>
      <sz val="11"/>
      <color rgb="FF000000"/>
      <name val="Roboto"/>
    </font>
    <font>
      <i/>
      <sz val="11"/>
      <color rgb="FFFFFFFF"/>
      <name val="Roboto"/>
    </font>
    <font>
      <i/>
      <sz val="11"/>
      <color rgb="FFF44336"/>
      <name val="Roboto"/>
    </font>
    <font>
      <i/>
      <sz val="11"/>
      <color rgb="FFCFD2D6"/>
      <name val="Roboto"/>
    </font>
    <font>
      <i/>
      <sz val="11"/>
      <color rgb="FF000000"/>
      <name val="Roboto"/>
    </font>
    <font>
      <b/>
      <sz val="11"/>
      <color rgb="FF000000"/>
      <name val="Roboto"/>
    </font>
    <font>
      <b/>
      <i/>
      <sz val="11"/>
      <color theme="1"/>
      <name val="Calibri"/>
      <family val="2"/>
      <scheme val="minor"/>
    </font>
    <font>
      <b/>
      <sz val="12"/>
      <color theme="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rgb="FF1E1E1E"/>
        <bgColor indexed="64"/>
      </patternFill>
    </fill>
    <fill>
      <patternFill patternType="solid">
        <fgColor rgb="FF333333"/>
        <bgColor indexed="64"/>
      </patternFill>
    </fill>
  </fills>
  <borders count="68">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right/>
      <top style="thin">
        <color rgb="FFC0C0C0"/>
      </top>
      <bottom style="thin">
        <color theme="2" tint="-0.249977111117893"/>
      </bottom>
      <diagonal/>
    </border>
    <border>
      <left/>
      <right style="thin">
        <color rgb="FFC0C0C0"/>
      </right>
      <top style="thin">
        <color rgb="FFC0C0C0"/>
      </top>
      <bottom style="thin">
        <color theme="2" tint="-0.249977111117893"/>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style="thin">
        <color theme="2" tint="-9.9978637043366805E-2"/>
      </left>
      <right style="thin">
        <color theme="2" tint="-9.9978637043366805E-2"/>
      </right>
      <top/>
      <bottom style="thin">
        <color theme="2" tint="-9.9978637043366805E-2"/>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diagonal/>
    </border>
    <border>
      <left/>
      <right style="medium">
        <color theme="1" tint="0.499984740745262"/>
      </right>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
      <left/>
      <right/>
      <top style="thick">
        <color rgb="FFFFFFFF"/>
      </top>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246">
    <xf numFmtId="0" fontId="0" fillId="0" borderId="0" xfId="0"/>
    <xf numFmtId="3" fontId="0" fillId="0" borderId="0" xfId="0" applyNumberFormat="1"/>
    <xf numFmtId="0" fontId="3" fillId="2" borderId="2" xfId="0" applyFont="1" applyFill="1" applyBorder="1" applyAlignment="1">
      <alignment vertical="center"/>
    </xf>
    <xf numFmtId="0" fontId="3" fillId="2" borderId="1" xfId="0" applyFont="1" applyFill="1" applyBorder="1" applyAlignment="1">
      <alignment vertical="center"/>
    </xf>
    <xf numFmtId="2" fontId="3" fillId="2" borderId="2" xfId="0" applyNumberFormat="1" applyFont="1" applyFill="1" applyBorder="1" applyAlignment="1">
      <alignment vertical="center"/>
    </xf>
    <xf numFmtId="3" fontId="3" fillId="2" borderId="1" xfId="0" applyNumberFormat="1" applyFont="1" applyFill="1" applyBorder="1" applyAlignment="1">
      <alignment horizontal="right" vertical="center"/>
    </xf>
    <xf numFmtId="4" fontId="3" fillId="2" borderId="1" xfId="0" applyNumberFormat="1" applyFont="1" applyFill="1" applyBorder="1" applyAlignment="1">
      <alignment horizontal="right" vertical="center"/>
    </xf>
    <xf numFmtId="0" fontId="3" fillId="2" borderId="7" xfId="0" applyFont="1" applyFill="1" applyBorder="1"/>
    <xf numFmtId="0" fontId="3" fillId="2" borderId="0" xfId="0" applyFont="1" applyFill="1"/>
    <xf numFmtId="0" fontId="4" fillId="2" borderId="7" xfId="0" applyFont="1" applyFill="1" applyBorder="1" applyAlignment="1">
      <alignment horizontal="center" vertical="center"/>
    </xf>
    <xf numFmtId="4" fontId="3" fillId="2" borderId="1" xfId="2" applyNumberFormat="1" applyFont="1" applyFill="1" applyBorder="1" applyAlignment="1">
      <alignment horizontal="right" vertical="center"/>
    </xf>
    <xf numFmtId="2" fontId="5" fillId="2" borderId="2" xfId="0" applyNumberFormat="1" applyFont="1" applyFill="1" applyBorder="1" applyAlignment="1">
      <alignment vertical="center"/>
    </xf>
    <xf numFmtId="4" fontId="5" fillId="2" borderId="1" xfId="2" applyNumberFormat="1" applyFont="1" applyFill="1" applyBorder="1" applyAlignment="1">
      <alignment horizontal="right" vertical="center"/>
    </xf>
    <xf numFmtId="4" fontId="5" fillId="2" borderId="1" xfId="0" applyNumberFormat="1" applyFont="1" applyFill="1" applyBorder="1" applyAlignment="1">
      <alignment horizontal="right" vertical="center"/>
    </xf>
    <xf numFmtId="0" fontId="5" fillId="2" borderId="1" xfId="0" applyFont="1" applyFill="1" applyBorder="1" applyAlignment="1">
      <alignment vertical="center"/>
    </xf>
    <xf numFmtId="2" fontId="3" fillId="2" borderId="10" xfId="0" applyNumberFormat="1" applyFont="1" applyFill="1" applyBorder="1" applyAlignment="1">
      <alignment vertical="center"/>
    </xf>
    <xf numFmtId="4" fontId="3" fillId="2" borderId="9" xfId="0" applyNumberFormat="1" applyFont="1" applyFill="1" applyBorder="1" applyAlignment="1">
      <alignment horizontal="right" vertical="center"/>
    </xf>
    <xf numFmtId="2" fontId="3" fillId="2" borderId="13" xfId="0" applyNumberFormat="1" applyFont="1" applyFill="1" applyBorder="1" applyAlignment="1">
      <alignment vertical="center"/>
    </xf>
    <xf numFmtId="3" fontId="3" fillId="2" borderId="12" xfId="0" applyNumberFormat="1" applyFont="1" applyFill="1" applyBorder="1" applyAlignment="1">
      <alignment horizontal="right" vertical="center"/>
    </xf>
    <xf numFmtId="0" fontId="3" fillId="0" borderId="0" xfId="0" applyFont="1"/>
    <xf numFmtId="3" fontId="3" fillId="2" borderId="0" xfId="0" applyNumberFormat="1" applyFont="1" applyFill="1" applyAlignment="1">
      <alignment horizontal="center" vertical="center"/>
    </xf>
    <xf numFmtId="3" fontId="3" fillId="2" borderId="3" xfId="0" applyNumberFormat="1" applyFont="1" applyFill="1" applyBorder="1" applyAlignment="1">
      <alignment horizontal="center" vertical="center"/>
    </xf>
    <xf numFmtId="0" fontId="3" fillId="2" borderId="5" xfId="0" applyFont="1" applyFill="1" applyBorder="1" applyAlignment="1">
      <alignment vertical="center"/>
    </xf>
    <xf numFmtId="0" fontId="3" fillId="2" borderId="0" xfId="0" applyFont="1" applyFill="1" applyAlignment="1">
      <alignment vertical="center"/>
    </xf>
    <xf numFmtId="0" fontId="3" fillId="0" borderId="0" xfId="0" applyFont="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2" borderId="6" xfId="0" applyFont="1" applyFill="1" applyBorder="1"/>
    <xf numFmtId="0" fontId="3" fillId="2" borderId="8" xfId="0" applyFont="1" applyFill="1" applyBorder="1"/>
    <xf numFmtId="0" fontId="3" fillId="2" borderId="10" xfId="0" applyFont="1" applyFill="1" applyBorder="1"/>
    <xf numFmtId="0" fontId="3" fillId="2" borderId="9" xfId="0" applyFont="1" applyFill="1" applyBorder="1"/>
    <xf numFmtId="0" fontId="0" fillId="0" borderId="0" xfId="0" applyAlignment="1">
      <alignment horizontal="center" vertical="center"/>
    </xf>
    <xf numFmtId="0" fontId="3" fillId="2" borderId="0" xfId="0" applyFont="1" applyFill="1" applyAlignment="1">
      <alignment horizontal="center"/>
    </xf>
    <xf numFmtId="0" fontId="3" fillId="2" borderId="15" xfId="0" applyFont="1" applyFill="1" applyBorder="1" applyAlignment="1">
      <alignment vertical="center"/>
    </xf>
    <xf numFmtId="0" fontId="3" fillId="2" borderId="17" xfId="0" applyFont="1" applyFill="1" applyBorder="1" applyAlignment="1">
      <alignment vertical="center"/>
    </xf>
    <xf numFmtId="0" fontId="3" fillId="2" borderId="18" xfId="0" applyFont="1" applyFill="1" applyBorder="1" applyAlignment="1">
      <alignment vertical="center"/>
    </xf>
    <xf numFmtId="0" fontId="3" fillId="2" borderId="19" xfId="0" applyFont="1" applyFill="1" applyBorder="1" applyAlignment="1">
      <alignment vertical="center"/>
    </xf>
    <xf numFmtId="0" fontId="3" fillId="2" borderId="18" xfId="0" applyFont="1" applyFill="1" applyBorder="1"/>
    <xf numFmtId="0" fontId="3" fillId="2" borderId="19" xfId="0" applyFont="1" applyFill="1" applyBorder="1"/>
    <xf numFmtId="0" fontId="3" fillId="2" borderId="20" xfId="0" applyFont="1" applyFill="1" applyBorder="1"/>
    <xf numFmtId="0" fontId="3" fillId="2" borderId="21" xfId="0" applyFont="1" applyFill="1" applyBorder="1"/>
    <xf numFmtId="0" fontId="3" fillId="2" borderId="22" xfId="0" applyFont="1" applyFill="1" applyBorder="1"/>
    <xf numFmtId="0" fontId="3" fillId="2" borderId="16" xfId="0" applyFont="1" applyFill="1" applyBorder="1" applyAlignment="1">
      <alignment horizontal="center" vertical="center"/>
    </xf>
    <xf numFmtId="9" fontId="3" fillId="2" borderId="1" xfId="2" applyFont="1" applyFill="1" applyBorder="1" applyAlignment="1">
      <alignment horizontal="right" vertical="center"/>
    </xf>
    <xf numFmtId="0" fontId="8" fillId="0" borderId="0" xfId="3" applyFont="1"/>
    <xf numFmtId="0" fontId="1" fillId="0" borderId="0" xfId="0" applyFont="1"/>
    <xf numFmtId="0" fontId="4" fillId="2" borderId="9" xfId="0" applyFont="1" applyFill="1" applyBorder="1" applyAlignment="1">
      <alignment horizontal="center"/>
    </xf>
    <xf numFmtId="0" fontId="4" fillId="2" borderId="9" xfId="0" applyFont="1" applyFill="1" applyBorder="1"/>
    <xf numFmtId="164" fontId="3" fillId="2" borderId="1" xfId="0" applyNumberFormat="1" applyFont="1" applyFill="1" applyBorder="1" applyAlignment="1">
      <alignment horizontal="right" vertical="center"/>
    </xf>
    <xf numFmtId="0" fontId="3" fillId="2" borderId="23" xfId="0" applyFont="1" applyFill="1" applyBorder="1" applyAlignment="1">
      <alignment vertical="center"/>
    </xf>
    <xf numFmtId="0" fontId="3" fillId="2" borderId="24" xfId="0" applyFont="1" applyFill="1" applyBorder="1" applyAlignment="1">
      <alignment vertical="center"/>
    </xf>
    <xf numFmtId="0" fontId="3" fillId="2" borderId="14" xfId="0" applyFont="1" applyFill="1" applyBorder="1" applyAlignment="1">
      <alignment vertical="center"/>
    </xf>
    <xf numFmtId="0" fontId="3" fillId="2" borderId="23" xfId="0" applyFont="1" applyFill="1" applyBorder="1"/>
    <xf numFmtId="0" fontId="3" fillId="2" borderId="24" xfId="0" applyFont="1" applyFill="1" applyBorder="1"/>
    <xf numFmtId="0" fontId="3" fillId="2" borderId="14" xfId="0" applyFont="1" applyFill="1" applyBorder="1"/>
    <xf numFmtId="0" fontId="4" fillId="2" borderId="0" xfId="0" applyFont="1" applyFill="1" applyAlignment="1">
      <alignment horizontal="center"/>
    </xf>
    <xf numFmtId="0" fontId="3" fillId="2" borderId="0" xfId="0" applyFont="1" applyFill="1" applyAlignment="1">
      <alignment horizontal="center" vertical="center"/>
    </xf>
    <xf numFmtId="0" fontId="3" fillId="2" borderId="16" xfId="0" applyFont="1" applyFill="1" applyBorder="1"/>
    <xf numFmtId="0" fontId="4" fillId="2" borderId="16" xfId="0" applyFont="1" applyFill="1" applyBorder="1" applyAlignment="1">
      <alignment horizontal="center"/>
    </xf>
    <xf numFmtId="0" fontId="3" fillId="2" borderId="17" xfId="0" applyFont="1" applyFill="1" applyBorder="1"/>
    <xf numFmtId="0" fontId="6" fillId="2" borderId="21" xfId="0" applyFont="1" applyFill="1" applyBorder="1" applyAlignment="1">
      <alignment horizontal="center" vertical="center"/>
    </xf>
    <xf numFmtId="0" fontId="4" fillId="2" borderId="21" xfId="0" applyFont="1" applyFill="1" applyBorder="1" applyAlignment="1">
      <alignment horizontal="center"/>
    </xf>
    <xf numFmtId="0" fontId="3" fillId="2" borderId="25" xfId="0" applyFont="1" applyFill="1" applyBorder="1"/>
    <xf numFmtId="0" fontId="3" fillId="2" borderId="16" xfId="0" applyFont="1" applyFill="1" applyBorder="1" applyAlignment="1">
      <alignment horizontal="left"/>
    </xf>
    <xf numFmtId="165" fontId="3" fillId="2" borderId="0" xfId="1" applyNumberFormat="1" applyFont="1" applyFill="1" applyBorder="1"/>
    <xf numFmtId="0" fontId="4" fillId="2" borderId="19" xfId="0" applyFont="1" applyFill="1" applyBorder="1" applyAlignment="1">
      <alignment horizontal="center"/>
    </xf>
    <xf numFmtId="10" fontId="4" fillId="2" borderId="0" xfId="0" applyNumberFormat="1" applyFont="1" applyFill="1" applyAlignment="1">
      <alignment horizontal="right" vertical="center"/>
    </xf>
    <xf numFmtId="165" fontId="4" fillId="2" borderId="0" xfId="0" applyNumberFormat="1" applyFont="1" applyFill="1" applyAlignment="1">
      <alignment horizontal="right" vertical="center"/>
    </xf>
    <xf numFmtId="165" fontId="3" fillId="2" borderId="0" xfId="0" applyNumberFormat="1" applyFont="1" applyFill="1" applyAlignment="1">
      <alignment horizontal="left" vertical="center"/>
    </xf>
    <xf numFmtId="0" fontId="3" fillId="2" borderId="26" xfId="0" applyFont="1" applyFill="1" applyBorder="1" applyAlignment="1">
      <alignment horizontal="left" vertical="center"/>
    </xf>
    <xf numFmtId="0" fontId="13" fillId="2" borderId="25" xfId="0" applyFont="1" applyFill="1" applyBorder="1" applyAlignment="1">
      <alignment horizontal="right" vertical="center"/>
    </xf>
    <xf numFmtId="44" fontId="3" fillId="2" borderId="0" xfId="0" applyNumberFormat="1" applyFont="1" applyFill="1" applyAlignment="1">
      <alignment horizontal="left" vertical="center"/>
    </xf>
    <xf numFmtId="0" fontId="3" fillId="2" borderId="28" xfId="0" applyFont="1" applyFill="1" applyBorder="1"/>
    <xf numFmtId="0" fontId="3" fillId="2" borderId="11" xfId="0" applyFont="1" applyFill="1" applyBorder="1"/>
    <xf numFmtId="10" fontId="3" fillId="2" borderId="0" xfId="2" applyNumberFormat="1" applyFont="1" applyFill="1" applyBorder="1"/>
    <xf numFmtId="2" fontId="7" fillId="2" borderId="0" xfId="0" applyNumberFormat="1" applyFont="1" applyFill="1" applyAlignment="1">
      <alignment horizontal="left" vertical="top"/>
    </xf>
    <xf numFmtId="0" fontId="3" fillId="2" borderId="0" xfId="0" applyFont="1" applyFill="1" applyAlignment="1">
      <alignment horizontal="left"/>
    </xf>
    <xf numFmtId="166" fontId="7" fillId="2" borderId="0" xfId="0" applyNumberFormat="1" applyFont="1" applyFill="1" applyAlignment="1">
      <alignment horizontal="left" vertical="top"/>
    </xf>
    <xf numFmtId="9" fontId="7" fillId="2" borderId="0" xfId="2" applyFont="1" applyFill="1" applyBorder="1" applyAlignment="1">
      <alignment horizontal="left" vertical="top"/>
    </xf>
    <xf numFmtId="0" fontId="4" fillId="2" borderId="0" xfId="0" applyFont="1" applyFill="1"/>
    <xf numFmtId="0" fontId="14" fillId="0" borderId="0" xfId="0" applyFont="1"/>
    <xf numFmtId="0" fontId="5" fillId="2" borderId="0" xfId="0" applyFont="1" applyFill="1"/>
    <xf numFmtId="3" fontId="3" fillId="2" borderId="0" xfId="0" applyNumberFormat="1" applyFont="1" applyFill="1"/>
    <xf numFmtId="3" fontId="5" fillId="2" borderId="0" xfId="0" applyNumberFormat="1" applyFont="1" applyFill="1"/>
    <xf numFmtId="0" fontId="9" fillId="2" borderId="0" xfId="0" applyFont="1" applyFill="1"/>
    <xf numFmtId="9" fontId="3" fillId="2" borderId="0" xfId="0" applyNumberFormat="1" applyFont="1" applyFill="1" applyAlignment="1">
      <alignment horizontal="center"/>
    </xf>
    <xf numFmtId="9" fontId="3" fillId="2" borderId="0" xfId="2" applyFont="1" applyFill="1" applyBorder="1" applyAlignment="1">
      <alignment horizontal="center"/>
    </xf>
    <xf numFmtId="3" fontId="3" fillId="2" borderId="0" xfId="0" applyNumberFormat="1" applyFont="1" applyFill="1" applyAlignment="1">
      <alignment horizontal="center"/>
    </xf>
    <xf numFmtId="3" fontId="3" fillId="0" borderId="0" xfId="0" applyNumberFormat="1" applyFont="1"/>
    <xf numFmtId="0" fontId="4" fillId="2" borderId="4" xfId="0" applyFont="1" applyFill="1" applyBorder="1" applyAlignment="1">
      <alignment horizontal="center"/>
    </xf>
    <xf numFmtId="0" fontId="3" fillId="2" borderId="29" xfId="0" applyFont="1" applyFill="1" applyBorder="1"/>
    <xf numFmtId="0" fontId="3" fillId="2" borderId="15" xfId="0" applyFont="1" applyFill="1" applyBorder="1"/>
    <xf numFmtId="0" fontId="3" fillId="2" borderId="27" xfId="0" applyFont="1" applyFill="1" applyBorder="1"/>
    <xf numFmtId="0" fontId="16" fillId="0" borderId="0" xfId="0" applyFont="1"/>
    <xf numFmtId="2" fontId="3" fillId="2" borderId="7" xfId="0" applyNumberFormat="1" applyFont="1" applyFill="1" applyBorder="1" applyAlignment="1">
      <alignment vertical="center"/>
    </xf>
    <xf numFmtId="4" fontId="3" fillId="2" borderId="0" xfId="0" applyNumberFormat="1" applyFont="1" applyFill="1" applyAlignment="1">
      <alignment horizontal="right" vertical="center"/>
    </xf>
    <xf numFmtId="0" fontId="3" fillId="2" borderId="23" xfId="0" applyFont="1" applyFill="1" applyBorder="1" applyAlignment="1">
      <alignment horizontal="center"/>
    </xf>
    <xf numFmtId="0" fontId="3" fillId="2" borderId="24" xfId="0" applyFont="1" applyFill="1" applyBorder="1" applyAlignment="1">
      <alignment horizontal="center"/>
    </xf>
    <xf numFmtId="0" fontId="3" fillId="2" borderId="30" xfId="0" applyFont="1" applyFill="1" applyBorder="1" applyAlignment="1">
      <alignment horizontal="center"/>
    </xf>
    <xf numFmtId="9" fontId="3" fillId="2" borderId="24" xfId="2" applyFont="1" applyFill="1" applyBorder="1" applyAlignment="1">
      <alignment horizontal="center"/>
    </xf>
    <xf numFmtId="9" fontId="3" fillId="2" borderId="24" xfId="0" applyNumberFormat="1" applyFont="1" applyFill="1" applyBorder="1" applyAlignment="1">
      <alignment horizontal="center"/>
    </xf>
    <xf numFmtId="9" fontId="3" fillId="2" borderId="0" xfId="2" applyFont="1" applyFill="1" applyBorder="1" applyAlignment="1">
      <alignment horizontal="left" vertical="top"/>
    </xf>
    <xf numFmtId="167" fontId="3" fillId="2" borderId="24" xfId="0" applyNumberFormat="1" applyFont="1" applyFill="1" applyBorder="1" applyAlignment="1">
      <alignment vertical="center"/>
    </xf>
    <xf numFmtId="165" fontId="13" fillId="2" borderId="0" xfId="0" applyNumberFormat="1" applyFont="1" applyFill="1" applyAlignment="1">
      <alignment horizontal="left" vertical="center"/>
    </xf>
    <xf numFmtId="0" fontId="0" fillId="2" borderId="0" xfId="0" applyFill="1"/>
    <xf numFmtId="0" fontId="0" fillId="2" borderId="31" xfId="0" applyFill="1" applyBorder="1"/>
    <xf numFmtId="0" fontId="0" fillId="2" borderId="32" xfId="0"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38" xfId="0" applyFill="1" applyBorder="1"/>
    <xf numFmtId="3" fontId="6" fillId="2" borderId="0" xfId="0" applyNumberFormat="1" applyFont="1" applyFill="1" applyAlignment="1">
      <alignment horizontal="center" vertical="center"/>
    </xf>
    <xf numFmtId="0" fontId="29" fillId="0" borderId="0" xfId="0" applyFont="1"/>
    <xf numFmtId="0" fontId="18" fillId="5" borderId="14" xfId="0" applyFont="1" applyFill="1" applyBorder="1" applyAlignment="1">
      <alignment wrapText="1"/>
    </xf>
    <xf numFmtId="0" fontId="18" fillId="5" borderId="25" xfId="0" applyFont="1" applyFill="1" applyBorder="1" applyAlignment="1">
      <alignment wrapText="1"/>
    </xf>
    <xf numFmtId="165" fontId="18" fillId="4" borderId="41" xfId="0" applyNumberFormat="1" applyFont="1" applyFill="1" applyBorder="1" applyAlignment="1">
      <alignment horizontal="right" wrapText="1"/>
    </xf>
    <xf numFmtId="168" fontId="18" fillId="4" borderId="41" xfId="0" applyNumberFormat="1" applyFont="1" applyFill="1" applyBorder="1" applyAlignment="1">
      <alignment horizontal="right" wrapText="1"/>
    </xf>
    <xf numFmtId="4" fontId="18" fillId="4" borderId="41" xfId="0" applyNumberFormat="1" applyFont="1" applyFill="1" applyBorder="1" applyAlignment="1">
      <alignment horizontal="right" wrapText="1"/>
    </xf>
    <xf numFmtId="169" fontId="18" fillId="4" borderId="41" xfId="0" applyNumberFormat="1" applyFont="1" applyFill="1" applyBorder="1" applyAlignment="1">
      <alignment horizontal="right" wrapText="1"/>
    </xf>
    <xf numFmtId="0" fontId="19" fillId="9" borderId="39" xfId="0" applyFont="1" applyFill="1" applyBorder="1" applyAlignment="1">
      <alignment horizontal="right" vertical="center" wrapText="1"/>
    </xf>
    <xf numFmtId="0" fontId="20" fillId="9" borderId="39" xfId="0" applyFont="1" applyFill="1" applyBorder="1" applyAlignment="1">
      <alignment horizontal="right" vertical="center" wrapText="1"/>
    </xf>
    <xf numFmtId="0" fontId="21" fillId="9" borderId="39" xfId="0" applyFont="1" applyFill="1" applyBorder="1" applyAlignment="1">
      <alignment horizontal="right" vertical="center" wrapText="1"/>
    </xf>
    <xf numFmtId="0" fontId="24" fillId="9" borderId="39" xfId="0" applyFont="1" applyFill="1" applyBorder="1" applyAlignment="1">
      <alignment horizontal="right" vertical="center" wrapText="1"/>
    </xf>
    <xf numFmtId="10" fontId="19" fillId="9" borderId="39" xfId="0" applyNumberFormat="1" applyFont="1" applyFill="1" applyBorder="1" applyAlignment="1">
      <alignment horizontal="right" vertical="center" wrapText="1"/>
    </xf>
    <xf numFmtId="0" fontId="22" fillId="9" borderId="39" xfId="0" applyFont="1" applyFill="1" applyBorder="1" applyAlignment="1">
      <alignment horizontal="right" vertical="center" wrapText="1"/>
    </xf>
    <xf numFmtId="10" fontId="23" fillId="9" borderId="39" xfId="0" applyNumberFormat="1" applyFont="1" applyFill="1" applyBorder="1" applyAlignment="1">
      <alignment horizontal="right" vertical="center" wrapText="1"/>
    </xf>
    <xf numFmtId="10" fontId="21" fillId="9" borderId="39" xfId="0" applyNumberFormat="1" applyFont="1" applyFill="1" applyBorder="1" applyAlignment="1">
      <alignment horizontal="right" vertical="center" wrapText="1"/>
    </xf>
    <xf numFmtId="0" fontId="23" fillId="9" borderId="39" xfId="0" applyFont="1" applyFill="1" applyBorder="1" applyAlignment="1">
      <alignment horizontal="right" vertical="center" wrapText="1"/>
    </xf>
    <xf numFmtId="10" fontId="25" fillId="9" borderId="39" xfId="0" applyNumberFormat="1" applyFont="1" applyFill="1" applyBorder="1" applyAlignment="1">
      <alignment horizontal="right" vertical="center" wrapText="1"/>
    </xf>
    <xf numFmtId="10" fontId="22" fillId="9" borderId="39" xfId="0" applyNumberFormat="1" applyFont="1" applyFill="1" applyBorder="1" applyAlignment="1">
      <alignment horizontal="right" vertical="center" wrapText="1"/>
    </xf>
    <xf numFmtId="10" fontId="21" fillId="9" borderId="40" xfId="0" applyNumberFormat="1" applyFont="1" applyFill="1" applyBorder="1" applyAlignment="1">
      <alignment horizontal="right" vertical="center" wrapText="1"/>
    </xf>
    <xf numFmtId="0" fontId="7" fillId="2" borderId="0" xfId="0" applyFont="1" applyFill="1" applyAlignment="1">
      <alignment horizontal="left" vertical="top"/>
    </xf>
    <xf numFmtId="170" fontId="9" fillId="2" borderId="27" xfId="0" applyNumberFormat="1" applyFont="1" applyFill="1" applyBorder="1" applyAlignment="1">
      <alignment vertical="center"/>
    </xf>
    <xf numFmtId="9" fontId="22" fillId="9" borderId="39" xfId="2" applyFont="1" applyFill="1" applyBorder="1" applyAlignment="1">
      <alignment horizontal="right" vertical="center" wrapText="1"/>
    </xf>
    <xf numFmtId="9" fontId="21" fillId="9" borderId="39" xfId="2" applyFont="1" applyFill="1" applyBorder="1" applyAlignment="1">
      <alignment horizontal="right" vertical="center" wrapText="1"/>
    </xf>
    <xf numFmtId="0" fontId="18" fillId="4" borderId="43" xfId="0" applyFont="1" applyFill="1" applyBorder="1" applyAlignment="1">
      <alignment horizontal="right" wrapText="1"/>
    </xf>
    <xf numFmtId="10" fontId="21" fillId="9" borderId="42" xfId="0" applyNumberFormat="1" applyFont="1" applyFill="1" applyBorder="1" applyAlignment="1">
      <alignment horizontal="right" vertical="center" wrapText="1"/>
    </xf>
    <xf numFmtId="9" fontId="19" fillId="9" borderId="39" xfId="2" applyFont="1" applyFill="1" applyBorder="1" applyAlignment="1">
      <alignment horizontal="right" vertical="center" wrapText="1"/>
    </xf>
    <xf numFmtId="9" fontId="24" fillId="9" borderId="39" xfId="2" applyFont="1" applyFill="1" applyBorder="1" applyAlignment="1">
      <alignment horizontal="right" vertical="center" wrapText="1"/>
    </xf>
    <xf numFmtId="10" fontId="31" fillId="9" borderId="39" xfId="0" applyNumberFormat="1" applyFont="1" applyFill="1" applyBorder="1" applyAlignment="1">
      <alignment horizontal="right" vertical="center" wrapText="1"/>
    </xf>
    <xf numFmtId="0" fontId="27" fillId="8" borderId="45" xfId="0" applyFont="1" applyFill="1" applyBorder="1" applyAlignment="1">
      <alignment horizontal="center" wrapText="1"/>
    </xf>
    <xf numFmtId="0" fontId="28" fillId="8" borderId="0" xfId="0" applyFont="1" applyFill="1" applyAlignment="1">
      <alignment horizontal="center" wrapText="1"/>
    </xf>
    <xf numFmtId="0" fontId="27" fillId="8" borderId="0" xfId="0" applyFont="1" applyFill="1" applyAlignment="1">
      <alignment horizontal="center" wrapText="1"/>
    </xf>
    <xf numFmtId="0" fontId="27" fillId="8" borderId="40" xfId="0" applyFont="1" applyFill="1" applyBorder="1" applyAlignment="1">
      <alignment horizontal="center" wrapText="1"/>
    </xf>
    <xf numFmtId="14" fontId="30" fillId="7" borderId="46" xfId="0" applyNumberFormat="1" applyFont="1" applyFill="1" applyBorder="1" applyAlignment="1">
      <alignment horizontal="center" wrapText="1"/>
    </xf>
    <xf numFmtId="14" fontId="30" fillId="7" borderId="47" xfId="0" applyNumberFormat="1" applyFont="1" applyFill="1" applyBorder="1" applyAlignment="1">
      <alignment horizontal="center" wrapText="1"/>
    </xf>
    <xf numFmtId="14" fontId="30" fillId="7" borderId="48" xfId="0" applyNumberFormat="1" applyFont="1" applyFill="1" applyBorder="1" applyAlignment="1">
      <alignment horizontal="center" wrapText="1"/>
    </xf>
    <xf numFmtId="14" fontId="30" fillId="7" borderId="49" xfId="0" applyNumberFormat="1" applyFont="1" applyFill="1" applyBorder="1" applyAlignment="1">
      <alignment horizontal="center" wrapText="1"/>
    </xf>
    <xf numFmtId="14" fontId="30" fillId="7" borderId="0" xfId="0" applyNumberFormat="1" applyFont="1" applyFill="1" applyAlignment="1">
      <alignment horizontal="center" wrapText="1"/>
    </xf>
    <xf numFmtId="0" fontId="18" fillId="4" borderId="55" xfId="0" applyFont="1" applyFill="1" applyBorder="1" applyAlignment="1">
      <alignment horizontal="center" wrapText="1"/>
    </xf>
    <xf numFmtId="0" fontId="18" fillId="5" borderId="24" xfId="0" applyFont="1" applyFill="1" applyBorder="1" applyAlignment="1">
      <alignment wrapText="1"/>
    </xf>
    <xf numFmtId="0" fontId="18" fillId="4" borderId="56" xfId="0" applyFont="1" applyFill="1" applyBorder="1" applyAlignment="1">
      <alignment horizontal="right" wrapText="1"/>
    </xf>
    <xf numFmtId="0" fontId="18" fillId="4" borderId="57" xfId="0" applyFont="1" applyFill="1" applyBorder="1" applyAlignment="1">
      <alignment horizontal="right" wrapText="1"/>
    </xf>
    <xf numFmtId="171" fontId="18" fillId="6" borderId="45" xfId="0" applyNumberFormat="1" applyFont="1" applyFill="1" applyBorder="1" applyAlignment="1">
      <alignment horizontal="center" wrapText="1"/>
    </xf>
    <xf numFmtId="0" fontId="18" fillId="5" borderId="51" xfId="0" applyFont="1" applyFill="1" applyBorder="1" applyAlignment="1">
      <alignment wrapText="1"/>
    </xf>
    <xf numFmtId="165" fontId="18" fillId="4" borderId="52" xfId="0" applyNumberFormat="1" applyFont="1" applyFill="1" applyBorder="1" applyAlignment="1">
      <alignment horizontal="right" wrapText="1"/>
    </xf>
    <xf numFmtId="0" fontId="18" fillId="4" borderId="53" xfId="0" applyFont="1" applyFill="1" applyBorder="1" applyAlignment="1">
      <alignment horizontal="right" wrapText="1"/>
    </xf>
    <xf numFmtId="0" fontId="26" fillId="9" borderId="39" xfId="0" applyFont="1" applyFill="1" applyBorder="1" applyAlignment="1">
      <alignment horizontal="right" vertical="center" wrapText="1"/>
    </xf>
    <xf numFmtId="0" fontId="26" fillId="9" borderId="40" xfId="0" applyFont="1" applyFill="1" applyBorder="1" applyAlignment="1">
      <alignment horizontal="right" vertical="center" wrapText="1"/>
    </xf>
    <xf numFmtId="0" fontId="26" fillId="9" borderId="54" xfId="0" applyFont="1" applyFill="1" applyBorder="1" applyAlignment="1">
      <alignment horizontal="right" vertical="center" wrapText="1"/>
    </xf>
    <xf numFmtId="9" fontId="32" fillId="9" borderId="45" xfId="0" applyNumberFormat="1" applyFont="1" applyFill="1" applyBorder="1" applyAlignment="1">
      <alignment horizontal="right" vertical="center" wrapText="1"/>
    </xf>
    <xf numFmtId="0" fontId="32" fillId="9" borderId="0" xfId="0" applyFont="1" applyFill="1" applyAlignment="1">
      <alignment horizontal="right" vertical="center" wrapText="1"/>
    </xf>
    <xf numFmtId="10" fontId="32" fillId="9" borderId="0" xfId="0" applyNumberFormat="1" applyFont="1" applyFill="1" applyAlignment="1">
      <alignment horizontal="right" vertical="center" wrapText="1"/>
    </xf>
    <xf numFmtId="0" fontId="33" fillId="9" borderId="0" xfId="0" applyFont="1" applyFill="1" applyAlignment="1">
      <alignment horizontal="right" vertical="center" wrapText="1"/>
    </xf>
    <xf numFmtId="10" fontId="33" fillId="9" borderId="0" xfId="0" applyNumberFormat="1" applyFont="1" applyFill="1" applyAlignment="1">
      <alignment horizontal="right" vertical="center" wrapText="1"/>
    </xf>
    <xf numFmtId="0" fontId="33" fillId="9" borderId="50" xfId="0" applyFont="1" applyFill="1" applyBorder="1" applyAlignment="1">
      <alignment horizontal="right" vertical="center" wrapText="1"/>
    </xf>
    <xf numFmtId="9" fontId="21" fillId="9" borderId="39" xfId="0" applyNumberFormat="1" applyFont="1" applyFill="1" applyBorder="1" applyAlignment="1">
      <alignment horizontal="right" vertical="center" wrapText="1"/>
    </xf>
    <xf numFmtId="9" fontId="21" fillId="9" borderId="44" xfId="2" applyFont="1" applyFill="1" applyBorder="1" applyAlignment="1">
      <alignment horizontal="right" vertical="center" wrapText="1"/>
    </xf>
    <xf numFmtId="9" fontId="32" fillId="9" borderId="0" xfId="0" applyNumberFormat="1" applyFont="1" applyFill="1" applyAlignment="1">
      <alignment horizontal="right" vertical="center" wrapText="1"/>
    </xf>
    <xf numFmtId="10" fontId="22" fillId="9" borderId="42" xfId="0" applyNumberFormat="1" applyFont="1" applyFill="1" applyBorder="1" applyAlignment="1">
      <alignment horizontal="right" vertical="center" wrapText="1"/>
    </xf>
    <xf numFmtId="10" fontId="19" fillId="9" borderId="40" xfId="0" applyNumberFormat="1" applyFont="1" applyFill="1" applyBorder="1" applyAlignment="1">
      <alignment horizontal="right" vertical="center" wrapText="1"/>
    </xf>
    <xf numFmtId="0" fontId="21" fillId="9" borderId="40" xfId="0" applyFont="1" applyFill="1" applyBorder="1" applyAlignment="1">
      <alignment horizontal="right" vertical="center" wrapText="1"/>
    </xf>
    <xf numFmtId="10" fontId="19" fillId="9" borderId="42" xfId="0" applyNumberFormat="1" applyFont="1" applyFill="1" applyBorder="1" applyAlignment="1">
      <alignment horizontal="right" vertical="center" wrapText="1"/>
    </xf>
    <xf numFmtId="9" fontId="18" fillId="5" borderId="25" xfId="2" applyFont="1" applyFill="1" applyBorder="1" applyAlignment="1">
      <alignment wrapText="1"/>
    </xf>
    <xf numFmtId="9" fontId="19" fillId="9" borderId="40" xfId="2" applyFont="1" applyFill="1" applyBorder="1" applyAlignment="1">
      <alignment horizontal="right" vertical="center" wrapText="1"/>
    </xf>
    <xf numFmtId="0" fontId="21" fillId="9" borderId="54" xfId="0" applyFont="1" applyFill="1" applyBorder="1" applyAlignment="1">
      <alignment horizontal="right" vertical="center" wrapText="1"/>
    </xf>
    <xf numFmtId="171" fontId="18" fillId="2" borderId="54" xfId="0" applyNumberFormat="1" applyFont="1" applyFill="1" applyBorder="1" applyAlignment="1">
      <alignment horizontal="center" wrapText="1"/>
    </xf>
    <xf numFmtId="171" fontId="18" fillId="6" borderId="54" xfId="0" applyNumberFormat="1" applyFont="1" applyFill="1" applyBorder="1" applyAlignment="1">
      <alignment horizontal="center" wrapText="1"/>
    </xf>
    <xf numFmtId="171" fontId="18" fillId="2" borderId="39" xfId="0" applyNumberFormat="1" applyFont="1" applyFill="1" applyBorder="1" applyAlignment="1">
      <alignment horizontal="center" wrapText="1"/>
    </xf>
    <xf numFmtId="0" fontId="18" fillId="4" borderId="58" xfId="0" applyFont="1" applyFill="1" applyBorder="1" applyAlignment="1">
      <alignment horizontal="center" wrapText="1"/>
    </xf>
    <xf numFmtId="0" fontId="18" fillId="5" borderId="59" xfId="0" applyFont="1" applyFill="1" applyBorder="1" applyAlignment="1">
      <alignment wrapText="1"/>
    </xf>
    <xf numFmtId="0" fontId="18" fillId="5" borderId="60" xfId="0" applyFont="1" applyFill="1" applyBorder="1" applyAlignment="1">
      <alignment wrapText="1"/>
    </xf>
    <xf numFmtId="9" fontId="18" fillId="5" borderId="60" xfId="2" applyFont="1" applyFill="1" applyBorder="1" applyAlignment="1">
      <alignment wrapText="1"/>
    </xf>
    <xf numFmtId="165" fontId="18" fillId="4" borderId="61" xfId="0" applyNumberFormat="1" applyFont="1" applyFill="1" applyBorder="1" applyAlignment="1">
      <alignment horizontal="right" wrapText="1"/>
    </xf>
    <xf numFmtId="3" fontId="18" fillId="4" borderId="62" xfId="0" applyNumberFormat="1" applyFont="1" applyFill="1" applyBorder="1" applyAlignment="1">
      <alignment horizontal="right" wrapText="1"/>
    </xf>
    <xf numFmtId="0" fontId="18" fillId="4" borderId="63" xfId="0" applyFont="1" applyFill="1" applyBorder="1" applyAlignment="1">
      <alignment horizontal="center" wrapText="1"/>
    </xf>
    <xf numFmtId="3" fontId="18" fillId="4" borderId="43" xfId="0" applyNumberFormat="1" applyFont="1" applyFill="1" applyBorder="1" applyAlignment="1">
      <alignment horizontal="right" wrapText="1"/>
    </xf>
    <xf numFmtId="0" fontId="18" fillId="4" borderId="64" xfId="0" applyFont="1" applyFill="1" applyBorder="1" applyAlignment="1">
      <alignment horizontal="center" wrapText="1"/>
    </xf>
    <xf numFmtId="9" fontId="18" fillId="5" borderId="65" xfId="2" applyFont="1" applyFill="1" applyBorder="1" applyAlignment="1">
      <alignment wrapText="1"/>
    </xf>
    <xf numFmtId="0" fontId="3" fillId="2" borderId="0" xfId="0" applyFont="1" applyFill="1" applyAlignment="1">
      <alignment horizontal="right"/>
    </xf>
    <xf numFmtId="0" fontId="5" fillId="2" borderId="1" xfId="0" applyFont="1" applyFill="1" applyBorder="1" applyAlignment="1">
      <alignment horizontal="right" vertical="center"/>
    </xf>
    <xf numFmtId="0" fontId="4" fillId="2" borderId="0" xfId="0" applyFont="1" applyFill="1" applyAlignment="1">
      <alignment horizontal="right"/>
    </xf>
    <xf numFmtId="0" fontId="35" fillId="2" borderId="0" xfId="0" applyFont="1" applyFill="1" applyAlignment="1">
      <alignment horizontal="right"/>
    </xf>
    <xf numFmtId="0" fontId="34" fillId="2" borderId="0" xfId="0" applyFont="1" applyFill="1" applyAlignment="1">
      <alignment vertical="top"/>
    </xf>
    <xf numFmtId="9" fontId="36" fillId="9" borderId="40" xfId="2" applyFont="1" applyFill="1" applyBorder="1" applyAlignment="1">
      <alignment horizontal="right" vertical="center" wrapText="1"/>
    </xf>
    <xf numFmtId="9" fontId="21" fillId="9" borderId="40" xfId="0" applyNumberFormat="1" applyFont="1" applyFill="1" applyBorder="1" applyAlignment="1">
      <alignment horizontal="right" vertical="center" wrapText="1"/>
    </xf>
    <xf numFmtId="9" fontId="37" fillId="9" borderId="39" xfId="2" applyFont="1" applyFill="1" applyBorder="1" applyAlignment="1">
      <alignment horizontal="right" vertical="center" wrapText="1"/>
    </xf>
    <xf numFmtId="9" fontId="18" fillId="5" borderId="24" xfId="2" applyFont="1" applyFill="1" applyBorder="1" applyAlignment="1">
      <alignment wrapText="1"/>
    </xf>
    <xf numFmtId="0" fontId="0" fillId="10" borderId="0" xfId="0" applyFill="1"/>
    <xf numFmtId="0" fontId="38" fillId="11" borderId="0" xfId="0" applyFont="1" applyFill="1" applyAlignment="1">
      <alignment horizontal="center" vertical="center"/>
    </xf>
    <xf numFmtId="14" fontId="38" fillId="11" borderId="0" xfId="0" applyNumberFormat="1" applyFont="1" applyFill="1" applyAlignment="1">
      <alignment horizontal="center" vertical="center"/>
    </xf>
    <xf numFmtId="0" fontId="39" fillId="10" borderId="0" xfId="0" applyFont="1" applyFill="1" applyAlignment="1">
      <alignment horizontal="left" vertical="center"/>
    </xf>
    <xf numFmtId="0" fontId="40" fillId="10" borderId="0" xfId="0" applyFont="1" applyFill="1" applyAlignment="1">
      <alignment horizontal="center" vertical="center"/>
    </xf>
    <xf numFmtId="0" fontId="2" fillId="10" borderId="0" xfId="3" applyFill="1" applyAlignment="1">
      <alignment horizontal="center" vertical="center"/>
    </xf>
    <xf numFmtId="0" fontId="38" fillId="10" borderId="0" xfId="0" applyFont="1" applyFill="1" applyAlignment="1">
      <alignment horizontal="left" vertical="center"/>
    </xf>
    <xf numFmtId="0" fontId="41" fillId="10" borderId="0" xfId="0" applyFont="1" applyFill="1" applyAlignment="1">
      <alignment horizontal="center" vertical="center"/>
    </xf>
    <xf numFmtId="0" fontId="42" fillId="10" borderId="0" xfId="0" applyFont="1" applyFill="1" applyAlignment="1">
      <alignment horizontal="left" vertical="center"/>
    </xf>
    <xf numFmtId="0" fontId="43" fillId="10" borderId="0" xfId="0" applyFont="1" applyFill="1" applyAlignment="1">
      <alignment horizontal="center" vertical="center"/>
    </xf>
    <xf numFmtId="0" fontId="44" fillId="10" borderId="0" xfId="0" applyFont="1" applyFill="1" applyAlignment="1">
      <alignment horizontal="center" vertical="center"/>
    </xf>
    <xf numFmtId="0" fontId="45" fillId="10" borderId="0" xfId="0" applyFont="1" applyFill="1" applyAlignment="1">
      <alignment horizontal="center" vertical="center"/>
    </xf>
    <xf numFmtId="0" fontId="38" fillId="10" borderId="66" xfId="0" applyFont="1" applyFill="1" applyBorder="1" applyAlignment="1">
      <alignment horizontal="left" vertical="center"/>
    </xf>
    <xf numFmtId="0" fontId="41" fillId="10" borderId="66" xfId="0" applyFont="1" applyFill="1" applyBorder="1" applyAlignment="1">
      <alignment horizontal="center" vertical="center"/>
    </xf>
    <xf numFmtId="0" fontId="2" fillId="10" borderId="66" xfId="3" applyFill="1" applyBorder="1" applyAlignment="1">
      <alignment horizontal="center" vertical="center"/>
    </xf>
    <xf numFmtId="0" fontId="46" fillId="10" borderId="66" xfId="0" applyFont="1" applyFill="1" applyBorder="1" applyAlignment="1">
      <alignment horizontal="center" vertical="center"/>
    </xf>
    <xf numFmtId="0" fontId="47" fillId="10" borderId="0" xfId="0" applyFont="1" applyFill="1" applyAlignment="1">
      <alignment horizontal="center" vertical="center"/>
    </xf>
    <xf numFmtId="0" fontId="48" fillId="10" borderId="0" xfId="0" applyFont="1" applyFill="1" applyAlignment="1">
      <alignment horizontal="left" vertical="center"/>
    </xf>
    <xf numFmtId="0" fontId="49" fillId="10" borderId="0" xfId="0" applyFont="1" applyFill="1" applyAlignment="1">
      <alignment horizontal="center" vertical="center"/>
    </xf>
    <xf numFmtId="0" fontId="50" fillId="10" borderId="0" xfId="0" applyFont="1" applyFill="1" applyAlignment="1">
      <alignment horizontal="center" vertical="center"/>
    </xf>
    <xf numFmtId="0" fontId="51" fillId="10" borderId="0" xfId="0" applyFont="1" applyFill="1" applyAlignment="1">
      <alignment horizontal="center" vertical="center"/>
    </xf>
    <xf numFmtId="0" fontId="52" fillId="10" borderId="0" xfId="0" applyFont="1" applyFill="1" applyAlignment="1">
      <alignment horizontal="center" vertical="center"/>
    </xf>
    <xf numFmtId="172" fontId="3" fillId="2" borderId="1" xfId="0" applyNumberFormat="1" applyFont="1" applyFill="1" applyBorder="1" applyAlignment="1">
      <alignment horizontal="right" vertical="center"/>
    </xf>
    <xf numFmtId="14" fontId="0" fillId="0" borderId="0" xfId="0" applyNumberFormat="1"/>
    <xf numFmtId="0" fontId="53" fillId="0" borderId="0" xfId="0" applyFont="1"/>
    <xf numFmtId="0" fontId="54" fillId="0" borderId="67" xfId="0" applyFont="1" applyBorder="1"/>
    <xf numFmtId="0" fontId="3" fillId="2" borderId="0" xfId="0" applyFont="1" applyFill="1" applyAlignment="1">
      <alignment horizontal="right"/>
    </xf>
    <xf numFmtId="0" fontId="10" fillId="2" borderId="27" xfId="0" applyFont="1" applyFill="1" applyBorder="1" applyAlignment="1">
      <alignment horizontal="center" vertical="center"/>
    </xf>
    <xf numFmtId="0" fontId="10" fillId="2" borderId="26" xfId="0" applyFont="1" applyFill="1" applyBorder="1" applyAlignment="1">
      <alignment horizontal="center" vertical="center"/>
    </xf>
    <xf numFmtId="0" fontId="3" fillId="2" borderId="0" xfId="0" applyFont="1" applyFill="1" applyAlignment="1">
      <alignment horizontal="left" vertical="top" wrapText="1"/>
    </xf>
    <xf numFmtId="0" fontId="4" fillId="2" borderId="0" xfId="0" applyFont="1" applyFill="1" applyAlignment="1">
      <alignment horizontal="center"/>
    </xf>
    <xf numFmtId="165" fontId="3" fillId="2" borderId="0" xfId="0" applyNumberFormat="1" applyFont="1" applyFill="1" applyAlignment="1">
      <alignment horizontal="center" vertical="center"/>
    </xf>
    <xf numFmtId="165" fontId="9" fillId="2" borderId="0" xfId="0" applyNumberFormat="1" applyFont="1" applyFill="1" applyAlignment="1">
      <alignment horizontal="center"/>
    </xf>
    <xf numFmtId="166" fontId="7" fillId="2" borderId="0" xfId="0" applyNumberFormat="1" applyFont="1" applyFill="1" applyAlignment="1">
      <alignment horizontal="left" vertical="top"/>
    </xf>
    <xf numFmtId="165" fontId="11" fillId="3" borderId="0" xfId="0" applyNumberFormat="1" applyFont="1" applyFill="1" applyAlignment="1">
      <alignment horizontal="center" vertical="center"/>
    </xf>
    <xf numFmtId="0" fontId="3" fillId="2" borderId="16" xfId="0" applyFont="1" applyFill="1" applyBorder="1" applyAlignment="1">
      <alignment horizontal="left"/>
    </xf>
    <xf numFmtId="44" fontId="3" fillId="2" borderId="0" xfId="0" applyNumberFormat="1" applyFont="1" applyFill="1" applyAlignment="1">
      <alignment horizontal="right" vertical="center"/>
    </xf>
    <xf numFmtId="10" fontId="12" fillId="0" borderId="0" xfId="0" applyNumberFormat="1" applyFont="1" applyAlignment="1">
      <alignment horizontal="center"/>
    </xf>
    <xf numFmtId="0" fontId="12" fillId="0" borderId="0" xfId="0" applyFont="1" applyAlignment="1">
      <alignment horizontal="center"/>
    </xf>
    <xf numFmtId="0" fontId="3" fillId="2" borderId="0" xfId="0" applyFont="1" applyFill="1" applyAlignment="1">
      <alignment horizontal="center"/>
    </xf>
    <xf numFmtId="9" fontId="7" fillId="2" borderId="0" xfId="2" applyFont="1" applyFill="1" applyBorder="1" applyAlignment="1">
      <alignment horizontal="left" vertical="top"/>
    </xf>
    <xf numFmtId="2" fontId="15" fillId="2" borderId="0" xfId="0" applyNumberFormat="1" applyFont="1" applyFill="1" applyAlignment="1">
      <alignment horizontal="center" vertical="center"/>
    </xf>
    <xf numFmtId="0" fontId="3" fillId="2" borderId="27" xfId="0" applyFont="1" applyFill="1" applyBorder="1" applyAlignment="1">
      <alignment horizontal="center" vertical="center"/>
    </xf>
    <xf numFmtId="0" fontId="3" fillId="2" borderId="26" xfId="0" applyFont="1" applyFill="1" applyBorder="1" applyAlignment="1">
      <alignment horizontal="center" vertical="center"/>
    </xf>
    <xf numFmtId="10" fontId="12" fillId="2" borderId="0" xfId="0" applyNumberFormat="1" applyFont="1" applyFill="1" applyAlignment="1">
      <alignment horizontal="center"/>
    </xf>
    <xf numFmtId="0" fontId="0" fillId="0" borderId="0" xfId="0"/>
  </cellXfs>
  <cellStyles count="4">
    <cellStyle name="Hipervínculo" xfId="3" builtinId="8"/>
    <cellStyle name="Moneda" xfId="1" builtinId="4"/>
    <cellStyle name="Normal" xfId="0" builtinId="0"/>
    <cellStyle name="Porcentaje" xfId="2" builtinId="5"/>
  </cellStyles>
  <dxfs count="41">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numFmt numFmtId="165"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FF5050"/>
      <color rgb="FFB48D51"/>
      <color rgb="FF966F33"/>
      <color rgb="FFD1A375"/>
      <color rgb="FF996633"/>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06/relationships/rdRichValue" Target="richData/rdrichvalue.xml"/><Relationship Id="rId3" Type="http://schemas.openxmlformats.org/officeDocument/2006/relationships/worksheet" Target="worksheets/sheet3.xml"/><Relationship Id="rId21"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Financials!$D$78</c:f>
              <c:strCache>
                <c:ptCount val="1"/>
                <c:pt idx="0">
                  <c:v>Cash and Short-Term Investments</c:v>
                </c:pt>
              </c:strCache>
            </c:strRef>
          </c:tx>
          <c:spPr>
            <a:solidFill>
              <a:schemeClr val="accent6">
                <a:lumMod val="60000"/>
                <a:lumOff val="40000"/>
              </a:schemeClr>
            </a:solidFill>
            <a:ln>
              <a:noFill/>
            </a:ln>
            <a:effectLst/>
          </c:spPr>
          <c:invertIfNegative val="0"/>
          <c:cat>
            <c:strRef>
              <c:f>Financials!$E$77:$N$77</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Financials!$E$78:$N$78</c:f>
              <c:numCache>
                <c:formatCode>#,##0.0</c:formatCode>
                <c:ptCount val="10"/>
                <c:pt idx="0">
                  <c:v>5.6021739999999998</c:v>
                </c:pt>
                <c:pt idx="1">
                  <c:v>8.2950429999999997</c:v>
                </c:pt>
                <c:pt idx="2">
                  <c:v>19.93</c:v>
                </c:pt>
                <c:pt idx="3">
                  <c:v>26.187999999999999</c:v>
                </c:pt>
                <c:pt idx="4">
                  <c:v>49.271999999999998</c:v>
                </c:pt>
                <c:pt idx="5">
                  <c:v>84.950999999999993</c:v>
                </c:pt>
                <c:pt idx="6">
                  <c:v>182.52</c:v>
                </c:pt>
                <c:pt idx="7">
                  <c:v>221.67500000000001</c:v>
                </c:pt>
                <c:pt idx="8">
                  <c:v>421.43200000000002</c:v>
                </c:pt>
                <c:pt idx="9">
                  <c:v>300.66500000000002</c:v>
                </c:pt>
              </c:numCache>
            </c:numRef>
          </c:val>
          <c:extLst>
            <c:ext xmlns:c16="http://schemas.microsoft.com/office/drawing/2014/chart" uri="{C3380CC4-5D6E-409C-BE32-E72D297353CC}">
              <c16:uniqueId val="{00000000-A72C-4B47-B086-214D27DB9E2F}"/>
            </c:ext>
          </c:extLst>
        </c:ser>
        <c:ser>
          <c:idx val="1"/>
          <c:order val="1"/>
          <c:tx>
            <c:strRef>
              <c:f>Financials!$D$79</c:f>
              <c:strCache>
                <c:ptCount val="1"/>
                <c:pt idx="0">
                  <c:v>Total Debt</c:v>
                </c:pt>
              </c:strCache>
            </c:strRef>
          </c:tx>
          <c:spPr>
            <a:solidFill>
              <a:srgbClr val="FF5050"/>
            </a:solidFill>
            <a:ln>
              <a:noFill/>
            </a:ln>
            <a:effectLst/>
          </c:spPr>
          <c:invertIfNegative val="0"/>
          <c:cat>
            <c:strRef>
              <c:f>Financials!$E$77:$N$77</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Financials!$E$79:$N$79</c:f>
              <c:numCache>
                <c:formatCode>#,##0.0</c:formatCode>
                <c:ptCount val="10"/>
                <c:pt idx="0">
                  <c:v>2.629451</c:v>
                </c:pt>
                <c:pt idx="1">
                  <c:v>4.5451079999999999</c:v>
                </c:pt>
                <c:pt idx="2">
                  <c:v>7.2270000000000003</c:v>
                </c:pt>
                <c:pt idx="3">
                  <c:v>8.5709999999999997</c:v>
                </c:pt>
                <c:pt idx="4">
                  <c:v>7.6429999999999998</c:v>
                </c:pt>
                <c:pt idx="5">
                  <c:v>6.569</c:v>
                </c:pt>
                <c:pt idx="6">
                  <c:v>25.038</c:v>
                </c:pt>
                <c:pt idx="7">
                  <c:v>49.969000000000001</c:v>
                </c:pt>
                <c:pt idx="8">
                  <c:v>67.81</c:v>
                </c:pt>
                <c:pt idx="9">
                  <c:v>69.209000000000003</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Financials!$D$33</c:f>
              <c:strCache>
                <c:ptCount val="1"/>
                <c:pt idx="0">
                  <c:v>Shares Diluted</c:v>
                </c:pt>
              </c:strCache>
            </c:strRef>
          </c:tx>
          <c:spPr>
            <a:solidFill>
              <a:schemeClr val="accent1">
                <a:alpha val="70000"/>
              </a:schemeClr>
            </a:solidFill>
            <a:ln>
              <a:noFill/>
            </a:ln>
            <a:effectLst/>
          </c:spPr>
          <c:invertIfNegative val="0"/>
          <c:cat>
            <c:strRef>
              <c:f>Financials!$E$20:$N$20</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Financials!$E$33:$N$33</c:f>
              <c:numCache>
                <c:formatCode>#,##0.00</c:formatCode>
                <c:ptCount val="10"/>
                <c:pt idx="0">
                  <c:v>179.85188500000001</c:v>
                </c:pt>
                <c:pt idx="1">
                  <c:v>179.85188500000001</c:v>
                </c:pt>
                <c:pt idx="2">
                  <c:v>179.52306999999999</c:v>
                </c:pt>
                <c:pt idx="3">
                  <c:v>180.76459500000001</c:v>
                </c:pt>
                <c:pt idx="4">
                  <c:v>181.68522999999999</c:v>
                </c:pt>
                <c:pt idx="5">
                  <c:v>182.62524500000001</c:v>
                </c:pt>
                <c:pt idx="6">
                  <c:v>183.38734099999999</c:v>
                </c:pt>
                <c:pt idx="7">
                  <c:v>189.02134599999999</c:v>
                </c:pt>
                <c:pt idx="8">
                  <c:v>189.02134599999999</c:v>
                </c:pt>
                <c:pt idx="9">
                  <c:v>217.12530000000001</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 (2)'!$D$78</c:f>
              <c:strCache>
                <c:ptCount val="1"/>
                <c:pt idx="0">
                  <c:v>Cash and Short-Term Investments</c:v>
                </c:pt>
              </c:strCache>
            </c:strRef>
          </c:tx>
          <c:spPr>
            <a:solidFill>
              <a:schemeClr val="accent6">
                <a:lumMod val="60000"/>
                <a:lumOff val="40000"/>
              </a:schemeClr>
            </a:solidFill>
            <a:ln>
              <a:noFill/>
            </a:ln>
            <a:effectLst/>
          </c:spPr>
          <c:invertIfNegative val="0"/>
          <c:cat>
            <c:strRef>
              <c:f>'Financials (2)'!$E$77:$N$77</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 (2)'!$E$78:$N$78</c:f>
              <c:numCache>
                <c:formatCode>#,##0.0</c:formatCode>
                <c:ptCount val="10"/>
                <c:pt idx="0">
                  <c:v>5.6021739999999998</c:v>
                </c:pt>
                <c:pt idx="1">
                  <c:v>8.2950429999999997</c:v>
                </c:pt>
                <c:pt idx="2">
                  <c:v>19.93</c:v>
                </c:pt>
                <c:pt idx="3">
                  <c:v>26.187999999999999</c:v>
                </c:pt>
                <c:pt idx="4">
                  <c:v>49.271999999999998</c:v>
                </c:pt>
                <c:pt idx="5">
                  <c:v>84.950999999999993</c:v>
                </c:pt>
                <c:pt idx="6">
                  <c:v>182.52</c:v>
                </c:pt>
                <c:pt idx="7">
                  <c:v>221.67500000000001</c:v>
                </c:pt>
                <c:pt idx="8">
                  <c:v>421.43200000000002</c:v>
                </c:pt>
                <c:pt idx="9">
                  <c:v>300.66500000000002</c:v>
                </c:pt>
              </c:numCache>
            </c:numRef>
          </c:val>
          <c:extLst>
            <c:ext xmlns:c16="http://schemas.microsoft.com/office/drawing/2014/chart" uri="{C3380CC4-5D6E-409C-BE32-E72D297353CC}">
              <c16:uniqueId val="{00000000-E5EB-4F4D-B693-9F97815195D3}"/>
            </c:ext>
          </c:extLst>
        </c:ser>
        <c:ser>
          <c:idx val="1"/>
          <c:order val="1"/>
          <c:tx>
            <c:strRef>
              <c:f>'Financials (2)'!$D$79</c:f>
              <c:strCache>
                <c:ptCount val="1"/>
                <c:pt idx="0">
                  <c:v>Total Debt</c:v>
                </c:pt>
              </c:strCache>
            </c:strRef>
          </c:tx>
          <c:spPr>
            <a:solidFill>
              <a:srgbClr val="FF5050"/>
            </a:solidFill>
            <a:ln>
              <a:noFill/>
            </a:ln>
            <a:effectLst/>
          </c:spPr>
          <c:invertIfNegative val="0"/>
          <c:cat>
            <c:strRef>
              <c:f>'Financials (2)'!$E$77:$N$77</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 (2)'!$E$79:$N$79</c:f>
              <c:numCache>
                <c:formatCode>#,##0.0</c:formatCode>
                <c:ptCount val="10"/>
                <c:pt idx="0">
                  <c:v>2.629451</c:v>
                </c:pt>
                <c:pt idx="1">
                  <c:v>4.5451079999999999</c:v>
                </c:pt>
                <c:pt idx="2">
                  <c:v>7.2270000000000003</c:v>
                </c:pt>
                <c:pt idx="3">
                  <c:v>8.5709999999999997</c:v>
                </c:pt>
                <c:pt idx="4">
                  <c:v>7.6429999999999998</c:v>
                </c:pt>
                <c:pt idx="5">
                  <c:v>6.569</c:v>
                </c:pt>
                <c:pt idx="6">
                  <c:v>25.038</c:v>
                </c:pt>
                <c:pt idx="7">
                  <c:v>49.969000000000001</c:v>
                </c:pt>
                <c:pt idx="8">
                  <c:v>67.81</c:v>
                </c:pt>
                <c:pt idx="9">
                  <c:v>69.209000000000003</c:v>
                </c:pt>
              </c:numCache>
            </c:numRef>
          </c:val>
          <c:extLst>
            <c:ext xmlns:c16="http://schemas.microsoft.com/office/drawing/2014/chart" uri="{C3380CC4-5D6E-409C-BE32-E72D297353CC}">
              <c16:uniqueId val="{00000001-E5EB-4F4D-B693-9F97815195D3}"/>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 (2)'!$D$33</c:f>
              <c:strCache>
                <c:ptCount val="1"/>
                <c:pt idx="0">
                  <c:v>Shares Diluted</c:v>
                </c:pt>
              </c:strCache>
            </c:strRef>
          </c:tx>
          <c:spPr>
            <a:solidFill>
              <a:schemeClr val="accent1">
                <a:alpha val="70000"/>
              </a:schemeClr>
            </a:solidFill>
            <a:ln>
              <a:noFill/>
            </a:ln>
            <a:effectLst/>
          </c:spPr>
          <c:invertIfNegative val="0"/>
          <c:cat>
            <c:strRef>
              <c:f>'Financials (2)'!$E$20:$N$20</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 (2)'!$E$33:$N$33</c:f>
              <c:numCache>
                <c:formatCode>#,##0.00</c:formatCode>
                <c:ptCount val="10"/>
                <c:pt idx="0">
                  <c:v>179.85188500000001</c:v>
                </c:pt>
                <c:pt idx="1">
                  <c:v>179.85188500000001</c:v>
                </c:pt>
                <c:pt idx="2">
                  <c:v>179.52306999999999</c:v>
                </c:pt>
                <c:pt idx="3">
                  <c:v>180.76459500000001</c:v>
                </c:pt>
                <c:pt idx="4">
                  <c:v>181.68522999999999</c:v>
                </c:pt>
                <c:pt idx="5">
                  <c:v>182.62524500000001</c:v>
                </c:pt>
                <c:pt idx="6">
                  <c:v>183.38734099999999</c:v>
                </c:pt>
                <c:pt idx="7">
                  <c:v>189.02134599999999</c:v>
                </c:pt>
                <c:pt idx="8">
                  <c:v>189.02134599999999</c:v>
                </c:pt>
                <c:pt idx="9">
                  <c:v>217.12530000000001</c:v>
                </c:pt>
              </c:numCache>
            </c:numRef>
          </c:val>
          <c:extLst>
            <c:ext xmlns:c16="http://schemas.microsoft.com/office/drawing/2014/chart" uri="{C3380CC4-5D6E-409C-BE32-E72D297353CC}">
              <c16:uniqueId val="{00000000-CDAC-47CE-A014-429B7ECBB95E}"/>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114300</xdr:colOff>
      <xdr:row>58</xdr:row>
      <xdr:rowOff>114300</xdr:rowOff>
    </xdr:from>
    <xdr:to>
      <xdr:col>21</xdr:col>
      <xdr:colOff>123825</xdr:colOff>
      <xdr:row>68</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69</xdr:row>
      <xdr:rowOff>66674</xdr:rowOff>
    </xdr:from>
    <xdr:to>
      <xdr:col>21</xdr:col>
      <xdr:colOff>119062</xdr:colOff>
      <xdr:row>81</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114300</xdr:colOff>
      <xdr:row>58</xdr:row>
      <xdr:rowOff>114300</xdr:rowOff>
    </xdr:from>
    <xdr:to>
      <xdr:col>21</xdr:col>
      <xdr:colOff>123825</xdr:colOff>
      <xdr:row>68</xdr:row>
      <xdr:rowOff>219075</xdr:rowOff>
    </xdr:to>
    <xdr:graphicFrame macro="">
      <xdr:nvGraphicFramePr>
        <xdr:cNvPr id="2" name="Gráfico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69</xdr:row>
      <xdr:rowOff>66674</xdr:rowOff>
    </xdr:from>
    <xdr:to>
      <xdr:col>21</xdr:col>
      <xdr:colOff>119062</xdr:colOff>
      <xdr:row>81</xdr:row>
      <xdr:rowOff>76199</xdr:rowOff>
    </xdr:to>
    <xdr:graphicFrame macro="">
      <xdr:nvGraphicFramePr>
        <xdr:cNvPr id="3" name="Gráfico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381000</xdr:colOff>
          <xdr:row>1</xdr:row>
          <xdr:rowOff>0</xdr:rowOff>
        </xdr:from>
        <xdr:to>
          <xdr:col>15</xdr:col>
          <xdr:colOff>85725</xdr:colOff>
          <xdr:row>3</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Limpiar Dump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514350</xdr:colOff>
          <xdr:row>0</xdr:row>
          <xdr:rowOff>104775</xdr:rowOff>
        </xdr:from>
        <xdr:to>
          <xdr:col>19</xdr:col>
          <xdr:colOff>457200</xdr:colOff>
          <xdr:row>4</xdr:row>
          <xdr:rowOff>66675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3">
  <rv s="0">
    <v>https://www.bing.com/financeapi/forcetrigger?t=a2g6z2&amp;q=OTCM%3aEVVTY&amp;form=skydnc</v>
    <v>Learn more on Bing</v>
  </rv>
  <rv s="1">
    <v>en-US</v>
    <v>a2g6z2</v>
    <v>268435456</v>
    <v>1</v>
    <v>Powered by Refinitiv</v>
    <v>0</v>
    <v>Evolution AB (publ) (OTCM:EVVTY)</v>
    <v>2</v>
    <v>3</v>
    <v>Finance</v>
    <v>4</v>
    <v>141.33000000000001</v>
    <v>69.569999999999993</v>
    <v>1.1795</v>
    <v>1.21</v>
    <v>1.0799000000000001E-2</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11207</v>
    <v>OTC Markets</v>
    <v>OTCM</v>
    <v>OTCM</v>
    <v>Vasagatan 16, STOCKHOLM, STOCKHOLM, 11120 SE</v>
    <v>113.51990000000001</v>
    <v>Hotels &amp; Entertainment Services</v>
    <v>Stock</v>
    <v>44946.874989328127</v>
    <v>0</v>
    <v>111.35</v>
    <v>247765000000</v>
    <v>Evolution AB (publ)</v>
    <v>Evolution AB (publ)</v>
    <v>112.02</v>
    <v>112.05</v>
    <v>113.26</v>
    <v>215111100</v>
    <v>EVVTY</v>
    <v>Evolution AB (publ) (OTCM:EVVTY)</v>
    <v>46039</v>
    <v>541670</v>
    <v>2014</v>
  </rv>
  <rv s="2">
    <v>1</v>
  </rv>
  <rv s="0">
    <v>https://www.bing.com/financeapi/forcetrigger?t=a1u3rw&amp;q=XNAS%3aGOOGL&amp;form=skydnc</v>
    <v>Learn more on Bing</v>
  </rv>
  <rv s="3">
    <v>en-US</v>
    <v>a1u3rw</v>
    <v>268435456</v>
    <v>1</v>
    <v>Powered by Refinitiv</v>
    <v>5</v>
    <v>ALPHABET INC. (XNAS:GOOGL)</v>
    <v>2</v>
    <v>6</v>
    <v>Finance</v>
    <v>7</v>
    <v>151.54660000000001</v>
    <v>83.34</v>
    <v>1.0772999999999999</v>
    <v>4.97</v>
    <v>1.428E-3</v>
    <v>5.3411999999999994E-2</v>
    <v>0.14000000000000001</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98.3</v>
    <v>Software &amp; IT Services</v>
    <v>Stock</v>
    <v>44947.041606724219</v>
    <v>3</v>
    <v>95.02</v>
    <v>1276341000000</v>
    <v>ALPHABET INC.</v>
    <v>ALPHABET INC.</v>
    <v>95.1</v>
    <v>18.480699999999999</v>
    <v>93.05</v>
    <v>98.02</v>
    <v>98.16</v>
    <v>12943000000</v>
    <v>GOOGL</v>
    <v>ALPHABET INC. (XNAS:GOOGL)</v>
    <v>63191078</v>
    <v>30237707</v>
    <v>2015</v>
  </rv>
  <rv s="2">
    <v>4</v>
  </rv>
  <rv s="0">
    <v>https://www.bing.com/financeapi/forcetrigger?t=a1y1qh&amp;q=XNAS%3aMSTR&amp;form=skydnc</v>
    <v>Learn more on Bing</v>
  </rv>
  <rv s="3">
    <v>en-US</v>
    <v>a1y1qh</v>
    <v>268435456</v>
    <v>1</v>
    <v>Powered by Refinitiv</v>
    <v>5</v>
    <v>MICROSTRATEGY INCORPORATED (XNAS:MSTR)</v>
    <v>2</v>
    <v>6</v>
    <v>Finance</v>
    <v>7</v>
    <v>522.80280000000005</v>
    <v>132.56</v>
    <v>2.282</v>
    <v>18.579999999999998</v>
    <v>9.2490000000000003E-3</v>
    <v>8.3902000000000004E-2</v>
    <v>2.2200000000000002</v>
    <v>USD</v>
    <v>MicroStrategy Incorporated is an analytics and business intelligence company. The Company is engaged in the design, development, marketing, and sales of its software platform through licensing arrangements and cloud subscriptions and related services. The Company’s core product offering is its software platform. The MicroStrategy Platform provides customers with the features, such as Pervasive, Modern Analytics; Open, Federated Architecture, and Enterprise Platform. The Company provides a range of MicroStrategy Services, which includes MicroStrategy Support, MicroStrategy Consulting, and MicroStrategy Education. It also provides analytics software and services strategy. Its Pervasive, Modern Analytics includes data visualization and reporting, transformational mobility, hyperintelligence, and custom applications. Its Open, Federated Architecture includes Federated Analytics and Multiple Deployment Options. Its Enterprise Platform includes Enterprise Semantic Graph and Security.</v>
    <v>2172</v>
    <v>Nasdaq Stock Market</v>
    <v>XNAS</v>
    <v>XNAS</v>
    <v>1850 Towers Crescent Plz, TYSONS CORNER, VA, 22182 US</v>
    <v>241.87</v>
    <v>Software &amp; IT Services</v>
    <v>Stock</v>
    <v>44947.041261342187</v>
    <v>6</v>
    <v>219.03</v>
    <v>2245167000</v>
    <v>MICROSTRATEGY INCORPORATED</v>
    <v>MICROSTRATEGY INCORPORATED</v>
    <v>224.19</v>
    <v>4500.8329999999996</v>
    <v>221.45</v>
    <v>240.03</v>
    <v>242.25</v>
    <v>9353690</v>
    <v>MSTR</v>
    <v>MICROSTRATEGY INCORPORATED (XNAS:MSTR)</v>
    <v>729935</v>
    <v>628037</v>
    <v>1989</v>
  </rv>
  <rv s="2">
    <v>7</v>
  </rv>
  <rv s="0">
    <v>https://www.bing.com/financeapi/forcetrigger?t=bxds4c&amp;q=XNAS%3aTUEM&amp;form=skydnc</v>
    <v>Learn more on Bing</v>
  </rv>
  <rv s="4">
    <v>en-US</v>
    <v>bxds4c</v>
    <v>268435456</v>
    <v>1</v>
    <v>Powered by Refinitiv</v>
    <v>8</v>
    <v>TUESDAY MORNING CORPORATION (OTCM:TUEM)</v>
    <v>2</v>
    <v>9</v>
    <v>Finance</v>
    <v>4</v>
    <v>0.84</v>
    <v>0.35499999999999998</v>
    <v>1.9410000000000001</v>
    <v>-2.2000000000000001E-3</v>
    <v>-3.9700000000000004E-3</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0.61499999999999999</v>
    <v>Diversified Retail</v>
    <v>Stock</v>
    <v>44946.87334630781</v>
    <v>9</v>
    <v>0.46</v>
    <v>3294350</v>
    <v>TUESDAY MORNING CORPORATION</v>
    <v>TUESDAY MORNING CORPORATION</v>
    <v>0.55000000000000004</v>
    <v>15.384600000000001</v>
    <v>0.55410000000000004</v>
    <v>0.55189999999999995</v>
    <v>5945150</v>
    <v>TUEM</v>
    <v>TUESDAY MORNING CORPORATION (OTCM:TUEM)</v>
    <v>68677</v>
    <v>112440</v>
    <v>1991</v>
  </rv>
  <rv s="2">
    <v>10</v>
  </rv>
  <rv s="0">
    <v>https://www.bing.com/financeapi/forcetrigger?t=a2qfa2&amp;q=OTCM%3aNTDOY&amp;form=skydnc</v>
    <v>Learn more on Bing</v>
  </rv>
  <rv s="3">
    <v>en-US</v>
    <v>a2qfa2</v>
    <v>268435456</v>
    <v>1</v>
    <v>Powered by Refinitiv</v>
    <v>5</v>
    <v>Nintendo Co., Ltd. (OTCM:NTDOY)</v>
    <v>2</v>
    <v>10</v>
    <v>Finance</v>
    <v>11</v>
    <v>13.65</v>
    <v>9.76</v>
    <v>0.70640000000000003</v>
    <v>0</v>
    <v>0</v>
    <v>0</v>
    <v>0</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10.75</v>
    <v>Leisure Products</v>
    <v>Stock</v>
    <v>44946.876077106252</v>
    <v>12</v>
    <v>10.56</v>
    <v>7188249000000</v>
    <v>Nintendo Co., Ltd.</v>
    <v>Nintendo Co., Ltd.</v>
    <v>10.66</v>
    <v>1.4535</v>
    <v>10.74</v>
    <v>10.74</v>
    <v>10.74</v>
    <v>1298690000</v>
    <v>NTDOY</v>
    <v>Nintendo Co., Ltd. (OTCM:NTDOY)</v>
    <v>900684</v>
    <v>5012950</v>
    <v>1947</v>
  </rv>
  <rv s="2">
    <v>13</v>
  </rv>
  <rv s="0">
    <v>https://www.bing.com/financeapi/forcetrigger?t=bqip3m&amp;q=XMIL%3aGBUS&amp;form=skydnc</v>
    <v>Learn more on Bing</v>
  </rv>
  <rv s="5">
    <v>en-US</v>
    <v>bqip3m</v>
    <v>268435456</v>
    <v>1</v>
    <v>Powered by Refinitiv</v>
    <v>12</v>
    <v>Gibus SpA (XMIL:GBUS)</v>
    <v>2</v>
    <v>13</v>
    <v>Finance</v>
    <v>14</v>
    <v>19.8</v>
    <v>10.6</v>
    <v>1.2591000000000001</v>
    <v>-0.1</v>
    <v>-6.4099999999999999E-3</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16</v>
    <v>Homebuilding &amp; Construction Supplies</v>
    <v>Stock</v>
    <v>44946.704861111109</v>
    <v>15</v>
    <v>15.5</v>
    <v>78127980</v>
    <v>Gibus SpA</v>
    <v>Gibus SpA</v>
    <v>15.7</v>
    <v>5.149</v>
    <v>15.6</v>
    <v>15.5</v>
    <v>5008200</v>
    <v>GBUS</v>
    <v>Gibus SpA (XMIL:GBUS)</v>
    <v>1383</v>
    <v>2990</v>
  </rv>
  <rv s="2">
    <v>16</v>
  </rv>
  <rv s="0">
    <v>https://www.bing.com/financeapi/forcetrigger?t=ah4ck2&amp;q=XHKG%3a327&amp;form=skydnc</v>
    <v>Learn more on Bing</v>
  </rv>
  <rv s="3">
    <v>en-US</v>
    <v>ah4ck2</v>
    <v>268435456</v>
    <v>1</v>
    <v>Powered by Refinitiv</v>
    <v>5</v>
    <v>PAX Global Technology Limited (XHKG:327)</v>
    <v>2</v>
    <v>15</v>
    <v>Finance</v>
    <v>11</v>
    <v>8.3699999999999992</v>
    <v>4.5999999999999996</v>
    <v>0.50260000000000005</v>
    <v>0</v>
    <v>1.8006000000000001E-2</v>
    <v>0</v>
    <v>0.13</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7.53</v>
    <v>Office Equipment</v>
    <v>Stock</v>
    <v>44946.339780092596</v>
    <v>18</v>
    <v>7.19</v>
    <v>7796264000</v>
    <v>PAX Global Technology Limited</v>
    <v>PAX Global Technology Limited</v>
    <v>7.25</v>
    <v>6.2</v>
    <v>7.22</v>
    <v>7.22</v>
    <v>7.35</v>
    <v>1079815000</v>
    <v>327</v>
    <v>PAX Global Technology Limited (XHKG:327)</v>
    <v>1247230</v>
    <v>1081680</v>
    <v>2010</v>
  </rv>
  <rv s="2">
    <v>19</v>
  </rv>
  <rv s="0">
    <v>https://www.bing.com/financeapi/forcetrigger?t=a1ukim&amp;q=XNAS%3aHEAR&amp;form=skydnc</v>
    <v>Learn more on Bing</v>
  </rv>
  <rv s="3">
    <v>en-US</v>
    <v>a1ukim</v>
    <v>268435456</v>
    <v>1</v>
    <v>Powered by Refinitiv</v>
    <v>5</v>
    <v>TURTLE BEACH CORPORATION (XNAS:HEAR)</v>
    <v>2</v>
    <v>6</v>
    <v>Finance</v>
    <v>7</v>
    <v>25.33</v>
    <v>6.22</v>
    <v>1.9300999999999999</v>
    <v>0.3</v>
    <v>-4.2303E-2</v>
    <v>3.6541000000000004E-2</v>
    <v>-0.36</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272</v>
    <v>Nasdaq Stock Market</v>
    <v>XNAS</v>
    <v>XNAS</v>
    <v>44 South Broadway, 4Th Floor, WHITE PLAINS, NY, 10601 US</v>
    <v>8.6649999999999991</v>
    <v>Computers, Phones &amp; Household Electronics</v>
    <v>Stock</v>
    <v>44946.923524988284</v>
    <v>21</v>
    <v>8.1999999999999993</v>
    <v>140899700</v>
    <v>TURTLE BEACH CORPORATION</v>
    <v>TURTLE BEACH CORPORATION</v>
    <v>8.33</v>
    <v>111.4096</v>
    <v>8.2100000000000009</v>
    <v>8.51</v>
    <v>8.15</v>
    <v>16556960</v>
    <v>HEAR</v>
    <v>TURTLE BEACH CORPORATION (XNAS:HEAR)</v>
    <v>288359</v>
    <v>273958</v>
    <v>2010</v>
  </rv>
  <rv s="2">
    <v>22</v>
  </rv>
  <rv s="0">
    <v>https://www.bing.com/financeapi/forcetrigger?t=ao6n8m&amp;q=XLON%3aBOTB&amp;form=skydnc</v>
    <v>Learn more on Bing</v>
  </rv>
  <rv s="6">
    <v>en-US</v>
    <v>ao6n8m</v>
    <v>268435456</v>
    <v>1</v>
    <v>Powered by Refinitiv</v>
    <v>16</v>
    <v>BEST OF THE BEST PLC (XLON:BOTB)</v>
    <v>2</v>
    <v>17</v>
    <v>Finance</v>
    <v>18</v>
    <v>628.20000000000005</v>
    <v>350</v>
    <v>0.54249999999999998</v>
    <v>0</v>
    <v>0</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Hotels &amp; Entertainment Services</v>
    <v>Stock</v>
    <v>44946.695154189059</v>
    <v>24</v>
    <v>34304800</v>
    <v>BEST OF THE BEST PLC</v>
    <v>BEST OF THE BEST PLC</v>
    <v>410</v>
    <v>9.0508000000000006</v>
    <v>410</v>
    <v>410</v>
    <v>8367020</v>
    <v>BOTB</v>
    <v>BEST OF THE BEST PLC (XLON:BOTB)</v>
    <v>8031</v>
    <v>28240</v>
    <v>1999</v>
  </rv>
  <rv s="2">
    <v>25</v>
  </rv>
  <rv s="0">
    <v>https://www.bing.com/financeapi/forcetrigger?t=a1nnec&amp;q=XNAS%3aAQB&amp;form=skydnc</v>
    <v>Learn more on Bing</v>
  </rv>
  <rv s="7">
    <v>en-US</v>
    <v>a1nnec</v>
    <v>268435456</v>
    <v>1</v>
    <v>Powered by Refinitiv</v>
    <v>19</v>
    <v>AQUABOUNTY TECHNOLOGIES, INC. (XNAS:AQB)</v>
    <v>2</v>
    <v>20</v>
    <v>Finance</v>
    <v>7</v>
    <v>2.37</v>
    <v>0.58199999999999996</v>
    <v>1.1368</v>
    <v>8.8700000000000001E-2</v>
    <v>-8.9809999999999994E-3</v>
    <v>0.100795</v>
    <v>-8.6999999999999994E-3</v>
    <v>USD</v>
    <v>AquaBounty Technologies, Inc. is engaged in the field of land-based aquaculture. The Company's GE Atlantic salmon is based upon salmon genetics and grows to harvest size faster than conventional Atlantic salmon. It farms its GE Atlantic salmon in land-based, recirculating aquaculture systems (RAS). The closed, contained, land-based production systems using RAS technology that the Company uses for the grow-out of its fish are less susceptible to the disease-related pressures of conventional salmon farming. Its RAS facilities provide water treatment technology, including the use of ozone, salt treatment and ultraviolet radiation to kill potential bacterial, fungal, or viral pathogens, which might enter the system. Its GE Atlantic salmon is based upon a single, specific molecular modification in the fish that results in rapid growth in early development. It has two salmon farms in production, one is located in Indiana and the other located in Prince Edward Island, Canada.</v>
    <v>95</v>
    <v>Nasdaq Stock Market</v>
    <v>XNAS</v>
    <v>XNAS</v>
    <v>2 Clock Tower Pl Ste 395, MAYNARD, MA, 01754-2539 US</v>
    <v>0.96899999999999997</v>
    <v>Biotechnology &amp; Medical Research</v>
    <v>Stock</v>
    <v>44947.03597155078</v>
    <v>27</v>
    <v>0.91</v>
    <v>68884950</v>
    <v>AQUABOUNTY TECHNOLOGIES, INC.</v>
    <v>AQUABOUNTY TECHNOLOGIES, INC.</v>
    <v>0.95</v>
    <v>0.88</v>
    <v>0.96870000000000001</v>
    <v>0.96</v>
    <v>71110710</v>
    <v>AQB</v>
    <v>AQUABOUNTY TECHNOLOGIES, INC. (XNAS:AQB)</v>
    <v>404573</v>
    <v>333637</v>
    <v>1991</v>
  </rv>
  <rv s="2">
    <v>28</v>
  </rv>
  <rv s="0">
    <v>https://www.bing.com/financeapi/forcetrigger?t=a1v3ec&amp;q=XNYS%3aHZO&amp;form=skydnc</v>
    <v>Learn more on Bing</v>
  </rv>
  <rv s="3">
    <v>en-US</v>
    <v>a1v3ec</v>
    <v>268435456</v>
    <v>1</v>
    <v>Powered by Refinitiv</v>
    <v>5</v>
    <v>MARINEMAX, INC. (XNYS:HZO)</v>
    <v>2</v>
    <v>6</v>
    <v>Finance</v>
    <v>7</v>
    <v>50.32</v>
    <v>27.4</v>
    <v>1.5502</v>
    <v>0.46</v>
    <v>0</v>
    <v>1.3710999999999999E-2</v>
    <v>0</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34.090000000000003</v>
    <v>Leisure Products</v>
    <v>Stock</v>
    <v>44947.000000022657</v>
    <v>30</v>
    <v>33.29</v>
    <v>742997600</v>
    <v>MARINEMAX, INC.</v>
    <v>MARINEMAX, INC.</v>
    <v>33.840000000000003</v>
    <v>3.7902999999999998</v>
    <v>33.549999999999997</v>
    <v>34.01</v>
    <v>34.01</v>
    <v>21846440</v>
    <v>HZO</v>
    <v>MARINEMAX, INC. (XNYS:HZO)</v>
    <v>248554</v>
    <v>355029</v>
    <v>1998</v>
  </rv>
  <rv s="2">
    <v>31</v>
  </rv>
  <rv s="0">
    <v>https://www.bing.com/financeapi/forcetrigger?t=a1t3im&amp;q=XNAS%3aFLWS&amp;form=skydnc</v>
    <v>Learn more on Bing</v>
  </rv>
  <rv s="3">
    <v>en-US</v>
    <v>a1t3im</v>
    <v>268435456</v>
    <v>1</v>
    <v>Powered by Refinitiv</v>
    <v>5</v>
    <v>1-800-FLOWERS.COM, INC. (XNAS:FLWS)</v>
    <v>2</v>
    <v>6</v>
    <v>Finance</v>
    <v>7</v>
    <v>24.01</v>
    <v>5.82</v>
    <v>1.6146</v>
    <v>0.26</v>
    <v>4.3803000000000002E-2</v>
    <v>2.8570999999999999E-2</v>
    <v>0.41</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9.48</v>
    <v>Specialty Retailers</v>
    <v>Stock</v>
    <v>44946.916172546094</v>
    <v>33</v>
    <v>9.0500000000000007</v>
    <v>604941948</v>
    <v>1-800-FLOWERS.COM, INC.</v>
    <v>1-800-FLOWERS.COM, INC.</v>
    <v>9.2100000000000009</v>
    <v>77.837699999999998</v>
    <v>9.1</v>
    <v>9.36</v>
    <v>9.77</v>
    <v>64630550</v>
    <v>FLWS</v>
    <v>1-800-FLOWERS.COM, INC. (XNAS:FLWS)</v>
    <v>425884</v>
    <v>497441</v>
    <v>1992</v>
  </rv>
  <rv s="2">
    <v>34</v>
  </rv>
  <rv s="0">
    <v>https://www.bing.com/financeapi/forcetrigger?t=bwo4oc&amp;q=XNAS%3aNGMS&amp;form=skydnc</v>
    <v>Learn more on Bing</v>
  </rv>
  <rv s="8">
    <v>en-US</v>
    <v>bwo4oc</v>
    <v>268435456</v>
    <v>1</v>
    <v>Powered by Refinitiv</v>
    <v>21</v>
    <v>NeoGames SA (XNAS:NGMS)</v>
    <v>2</v>
    <v>22</v>
    <v>Finance</v>
    <v>7</v>
    <v>25.87</v>
    <v>10.69</v>
    <v>1</v>
    <v>0</v>
    <v>8.8574E-2</v>
    <v>0</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ISRAEL-NA IL</v>
    <v>12.52</v>
    <v>Software &amp; IT Services</v>
    <v>Stock</v>
    <v>44946.885585728909</v>
    <v>36</v>
    <v>10.85</v>
    <v>317815300</v>
    <v>NeoGames SA</v>
    <v>NeoGames SA</v>
    <v>11.48</v>
    <v>71.247</v>
    <v>11.29</v>
    <v>12.29</v>
    <v>12.29</v>
    <v>25859660</v>
    <v>NGMS</v>
    <v>NeoGames SA (XNAS:NGMS)</v>
    <v>492262</v>
    <v>110670</v>
    <v>2014</v>
  </rv>
  <rv s="2">
    <v>37</v>
  </rv>
  <rv s="0">
    <v>https://www.bing.com/financeapi/forcetrigger?t=a1slm7&amp;q=XNAS%3aMETA&amp;form=skydnc</v>
    <v>Learn more on Bing</v>
  </rv>
  <rv s="3">
    <v>en-US</v>
    <v>a1slm7</v>
    <v>268435456</v>
    <v>1</v>
    <v>Powered by Refinitiv</v>
    <v>5</v>
    <v>Meta Platforms, Inc. (XNAS:META)</v>
    <v>2</v>
    <v>6</v>
    <v>Finance</v>
    <v>7</v>
    <v>328</v>
    <v>88.09</v>
    <v>1.1781999999999999</v>
    <v>3.22</v>
    <v>-6.4579999999999998E-4</v>
    <v>2.3650000000000001E-2</v>
    <v>-0.09</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139.94</v>
    <v>Software &amp; IT Services</v>
    <v>Stock</v>
    <v>44947.041635508591</v>
    <v>39</v>
    <v>134.61000000000001</v>
    <v>365455600000</v>
    <v>Meta Platforms, Inc.</v>
    <v>Meta Platforms, Inc.</v>
    <v>135.88999999999999</v>
    <v>12.988</v>
    <v>136.15</v>
    <v>139.37</v>
    <v>139.28</v>
    <v>2622197000</v>
    <v>META</v>
    <v>Meta Platforms, Inc. (XNAS:META)</v>
    <v>28688630</v>
    <v>28455060</v>
    <v>2004</v>
  </rv>
  <rv s="2">
    <v>40</v>
  </rv>
  <rv s="0">
    <v>https://www.bing.com/financeapi/forcetrigger?t=a2ve5r&amp;q=OTCM%3aSFTBF&amp;form=skydnc</v>
    <v>Learn more on Bing</v>
  </rv>
  <rv s="4">
    <v>en-US</v>
    <v>a2ve5r</v>
    <v>268435456</v>
    <v>1</v>
    <v>Powered by Refinitiv</v>
    <v>8</v>
    <v>SoftBank Group Corp. (OTCM:SFTBF)</v>
    <v>2</v>
    <v>23</v>
    <v>Finance</v>
    <v>4</v>
    <v>50.27</v>
    <v>33.54</v>
    <v>1.2025999999999999</v>
    <v>-0.17</v>
    <v>-3.656E-3</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46.33</v>
    <v>Telecommunications Services</v>
    <v>Stock</v>
    <v>44946.823429015625</v>
    <v>42</v>
    <v>46.33</v>
    <v>10134410000000</v>
    <v>SoftBank Group Corp.</v>
    <v>SoftBank Group Corp.</v>
    <v>46.33</v>
    <v>3.2421000000000002</v>
    <v>46.5</v>
    <v>46.33</v>
    <v>1722954000</v>
    <v>SFTBF</v>
    <v>SoftBank Group Corp. (OTCM:SFTBF)</v>
    <v>1588</v>
    <v>9396550</v>
    <v>1981</v>
  </rv>
  <rv s="2">
    <v>43</v>
  </rv>
  <rv s="0">
    <v>https://www.bing.com/financeapi/forcetrigger?t=a1qca2&amp;q=XNAS%3aCRMT&amp;form=skydnc</v>
    <v>Learn more on Bing</v>
  </rv>
  <rv s="3">
    <v>en-US</v>
    <v>a1qca2</v>
    <v>268435456</v>
    <v>1</v>
    <v>Powered by Refinitiv</v>
    <v>5</v>
    <v>AMERICA'S CAR-MART, INC. (XNAS:CRMT)</v>
    <v>2</v>
    <v>6</v>
    <v>Finance</v>
    <v>7</v>
    <v>127.05</v>
    <v>52.24</v>
    <v>1.371</v>
    <v>2.4300000000000002</v>
    <v>0</v>
    <v>3.2404000000000002E-2</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802 SE Plaza Ave Ste 200, BENTONVILLE, AR, 72712-3220 US</v>
    <v>77.569999999999993</v>
    <v>Specialty Retailers</v>
    <v>Stock</v>
    <v>44946.879879756249</v>
    <v>45</v>
    <v>74.05</v>
    <v>493075600</v>
    <v>AMERICA'S CAR-MART, INC.</v>
    <v>AMERICA'S CAR-MART, INC.</v>
    <v>75.75</v>
    <v>8.0297000000000001</v>
    <v>74.989999999999995</v>
    <v>77.42</v>
    <v>77.42</v>
    <v>6368840</v>
    <v>CRMT</v>
    <v>AMERICA'S CAR-MART, INC. (XNAS:CRMT)</v>
    <v>57519</v>
    <v>90319</v>
    <v>1989</v>
  </rv>
  <rv s="2">
    <v>46</v>
  </rv>
  <rv s="0">
    <v>https://www.bing.com/financeapi/forcetrigger?t=a1yv52&amp;q=XNAS%3aNVDA&amp;form=skydnc</v>
    <v>Learn more on Bing</v>
  </rv>
  <rv s="3">
    <v>en-US</v>
    <v>a1yv52</v>
    <v>268435456</v>
    <v>1</v>
    <v>Powered by Refinitiv</v>
    <v>5</v>
    <v>NVIDIA CORPORATION (XNAS:NVDA)</v>
    <v>2</v>
    <v>6</v>
    <v>Finance</v>
    <v>7</v>
    <v>289.45999999999998</v>
    <v>108.13</v>
    <v>1.7381</v>
    <v>10.74</v>
    <v>7.5119999999999996E-3</v>
    <v>6.4062000000000008E-2</v>
    <v>1.34</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178.56</v>
    <v>Semiconductors &amp; Semiconductor Equipment</v>
    <v>Stock</v>
    <v>44947.041661978903</v>
    <v>48</v>
    <v>168.25</v>
    <v>438839399999</v>
    <v>NVIDIA CORPORATION</v>
    <v>NVIDIA CORPORATION</v>
    <v>170.11</v>
    <v>71.3095</v>
    <v>167.65</v>
    <v>178.39</v>
    <v>179.73</v>
    <v>2460000000</v>
    <v>NVDA</v>
    <v>NVIDIA CORPORATION (XNAS:NVDA)</v>
    <v>56496712</v>
    <v>43436438</v>
    <v>1998</v>
  </rv>
  <rv s="2">
    <v>49</v>
  </rv>
  <rv s="0">
    <v>https://www.bing.com/financeapi/forcetrigger?t=bvkn2w&amp;q=XNAS%3aCRSR&amp;form=skydnc</v>
    <v>Learn more on Bing</v>
  </rv>
  <rv s="3">
    <v>en-US</v>
    <v>bvkn2w</v>
    <v>268435456</v>
    <v>1</v>
    <v>Powered by Refinitiv</v>
    <v>5</v>
    <v>CORSAIR GAMING, INC. (XNAS:CRSR)</v>
    <v>2</v>
    <v>6</v>
    <v>Finance</v>
    <v>7</v>
    <v>23.98</v>
    <v>10.96</v>
    <v>1.546</v>
    <v>0.26</v>
    <v>4.0944000000000001E-2</v>
    <v>1.8374999999999999E-2</v>
    <v>0.59</v>
    <v>USD</v>
    <v>Corsair Gaming, Inc (Corsair) is engaged in providing high-performance gear for gamers, streamers and content creators. Its segments include Gamer and creator peripherals and Gaming components and systems. Gamer and creator peripherals Include high-performance gaming keyboards, mice, headsets, controllers, and our streaming gear, including capture cards, Stream Decks, Universal Serial Bus (USB) microphones, Facecam streaming camera, studio accessories and EpocCam software, as well as coaching and training services, among others. Gaming components and systems includes high-performance power supply units (PSUs), cooling solutions, computer cases, DRAM modules, as well as high-end prebuilt and custom-built gaming personal computers (PCs), among others. Its product offering includes two software platforms: iCUE for gamers and Elgatos streaming suite for streamers and content creators.</v>
    <v>2490</v>
    <v>Nasdaq Stock Market</v>
    <v>XNAS</v>
    <v>XNAS</v>
    <v>115 N. Mccarthy Boulevard, MILPITAS, CA, 95035 US</v>
    <v>14.605</v>
    <v>Computers, Phones &amp; Household Electronics</v>
    <v>Stock</v>
    <v>44947.026556724217</v>
    <v>51</v>
    <v>14.07</v>
    <v>1457970000</v>
    <v>CORSAIR GAMING, INC.</v>
    <v>CORSAIR GAMING, INC.</v>
    <v>14.31</v>
    <v>31.651299999999999</v>
    <v>14.15</v>
    <v>14.41</v>
    <v>15</v>
    <v>101177700</v>
    <v>CRSR</v>
    <v>CORSAIR GAMING, INC. (XNAS:CRSR)</v>
    <v>433140</v>
    <v>470497</v>
    <v>2017</v>
  </rv>
  <rv s="2">
    <v>52</v>
  </rv>
  <rv s="0">
    <v>https://www.bing.com/financeapi/forcetrigger?t=a22gw7&amp;q=XNYS%3aSAND&amp;form=skydnc</v>
    <v>Learn more on Bing</v>
  </rv>
  <rv s="3">
    <v>en-US</v>
    <v>a22gw7</v>
    <v>268435456</v>
    <v>1</v>
    <v>Powered by Refinitiv</v>
    <v>5</v>
    <v>SANDSTORM GOLD LTD. (XNYS:SAND)</v>
    <v>2</v>
    <v>24</v>
    <v>Finance</v>
    <v>7</v>
    <v>9.18</v>
    <v>4.51</v>
    <v>0.94</v>
    <v>0.16</v>
    <v>4.9589999999999999E-3</v>
    <v>2.7164999999999998E-2</v>
    <v>0.03</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6.0854999999999997</v>
    <v>Metals &amp; Mining</v>
    <v>Stock</v>
    <v>44947.030845682813</v>
    <v>54</v>
    <v>5.81</v>
    <v>2359132000</v>
    <v>SANDSTORM GOLD LTD.</v>
    <v>SANDSTORM GOLD LTD.</v>
    <v>5.85</v>
    <v>14.0342</v>
    <v>5.89</v>
    <v>6.05</v>
    <v>6.08</v>
    <v>298179700</v>
    <v>SAND</v>
    <v>SANDSTORM GOLD LTD. (XNYS:SAND)</v>
    <v>2254943</v>
    <v>2379069</v>
    <v>2015</v>
  </rv>
  <rv s="2">
    <v>55</v>
  </rv>
  <rv s="0">
    <v>https://www.bing.com/financeapi/forcetrigger?t=bjoj8m&amp;q=XNAS%3aOPRA&amp;form=skydnc</v>
    <v>Learn more on Bing</v>
  </rv>
  <rv s="9">
    <v>en-US</v>
    <v>bjoj8m</v>
    <v>268435456</v>
    <v>1</v>
    <v>Powered by Refinitiv</v>
    <v>25</v>
    <v>OPERA LIMITED (XNAS:OPRA)</v>
    <v>2</v>
    <v>26</v>
    <v>Finance</v>
    <v>7</v>
    <v>7.57</v>
    <v>3.92</v>
    <v>1.0388999999999999</v>
    <v>0.09</v>
    <v>-4.9928999999999994E-2</v>
    <v>1.3006E-2</v>
    <v>-0.35</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7.1599000000000004</v>
    <v>Software &amp; IT Services</v>
    <v>Stock</v>
    <v>44946.896622349217</v>
    <v>57</v>
    <v>6.88</v>
    <v>793660283</v>
    <v>OPERA LIMITED</v>
    <v>OPERA LIMITED</v>
    <v>6.91</v>
    <v>7.6675000000000004</v>
    <v>6.92</v>
    <v>7.01</v>
    <v>6.66</v>
    <v>113218300</v>
    <v>OPRA</v>
    <v>OPERA LIMITED (XNAS:OPRA)</v>
    <v>85546</v>
    <v>62515</v>
  </rv>
  <rv s="2">
    <v>58</v>
  </rv>
  <rv s="0">
    <v>https://www.bing.com/financeapi/forcetrigger?t=a1qclh&amp;q=XNAS%3aCROX&amp;form=skydnc</v>
    <v>Learn more on Bing</v>
  </rv>
  <rv s="3">
    <v>en-US</v>
    <v>a1qclh</v>
    <v>268435456</v>
    <v>1</v>
    <v>Powered by Refinitiv</v>
    <v>5</v>
    <v>CROCS, INC. (XNAS:CROX)</v>
    <v>2</v>
    <v>6</v>
    <v>Finance</v>
    <v>7</v>
    <v>131.1799</v>
    <v>46.08</v>
    <v>1.9228000000000001</v>
    <v>0.97</v>
    <v>-2.042E-3</v>
    <v>7.9880000000000003E-3</v>
    <v>-0.25</v>
    <v>USD</v>
    <v>Crocs, Inc. is engaged in the design, development, marketing, distribution, and sale of casual lifestyle footwear and accessories for women, men and children. The Company operates through three segments: the Americas, operating in North and South America; the Asia Pacific, operating throughout Asia, Australia, and New Zealand; and Europe, Middle East, and Africa (EMEA), operating throughout Europe, Russia, the Middle East, and Africa. Its collection contains Croslite material, which is the Company's closed-cell resin brand that uses molded footwear technology. The Company markets its products in approximately 85 countries through two distribution channels: wholesale and direct-to-consumer. Its wholesale channel includes domestic and international multi-brand retailers, mono-branded partner stores, e-tailers, and distributors. The Company's direct-to-consumer channel includes retail stores, e-commerce sites, and third-party marketplaces. Its products include Crocs, LiteRide and Jibbitz.</v>
    <v>5770</v>
    <v>Nasdaq Stock Market</v>
    <v>XNAS</v>
    <v>XNAS</v>
    <v>13601 Via Varra, BROOMFIELD, CO, 80020 US</v>
    <v>124.6296</v>
    <v>Textiles &amp; Apparel</v>
    <v>Stock</v>
    <v>44947.034389258595</v>
    <v>60</v>
    <v>121.24</v>
    <v>7557579432</v>
    <v>CROCS, INC.</v>
    <v>CROCS, INC.</v>
    <v>122.94</v>
    <v>13.3964</v>
    <v>121.43</v>
    <v>122.4</v>
    <v>122.15</v>
    <v>61744930</v>
    <v>CROX</v>
    <v>CROCS, INC. (XNAS:CROX)</v>
    <v>1403767</v>
    <v>1400134</v>
    <v>2005</v>
  </rv>
  <rv s="2">
    <v>61</v>
  </rv>
  <rv s="0">
    <v>https://www.bing.com/financeapi/forcetrigger?t=a1nvk2&amp;q=XNYS%3aATHM&amp;form=skydnc</v>
    <v>Learn more on Bing</v>
  </rv>
  <rv s="3">
    <v>en-US</v>
    <v>a1nvk2</v>
    <v>268435456</v>
    <v>1</v>
    <v>Powered by Refinitiv</v>
    <v>5</v>
    <v>AUTOHOME INC. (XNYS:ATHM)</v>
    <v>2</v>
    <v>6</v>
    <v>Finance</v>
    <v>7</v>
    <v>40.89</v>
    <v>20.49</v>
    <v>0.1353</v>
    <v>1.04</v>
    <v>0</v>
    <v>2.8469999999999999E-2</v>
    <v>0</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38.909999999999997</v>
    <v>Media &amp; Publishing</v>
    <v>Stock</v>
    <v>44947.000000022657</v>
    <v>63</v>
    <v>37.01</v>
    <v>4531015000</v>
    <v>AUTOHOME INC.</v>
    <v>AUTOHOME INC.</v>
    <v>37.6</v>
    <v>21.947299999999998</v>
    <v>36.53</v>
    <v>37.57</v>
    <v>37.57</v>
    <v>127346900</v>
    <v>ATHM</v>
    <v>AUTOHOME INC. (XNYS:ATHM)</v>
    <v>906910</v>
    <v>690982</v>
    <v>2008</v>
  </rv>
  <rv s="2">
    <v>64</v>
  </rv>
  <rv s="0">
    <v>https://www.bing.com/financeapi/forcetrigger?t=aqbzjc&amp;q=XWAR%3aDNP&amp;form=skydnc</v>
    <v>Learn more on Bing</v>
  </rv>
  <rv s="4">
    <v>en-US</v>
    <v>aqbzjc</v>
    <v>268435456</v>
    <v>1</v>
    <v>Powered by Refinitiv</v>
    <v>8</v>
    <v>DINO POLSKA S.A. (XWAR:DNP)</v>
    <v>2</v>
    <v>27</v>
    <v>Finance</v>
    <v>28</v>
    <v>390.3</v>
    <v>240</v>
    <v>0.66169999999999995</v>
    <v>9.1999999999999993</v>
    <v>2.5937000000000002E-2</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35652</v>
    <v>Warsaw Stock Exchange</v>
    <v>XWAR</v>
    <v>XWAR</v>
    <v>ul. Ostrowska 122, KROTOSZYN, WOJ. WIELKOPOLSKIE, 63-700 PL</v>
    <v>364</v>
    <v>Food &amp; Drug Retailing</v>
    <v>Stock</v>
    <v>44946.670129003905</v>
    <v>66</v>
    <v>351.9</v>
    <v>34774790000</v>
    <v>DINO POLSKA S.A.</v>
    <v>DINO POLSKA S.A.</v>
    <v>356.9</v>
    <v>34.135100000000001</v>
    <v>354.7</v>
    <v>363.9</v>
    <v>98040000</v>
    <v>DNP</v>
    <v>DINO POLSKA S.A. (XWAR:DNP)</v>
    <v>152569</v>
    <v>154240</v>
    <v>2012</v>
  </rv>
  <rv s="2">
    <v>67</v>
  </rv>
  <rv s="0">
    <v>https://www.bing.com/financeapi/forcetrigger?t=a32har&amp;q=XNAS%3aXPEL&amp;form=skydnc</v>
    <v>Learn more on Bing</v>
  </rv>
  <rv s="3">
    <v>en-US</v>
    <v>a32har</v>
    <v>268435456</v>
    <v>1</v>
    <v>Powered by Refinitiv</v>
    <v>5</v>
    <v>XPEL, INC. (XNAS:XPEL)</v>
    <v>2</v>
    <v>6</v>
    <v>Finance</v>
    <v>7</v>
    <v>87.01</v>
    <v>39.799999999999997</v>
    <v>1.5704</v>
    <v>1.39</v>
    <v>-9.077E-3</v>
    <v>1.9795E-2</v>
    <v>-0.65</v>
    <v>USD</v>
    <v>Xpel Inc. manufactures, sells and installs after-market automotive products, including automotive surface and paint protection, headlight protection, and automotive window films. The Company’s products include architectural window film (both commercial and residential) and security film protection for commercial and residential uses, and also provides automotive ceramic coatings products. Its products also include ULTIMATE PLUS paint protection film (PPF), ULTIMATE PLUS BLACK PPF, ULTIMATE PLUS, STEALTH satin PPF, TRACWRAP temporary protection film, ARMOR protective film, RX 8 gloss protective film, RX 8 matte protective film, RX 10 gloss protective film, RX 10 matte protective film and PRIME automotive window. The Company also offers car care services, including anti-static glass cleaner, ceramic boost, detail spray, interior cleaner, iron remover, paint protection film (PPF) cleaner, PPF sealant, rinse-free car wash, water spot remover, cleaning &amp; detailing, towels &amp; microfibers.</v>
    <v>709</v>
    <v>Nasdaq Stock Market</v>
    <v>XNAS</v>
    <v>XNAS</v>
    <v>3251 I-35, SAN ANTONIO, TX, 78219 US</v>
    <v>72.59</v>
    <v>Automobiles &amp; Auto Parts</v>
    <v>Stock</v>
    <v>44946.880937661721</v>
    <v>69</v>
    <v>69.594999999999999</v>
    <v>1977586000</v>
    <v>XPEL, INC.</v>
    <v>XPEL, INC.</v>
    <v>71.08</v>
    <v>49.433300000000003</v>
    <v>70.22</v>
    <v>71.61</v>
    <v>70.959999999999994</v>
    <v>27616060</v>
    <v>XPEL</v>
    <v>XPEL, INC. (XNAS:XPEL)</v>
    <v>152019</v>
    <v>120698</v>
    <v>2003</v>
  </rv>
  <rv s="2">
    <v>70</v>
  </rv>
  <rv s="0">
    <v>https://www.bing.com/financeapi/forcetrigger?t=ah387w&amp;q=XHKG%3a1830&amp;form=skydnc</v>
    <v>Learn more on Bing</v>
  </rv>
  <rv s="3">
    <v>en-US</v>
    <v>ah387w</v>
    <v>268435456</v>
    <v>1</v>
    <v>Powered by Refinitiv</v>
    <v>5</v>
    <v>PERFECT MEDICAL HEALTH MANAGEMENT LIMITED (XHKG:1830)</v>
    <v>2</v>
    <v>15</v>
    <v>Finance</v>
    <v>11</v>
    <v>5.5</v>
    <v>2.7</v>
    <v>1.2545999999999999</v>
    <v>0.14000000000000001</v>
    <v>0</v>
    <v>3.1962999999999998E-2</v>
    <v>0</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4.57</v>
    <v>Personal &amp; Household Products &amp; Services</v>
    <v>Stock</v>
    <v>44946.339780092596</v>
    <v>72</v>
    <v>4.37</v>
    <v>5679546000</v>
    <v>PERFECT MEDICAL HEALTH MANAGEMENT LIMITED</v>
    <v>PERFECT MEDICAL HEALTH MANAGEMENT LIMITED</v>
    <v>4.42</v>
    <v>23.4</v>
    <v>4.38</v>
    <v>4.5199999999999996</v>
    <v>4.5199999999999996</v>
    <v>1256537000</v>
    <v>1830</v>
    <v>PERFECT MEDICAL HEALTH MANAGEMENT LIMITED (XHKG:1830)</v>
    <v>851000</v>
    <v>935740</v>
    <v>2011</v>
  </rv>
  <rv s="2">
    <v>73</v>
  </rv>
  <rv s="0">
    <v>https://www.bing.com/financeapi/forcetrigger?t=a23d9c&amp;q=XNYS%3aSPGI&amp;form=skydnc</v>
    <v>Learn more on Bing</v>
  </rv>
  <rv s="3">
    <v>en-US</v>
    <v>a23d9c</v>
    <v>268435456</v>
    <v>1</v>
    <v>Powered by Refinitiv</v>
    <v>5</v>
    <v>S&amp;P Global Inc. (XNYS:SPGI)</v>
    <v>2</v>
    <v>6</v>
    <v>Finance</v>
    <v>7</v>
    <v>431.44</v>
    <v>279.32</v>
    <v>1.0680000000000001</v>
    <v>6.92</v>
    <v>-1.467E-3</v>
    <v>1.9161999999999998E-2</v>
    <v>-0.54</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368.38</v>
    <v>Professional &amp; Commercial Services</v>
    <v>Stock</v>
    <v>44947.000000022657</v>
    <v>75</v>
    <v>361.24</v>
    <v>117656200000</v>
    <v>S&amp;P Global Inc.</v>
    <v>S&amp;P Global Inc.</v>
    <v>361.24</v>
    <v>30.194800000000001</v>
    <v>361.13</v>
    <v>368.05</v>
    <v>367.51</v>
    <v>325800000</v>
    <v>SPGI</v>
    <v>S&amp;P Global Inc. (XNYS:SPGI)</v>
    <v>3077427</v>
    <v>1463914</v>
    <v>1925</v>
  </rv>
  <rv s="2">
    <v>76</v>
  </rv>
  <rv s="0">
    <v>https://www.bing.com/financeapi/forcetrigger?t=a1sz9c&amp;q=XNAS%3aFLEX&amp;form=skydnc</v>
    <v>Learn more on Bing</v>
  </rv>
  <rv s="9">
    <v>en-US</v>
    <v>a1sz9c</v>
    <v>268435456</v>
    <v>1</v>
    <v>Powered by Refinitiv</v>
    <v>25</v>
    <v>FLEX LTD. (XNAS:FLEX)</v>
    <v>2</v>
    <v>26</v>
    <v>Finance</v>
    <v>7</v>
    <v>25.12</v>
    <v>13.63</v>
    <v>1.4831000000000001</v>
    <v>0.62</v>
    <v>-1.65E-3</v>
    <v>2.6248999999999998E-2</v>
    <v>-0.04</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24.32</v>
    <v>Electronic Equipment &amp; Parts</v>
    <v>Stock</v>
    <v>44947.026864837499</v>
    <v>78</v>
    <v>23.66</v>
    <v>10975484160</v>
    <v>FLEX LTD.</v>
    <v>FLEX LTD.</v>
    <v>24.13</v>
    <v>13.5618</v>
    <v>23.62</v>
    <v>24.24</v>
    <v>24.2</v>
    <v>452784000</v>
    <v>FLEX</v>
    <v>FLEX LTD. (XNAS:FLEX)</v>
    <v>3757022</v>
    <v>4589174</v>
  </rv>
  <rv s="2">
    <v>79</v>
  </rv>
  <rv s="0">
    <v>https://www.bing.com/financeapi/forcetrigger?t=a1y2bh&amp;q=XNAS%3aMTCH&amp;form=skydnc</v>
    <v>Learn more on Bing</v>
  </rv>
  <rv s="3">
    <v>en-US</v>
    <v>a1y2bh</v>
    <v>268435456</v>
    <v>1</v>
    <v>Powered by Refinitiv</v>
    <v>5</v>
    <v>MATCH GROUP, INC. (XNAS:MTCH)</v>
    <v>2</v>
    <v>6</v>
    <v>Finance</v>
    <v>7</v>
    <v>122.08</v>
    <v>38.64</v>
    <v>0.90090000000000003</v>
    <v>2.58</v>
    <v>-2.9749999999999998E-3</v>
    <v>5.3929999999999999E-2</v>
    <v>-0.15</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50.9</v>
    <v>Software &amp; IT Services</v>
    <v>Stock</v>
    <v>44947.041611168752</v>
    <v>81</v>
    <v>48.17</v>
    <v>14082613562</v>
    <v>MATCH GROUP, INC.</v>
    <v>MATCH GROUP, INC.</v>
    <v>48.51</v>
    <v>126.51730000000001</v>
    <v>47.84</v>
    <v>50.42</v>
    <v>50.27</v>
    <v>279306100</v>
    <v>MTCH</v>
    <v>MATCH GROUP, INC. (XNAS:MTCH)</v>
    <v>4021770</v>
    <v>4625766</v>
    <v>1986</v>
  </rv>
  <rv s="2">
    <v>82</v>
  </rv>
  <rv s="0">
    <v>https://www.bing.com/financeapi/forcetrigger?t=a2iear&amp;q=OTCM%3aGMWKF&amp;form=skydnc</v>
    <v>Learn more on Bing</v>
  </rv>
  <rv s="4">
    <v>en-US</v>
    <v>a2iear</v>
    <v>268435456</v>
    <v>1</v>
    <v>Powered by Refinitiv</v>
    <v>8</v>
    <v>GAMES WORKSHOP GROUP PLC (OTCM:GMWKF)</v>
    <v>2</v>
    <v>29</v>
    <v>Finance</v>
    <v>4</v>
    <v>115</v>
    <v>63.71</v>
    <v>1.4490000000000001</v>
    <v>-2.9249999999999998</v>
    <v>-2.5434999999999999E-2</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112.075</v>
    <v>Leisure Products</v>
    <v>Stock</v>
    <v>44946.738424015624</v>
    <v>84</v>
    <v>112.075</v>
    <v>2948681000</v>
    <v>GAMES WORKSHOP GROUP PLC</v>
    <v>GAMES WORKSHOP GROUP PLC</v>
    <v>112.075</v>
    <v>25.252800000000001</v>
    <v>115</v>
    <v>112.075</v>
    <v>32909380</v>
    <v>GMWKF</v>
    <v>GAMES WORKSHOP GROUP PLC (OTCM:GMWKF)</v>
    <v>112</v>
    <v>82330</v>
    <v>1991</v>
  </rv>
  <rv s="2">
    <v>85</v>
  </rv>
  <rv s="0">
    <v>https://www.bing.com/financeapi/forcetrigger?t=brxwh7&amp;q=XASX%3aMAD&amp;form=skydnc</v>
    <v>Learn more on Bing</v>
  </rv>
  <rv s="4">
    <v>en-US</v>
    <v>brxwh7</v>
    <v>268435456</v>
    <v>1</v>
    <v>Powered by Refinitiv</v>
    <v>8</v>
    <v>MADER GROUP LIMITED (XASX:MAD)</v>
    <v>2</v>
    <v>30</v>
    <v>Finance</v>
    <v>31</v>
    <v>3.98</v>
    <v>1.71</v>
    <v>0.998</v>
    <v>0.21</v>
    <v>5.5702999999999996E-2</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3.98</v>
    <v>Professional &amp; Commercial Services</v>
    <v>Stock</v>
    <v>44946.333333333336</v>
    <v>87</v>
    <v>3.77</v>
    <v>796000000</v>
    <v>MADER GROUP LIMITED</v>
    <v>MADER GROUP LIMITED</v>
    <v>3.77</v>
    <v>28.49</v>
    <v>3.77</v>
    <v>3.98</v>
    <v>200000000</v>
    <v>MAD</v>
    <v>MADER GROUP LIMITED (XASX:MAD)</v>
    <v>119097</v>
    <v>44970</v>
    <v>2012</v>
  </rv>
  <rv s="2">
    <v>88</v>
  </rv>
  <rv s="0">
    <v>https://www.bing.com/financeapi/forcetrigger?t=bxkq27&amp;q=XLON%3aDOCS&amp;form=skydnc</v>
    <v>Learn more on Bing</v>
  </rv>
  <rv s="4">
    <v>en-US</v>
    <v>bxkq27</v>
    <v>268435456</v>
    <v>1</v>
    <v>Powered by Refinitiv</v>
    <v>8</v>
    <v>DR. MARTENS PLC (XLON:DOCS)</v>
    <v>2</v>
    <v>32</v>
    <v>Finance</v>
    <v>18</v>
    <v>343.2</v>
    <v>135.4</v>
    <v>0.92400000000000004</v>
    <v>-5.3</v>
    <v>-3.6576999999999998E-2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145.1</v>
    <v>Textiles &amp; Apparel</v>
    <v>Stock</v>
    <v>44946.713118008593</v>
    <v>90</v>
    <v>135.5</v>
    <v>1397021000</v>
    <v>DR. MARTENS PLC</v>
    <v>DR. MARTENS PLC</v>
    <v>144</v>
    <v>8.1587999999999994</v>
    <v>144.9</v>
    <v>139.6</v>
    <v>1000731000</v>
    <v>DOCS</v>
    <v>DR. MARTENS PLC (XLON:DOCS)</v>
    <v>6730302</v>
    <v>2606110</v>
    <v>2020</v>
  </rv>
  <rv s="2">
    <v>91</v>
  </rv>
</rvData>
</file>

<file path=xl/richData/rdrichvaluestructure.xml><?xml version="1.0" encoding="utf-8"?>
<rvStructures xmlns="http://schemas.microsoft.com/office/spreadsheetml/2017/richdata" count="10">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8">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33">
    <spb s="0">
      <v>0</v>
      <v>Name</v>
      <v>LearnMoreOnLink</v>
    </spb>
    <spb s="1">
      <v>0</v>
      <v>0</v>
      <v>0</v>
    </spb>
    <spb s="2">
      <v>1</v>
      <v>1</v>
      <v>1</v>
      <v>1</v>
    </spb>
    <spb s="3">
      <v>1</v>
      <v>2</v>
      <v>1</v>
      <v>3</v>
      <v>1</v>
      <v>1</v>
      <v>1</v>
      <v>4</v>
      <v>4</v>
      <v>5</v>
      <v>6</v>
      <v>1</v>
      <v>1</v>
      <v>1</v>
      <v>4</v>
      <v>7</v>
      <v>8</v>
      <v>9</v>
      <v>4</v>
    </spb>
    <spb s="4">
      <v>Delayed 15 minutes</v>
      <v>from previous close</v>
      <v>from previous close</v>
      <v>GMT</v>
    </spb>
    <spb s="0">
      <v>1</v>
      <v>Name</v>
      <v>LearnMoreOnLink</v>
    </spb>
    <spb s="5">
      <v>1</v>
      <v>2</v>
      <v>2</v>
      <v>1</v>
      <v>3</v>
      <v>1</v>
      <v>1</v>
      <v>1</v>
      <v>4</v>
      <v>4</v>
      <v>5</v>
      <v>10</v>
      <v>1</v>
      <v>1</v>
      <v>1</v>
      <v>4</v>
      <v>7</v>
      <v>8</v>
      <v>9</v>
      <v>4</v>
      <v>1</v>
      <v>1</v>
      <v>5</v>
    </spb>
    <spb s="6">
      <v>at close</v>
      <v>from previous close</v>
      <v>from previous close</v>
      <v>Source: Nasdaq</v>
      <v>GMT</v>
      <v>Delayed 15 minutes</v>
      <v>from close</v>
      <v>from close</v>
    </spb>
    <spb s="0">
      <v>2</v>
      <v>Name</v>
      <v>LearnMoreOnLink</v>
    </spb>
    <spb s="7">
      <v>1</v>
      <v>2</v>
      <v>2</v>
      <v>1</v>
      <v>3</v>
      <v>1</v>
      <v>1</v>
      <v>1</v>
      <v>4</v>
      <v>4</v>
      <v>5</v>
      <v>10</v>
      <v>1</v>
      <v>1</v>
      <v>1</v>
      <v>4</v>
      <v>7</v>
      <v>8</v>
      <v>9</v>
      <v>4</v>
    </spb>
    <spb s="5">
      <v>1</v>
      <v>2</v>
      <v>2</v>
      <v>1</v>
      <v>3</v>
      <v>1</v>
      <v>1</v>
      <v>1</v>
      <v>4</v>
      <v>4</v>
      <v>5</v>
      <v>11</v>
      <v>1</v>
      <v>1</v>
      <v>1</v>
      <v>4</v>
      <v>7</v>
      <v>8</v>
      <v>9</v>
      <v>4</v>
      <v>1</v>
      <v>1</v>
      <v>5</v>
    </spb>
    <spb s="8">
      <v>at close</v>
      <v>from previous close</v>
      <v>from previous close</v>
      <v>GMT</v>
      <v>Delayed 15 minutes</v>
      <v>from close</v>
      <v>from close</v>
    </spb>
    <spb s="0">
      <v>3</v>
      <v>Name</v>
      <v>LearnMoreOnLink</v>
    </spb>
    <spb s="9">
      <v>12</v>
      <v>2</v>
      <v>2</v>
      <v>12</v>
      <v>3</v>
      <v>12</v>
      <v>12</v>
      <v>12</v>
      <v>4</v>
      <v>4</v>
      <v>5</v>
      <v>13</v>
      <v>12</v>
      <v>12</v>
      <v>12</v>
      <v>4</v>
      <v>7</v>
      <v>9</v>
      <v>4</v>
    </spb>
    <spb s="10">
      <v>Delayed 15 minutes</v>
      <v>from previous close</v>
      <v>from previous close</v>
      <v>Borsa Italia</v>
      <v>GMT</v>
    </spb>
    <spb s="5">
      <v>14</v>
      <v>2</v>
      <v>2</v>
      <v>14</v>
      <v>3</v>
      <v>14</v>
      <v>14</v>
      <v>14</v>
      <v>4</v>
      <v>4</v>
      <v>5</v>
      <v>15</v>
      <v>14</v>
      <v>14</v>
      <v>14</v>
      <v>4</v>
      <v>7</v>
      <v>8</v>
      <v>9</v>
      <v>4</v>
      <v>14</v>
      <v>14</v>
      <v>5</v>
    </spb>
    <spb s="0">
      <v>4</v>
      <v>Name</v>
      <v>LearnMoreOnLink</v>
    </spb>
    <spb s="11">
      <v>2</v>
      <v>2</v>
      <v>3</v>
      <v>16</v>
      <v>16</v>
      <v>16</v>
      <v>4</v>
      <v>4</v>
      <v>5</v>
      <v>17</v>
      <v>16</v>
      <v>16</v>
      <v>16</v>
      <v>4</v>
      <v>7</v>
      <v>8</v>
      <v>9</v>
      <v>4</v>
    </spb>
    <spb s="10">
      <v>Delayed 15 minutes</v>
      <v>from previous close</v>
      <v>from previous close</v>
      <v>LSE</v>
      <v>GMT</v>
    </spb>
    <spb s="0">
      <v>5</v>
      <v>Name</v>
      <v>LearnMoreOnLink</v>
    </spb>
    <spb s="12">
      <v>1</v>
      <v>2</v>
      <v>1</v>
      <v>3</v>
      <v>1</v>
      <v>1</v>
      <v>1</v>
      <v>4</v>
      <v>4</v>
      <v>5</v>
      <v>10</v>
      <v>1</v>
      <v>1</v>
      <v>1</v>
      <v>4</v>
      <v>7</v>
      <v>8</v>
      <v>9</v>
      <v>4</v>
      <v>1</v>
      <v>1</v>
      <v>5</v>
    </spb>
    <spb s="0">
      <v>6</v>
      <v>Name</v>
      <v>LearnMoreOnLink</v>
    </spb>
    <spb s="13">
      <v>1</v>
      <v>2</v>
      <v>1</v>
      <v>3</v>
      <v>1</v>
      <v>1</v>
      <v>1</v>
      <v>4</v>
      <v>4</v>
      <v>5</v>
      <v>10</v>
      <v>1</v>
      <v>1</v>
      <v>1</v>
      <v>4</v>
      <v>7</v>
      <v>8</v>
      <v>9</v>
      <v>4</v>
      <v>1</v>
      <v>1</v>
      <v>5</v>
    </spb>
    <spb s="7">
      <v>1</v>
      <v>2</v>
      <v>2</v>
      <v>1</v>
      <v>3</v>
      <v>1</v>
      <v>1</v>
      <v>1</v>
      <v>4</v>
      <v>4</v>
      <v>5</v>
      <v>11</v>
      <v>1</v>
      <v>1</v>
      <v>1</v>
      <v>4</v>
      <v>7</v>
      <v>8</v>
      <v>9</v>
      <v>4</v>
    </spb>
    <spb s="5">
      <v>1</v>
      <v>2</v>
      <v>2</v>
      <v>1</v>
      <v>3</v>
      <v>1</v>
      <v>1</v>
      <v>1</v>
      <v>4</v>
      <v>4</v>
      <v>5</v>
      <v>18</v>
      <v>1</v>
      <v>1</v>
      <v>1</v>
      <v>4</v>
      <v>7</v>
      <v>8</v>
      <v>9</v>
      <v>4</v>
      <v>1</v>
      <v>1</v>
      <v>5</v>
    </spb>
    <spb s="0">
      <v>7</v>
      <v>Name</v>
      <v>LearnMoreOnLink</v>
    </spb>
    <spb s="14">
      <v>1</v>
      <v>2</v>
      <v>2</v>
      <v>1</v>
      <v>3</v>
      <v>1</v>
      <v>1</v>
      <v>1</v>
      <v>4</v>
      <v>4</v>
      <v>5</v>
      <v>10</v>
      <v>1</v>
      <v>1</v>
      <v>1</v>
      <v>4</v>
      <v>7</v>
      <v>9</v>
      <v>4</v>
      <v>1</v>
      <v>1</v>
      <v>5</v>
    </spb>
    <spb s="7">
      <v>19</v>
      <v>2</v>
      <v>2</v>
      <v>19</v>
      <v>3</v>
      <v>19</v>
      <v>19</v>
      <v>19</v>
      <v>4</v>
      <v>4</v>
      <v>5</v>
      <v>20</v>
      <v>19</v>
      <v>19</v>
      <v>19</v>
      <v>4</v>
      <v>7</v>
      <v>8</v>
      <v>9</v>
      <v>4</v>
    </spb>
    <spb s="4">
      <v>End of Day</v>
      <v>from previous close</v>
      <v>from previous close</v>
      <v>GMT</v>
    </spb>
    <spb s="7">
      <v>1</v>
      <v>2</v>
      <v>2</v>
      <v>1</v>
      <v>3</v>
      <v>1</v>
      <v>1</v>
      <v>1</v>
      <v>4</v>
      <v>4</v>
      <v>5</v>
      <v>17</v>
      <v>1</v>
      <v>1</v>
      <v>1</v>
      <v>4</v>
      <v>7</v>
      <v>8</v>
      <v>9</v>
      <v>4</v>
    </spb>
    <spb s="7">
      <v>21</v>
      <v>2</v>
      <v>2</v>
      <v>21</v>
      <v>3</v>
      <v>21</v>
      <v>21</v>
      <v>21</v>
      <v>4</v>
      <v>4</v>
      <v>5</v>
      <v>22</v>
      <v>21</v>
      <v>21</v>
      <v>21</v>
      <v>4</v>
      <v>7</v>
      <v>8</v>
      <v>9</v>
      <v>4</v>
    </spb>
    <spb s="4">
      <v>Delayed 20 minutes</v>
      <v>from previous close</v>
      <v>from previous close</v>
      <v>GMT</v>
    </spb>
    <spb s="7">
      <v>16</v>
      <v>2</v>
      <v>2</v>
      <v>16</v>
      <v>3</v>
      <v>16</v>
      <v>16</v>
      <v>16</v>
      <v>4</v>
      <v>4</v>
      <v>5</v>
      <v>17</v>
      <v>16</v>
      <v>16</v>
      <v>16</v>
      <v>4</v>
      <v>7</v>
      <v>8</v>
      <v>9</v>
      <v>4</v>
    </spb>
  </spbData>
</supportingPropertyBags>
</file>

<file path=xl/richData/rdsupportingpropertybagstructure.xml><?xml version="1.0" encoding="utf-8"?>
<spbStructures xmlns="http://schemas.microsoft.com/office/spreadsheetml/2017/richdata2" count="15">
  <s>
    <k n="^Order" t="spba"/>
    <k n="TitleProperty" t="s"/>
    <k n="SubTitleProperty" t="s"/>
  </s>
  <s>
    <k n="ShowInCardView" t="b"/>
    <k n="ShowInDotNotation" t="b"/>
    <k n="ShowInAutoComplete" t="b"/>
  </s>
  <s>
    <k n="ExchangeID" t="spb"/>
    <k n="UniqueName" t="spb"/>
    <k n="`%ProviderInfo" t="spb"/>
    <k n="LearnMoreOnLink" t="spb"/>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P/E" t="i"/>
    <k n="Beta"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dxfs>
  <richProperties>
    <rPr n="NumberFormat" t="s"/>
    <rPr n="IsTitleField" t="b"/>
  </richProperties>
  <richStyles>
    <rSty dxfid="1">
      <rpv i="0">_([$$-en-US]* #,##0.00_);_([$$-en-US]* (#,##0.00);_([$$-en-US]* "-"??_);_(@_)</rpv>
    </rSty>
    <rSty dxfid="5">
      <rpv i="0">#,##0.00</rpv>
    </rSty>
    <rSty>
      <rpv i="1">1</rpv>
    </rSty>
    <rSty dxfid="4">
      <rpv i="0">#,##0</rpv>
    </rSty>
    <rSty dxfid="3"/>
    <rSty dxfid="1">
      <rpv i="0">_-* #,##0 [$kr-smj-SE]_-;-* #,##0 [$kr-smj-SE]_-;_-* "-" [$kr-smj-SE]_-;_-@_-</rpv>
    </rSty>
    <rSty dxfid="2"/>
    <rSty dxfid="6">
      <rpv i="0">0</rpv>
    </rSty>
    <rSty dxfid="0">
      <rpv i="0">0.00</rpv>
    </rSty>
    <rSty dxfid="1">
      <rpv i="0">_([$$-en-US]* #,##0_);_([$$-en-US]* (#,##0);_([$$-en-US]* "-"_);_(@_)</rpv>
    </rSty>
    <rSty dxfid="1">
      <rpv i="0">_-[$¥-ja-JP]* #,##0_-;-[$¥-ja-JP]* #,##0_-;_-[$¥-ja-JP]* "-"_-;_-@_-</rpv>
    </rSty>
    <rSty dxfid="1">
      <rpv i="0">_([$€-x-euro2] * #,##0.00_);_([$€-x-euro2] * (#,##0.00);_([$€-x-euro2] * "-"??_);_(@_)</rpv>
    </rSty>
    <rSty dxfid="1">
      <rpv i="0">_([$€-x-euro2] * #,##0_);_([$€-x-euro2] * (#,##0);_([$€-x-euro2] * "-"_);_(@_)</rpv>
    </rSty>
    <rSty dxfid="1">
      <rpv i="0">_-[$$-en-HK]* #,##0.00_-;-[$$-en-HK]* #,##0.00_-;_-[$$-en-HK]* "-"??_-;_-@_-</rpv>
    </rSty>
    <rSty dxfid="1">
      <rpv i="0">_-[$$-en-HK]* #,##0_-;-[$$-en-HK]* #,##0_-;_-[$$-en-HK]* "-"_-;_-@_-</rpv>
    </rSty>
    <rSty dxfid="7">
      <rpv i="0">_(* #,##0.00_);_(* (#,##0.00);_(* "-"??_);_(@_)</rpv>
    </rSty>
    <rSty dxfid="1">
      <rpv i="0">_-[$£-en-GB]* #,##0_-;-[$£-en-GB]* #,##0_-;_-[$£-en-GB]* "-"_-;_-@_-</rpv>
    </rSty>
    <rSty dxfid="1">
      <rpv i="0">_-[$$-en-CA]* #,##0_-;-[$$-en-CA]* #,##0_-;_-[$$-en-CA]* "-"_-;_-@_-</rpv>
    </rSty>
    <rSty dxfid="1">
      <rpv i="0">_-* #,##0.00 [$zł-pl-PL]_-;-* #,##0.00 [$zł-pl-PL]_-;_-* "-"?? [$zł-pl-PL]_-;_-@_-</rpv>
    </rSty>
    <rSty dxfid="1">
      <rpv i="0">_-* #,##0 [$zł-pl-PL]_-;-* #,##0 [$zł-pl-PL]_-;_-* "-" [$zł-pl-PL]_-;_-@_-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S34" totalsRowCount="1" headerRowDxfId="40" headerRowBorderDxfId="39" tableBorderDxfId="38">
  <autoFilter ref="A1:S33" xr:uid="{D33CFB4D-F199-4348-B07F-318ED2E8086B}">
    <filterColumn colId="18">
      <filters>
        <dateGroupItem year="2022" dateTimeGrouping="year"/>
      </filters>
    </filterColumn>
  </autoFilter>
  <tableColumns count="19">
    <tableColumn id="1" xr3:uid="{AD982FAD-8CBD-434C-B116-FA54BB443EA7}" name="Ticker" totalsRowLabel="Total" dataDxfId="37" totalsRowDxfId="36"/>
    <tableColumn id="2" xr3:uid="{13108310-4E80-4955-87D5-50ABFE9808A2}" name="Nombre" totalsRowFunction="count" dataDxfId="35" totalsRowDxfId="34"/>
    <tableColumn id="3" xr3:uid="{740DF2CF-2890-4346-8B3A-BFB6CD4B59AA}" name="Sector" dataDxfId="33" totalsRowDxfId="32"/>
    <tableColumn id="4" xr3:uid="{41539FCC-ECED-4C9A-9915-FAFD36FD0CC8}" name="IR" totalsRowFunction="custom" dataDxfId="31" totalsRowDxfId="30" dataCellStyle="Porcentaje" totalsRowCellStyle="Porcentaje">
      <totalsRowFormula>AVERAGE(Tabla1[IR])</totalsRowFormula>
    </tableColumn>
    <tableColumn id="5" xr3:uid="{0F48A4E9-12A0-4849-8E3D-DF2571E9AB8B}" name="Precio" dataDxfId="29" totalsRowDxfId="28"/>
    <tableColumn id="6" xr3:uid="{C9F1DB4D-800F-4CA2-BD21-15BCECD371B6}" name="Objetivo" dataDxfId="27" totalsRowDxfId="26"/>
    <tableColumn id="7" xr3:uid="{7EBD78EA-ED5D-4387-847F-8ECA8ECA92C0}" name="Valoración" totalsRowFunction="custom" dataDxfId="25" totalsRowDxfId="24">
      <calculatedColumnFormula>F2/E2</calculatedColumnFormula>
      <totalsRowFormula>MEDIAN(G2:G33)</totalsRowFormula>
    </tableColumn>
    <tableColumn id="19" xr3:uid="{15259FF9-9CB4-4AFE-8457-02B3DBE43287}" name="FCF Yield" totalsRowFunction="average" dataDxfId="23" totalsRowDxfId="22"/>
    <tableColumn id="8" xr3:uid="{0B4D075F-0F3B-4FB1-B921-344185EF4415}" name="Riesgo" dataDxfId="21" totalsRowDxfId="20"/>
    <tableColumn id="9" xr3:uid="{C49F1470-2779-468F-A64F-FC0565E035F5}" name="Moat" dataDxfId="19" totalsRowDxfId="18"/>
    <tableColumn id="17" xr3:uid="{94D5EF6D-7497-4194-A03E-7A862326A9AC}" name="M. Bruto" totalsRowFunction="average" dataDxfId="17" totalsRowDxfId="16"/>
    <tableColumn id="10" xr3:uid="{2A8AD1D3-EF6E-410F-A0CC-6BF0F0018451}" name="M. Neto" totalsRowFunction="average" dataDxfId="15" totalsRowDxfId="14"/>
    <tableColumn id="11" xr3:uid="{F6A86BAA-4D71-46F3-981F-B3F0E2949A83}" name="Δ Rev." totalsRowFunction="average" dataDxfId="13" totalsRowDxfId="12"/>
    <tableColumn id="18" xr3:uid="{85024266-0CA0-4075-B11B-2FFFA258AE95}" name="Δ FCF" totalsRowFunction="average" dataDxfId="11" totalsRowDxfId="10"/>
    <tableColumn id="12" xr3:uid="{9850475F-4858-420C-B9CE-D89A9ECD49FA}" name="Δ EPS" totalsRowFunction="average" dataDxfId="9" totalsRowDxfId="8"/>
    <tableColumn id="13" xr3:uid="{4C856960-446B-4F07-BE1B-9358422D151C}" name="CFROIC" totalsRowFunction="average" dataDxfId="7" totalsRowDxfId="6"/>
    <tableColumn id="14" xr3:uid="{774052FB-EC3A-4DF9-8F69-2FB1654E3240}" name="Deuda" dataDxfId="5" totalsRowDxfId="4"/>
    <tableColumn id="15" xr3:uid="{2B16D724-0F44-403B-A7FA-404D979CF702}" name="Directiva" dataDxfId="3" totalsRowDxfId="2"/>
    <tableColumn id="16" xr3:uid="{39A05311-6049-47AB-96D3-776646CA91DE}" name="Last Modified" totalsRowFunction="mi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17"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42" Type="http://schemas.openxmlformats.org/officeDocument/2006/relationships/hyperlink" Target="https://app.tikr.com/account/subs?ref=q5ht48" TargetMode="External"/><Relationship Id="rId63" Type="http://schemas.openxmlformats.org/officeDocument/2006/relationships/hyperlink" Target="https://app.tikr.com/account/subs?ref=q5ht48" TargetMode="External"/><Relationship Id="rId84" Type="http://schemas.openxmlformats.org/officeDocument/2006/relationships/hyperlink" Target="https://app.tikr.com/account/subs?ref=q5ht48" TargetMode="External"/><Relationship Id="rId138" Type="http://schemas.openxmlformats.org/officeDocument/2006/relationships/hyperlink" Target="https://app.tikr.com/account/subs?ref=q5ht48" TargetMode="External"/><Relationship Id="rId159" Type="http://schemas.openxmlformats.org/officeDocument/2006/relationships/hyperlink" Target="https://app.tikr.com/account/subs?ref=q5ht48" TargetMode="External"/><Relationship Id="rId170" Type="http://schemas.openxmlformats.org/officeDocument/2006/relationships/hyperlink" Target="https://app.tikr.com/account/subs?ref=q5ht48" TargetMode="External"/><Relationship Id="rId191" Type="http://schemas.openxmlformats.org/officeDocument/2006/relationships/hyperlink" Target="https://app.tikr.com/account/subs?ref=q5ht48" TargetMode="External"/><Relationship Id="rId107"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32" Type="http://schemas.openxmlformats.org/officeDocument/2006/relationships/hyperlink" Target="https://app.tikr.com/account/subs?ref=q5ht48" TargetMode="External"/><Relationship Id="rId53" Type="http://schemas.openxmlformats.org/officeDocument/2006/relationships/hyperlink" Target="https://app.tikr.com/account/subs?ref=q5ht48" TargetMode="External"/><Relationship Id="rId74" Type="http://schemas.openxmlformats.org/officeDocument/2006/relationships/hyperlink" Target="https://app.tikr.com/account/subs?ref=q5ht48" TargetMode="External"/><Relationship Id="rId128" Type="http://schemas.openxmlformats.org/officeDocument/2006/relationships/hyperlink" Target="https://app.tikr.com/account/subs?ref=q5ht48" TargetMode="External"/><Relationship Id="rId149"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95" Type="http://schemas.openxmlformats.org/officeDocument/2006/relationships/hyperlink" Target="https://app.tikr.com/account/subs?ref=q5ht48" TargetMode="External"/><Relationship Id="rId160" Type="http://schemas.openxmlformats.org/officeDocument/2006/relationships/hyperlink" Target="https://app.tikr.com/account/subs?ref=q5ht48" TargetMode="External"/><Relationship Id="rId181"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43" Type="http://schemas.openxmlformats.org/officeDocument/2006/relationships/hyperlink" Target="https://app.tikr.com/account/subs?ref=q5ht48" TargetMode="External"/><Relationship Id="rId64" Type="http://schemas.openxmlformats.org/officeDocument/2006/relationships/hyperlink" Target="https://app.tikr.com/account/subs?ref=q5ht48" TargetMode="External"/><Relationship Id="rId118" Type="http://schemas.openxmlformats.org/officeDocument/2006/relationships/hyperlink" Target="https://app.tikr.com/account/subs?ref=q5ht48" TargetMode="External"/><Relationship Id="rId139" Type="http://schemas.openxmlformats.org/officeDocument/2006/relationships/hyperlink" Target="https://app.tikr.com/account/subs?ref=q5ht48" TargetMode="External"/><Relationship Id="rId85" Type="http://schemas.openxmlformats.org/officeDocument/2006/relationships/hyperlink" Target="https://app.tikr.com/account/subs?ref=q5ht48" TargetMode="External"/><Relationship Id="rId150" Type="http://schemas.openxmlformats.org/officeDocument/2006/relationships/hyperlink" Target="https://app.tikr.com/account/subs?ref=q5ht48" TargetMode="External"/><Relationship Id="rId171" Type="http://schemas.openxmlformats.org/officeDocument/2006/relationships/hyperlink" Target="https://app.tikr.com/account/subs?ref=q5ht48" TargetMode="External"/><Relationship Id="rId192"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33" Type="http://schemas.openxmlformats.org/officeDocument/2006/relationships/hyperlink" Target="https://app.tikr.com/account/subs?ref=q5ht48" TargetMode="External"/><Relationship Id="rId108" Type="http://schemas.openxmlformats.org/officeDocument/2006/relationships/hyperlink" Target="https://app.tikr.com/account/subs?ref=q5ht48" TargetMode="External"/><Relationship Id="rId129" Type="http://schemas.openxmlformats.org/officeDocument/2006/relationships/hyperlink" Target="https://app.tikr.com/account/subs?ref=q5ht48" TargetMode="External"/><Relationship Id="rId54" Type="http://schemas.openxmlformats.org/officeDocument/2006/relationships/hyperlink" Target="https://app.tikr.com/account/subs?ref=q5ht48" TargetMode="External"/><Relationship Id="rId75" Type="http://schemas.openxmlformats.org/officeDocument/2006/relationships/hyperlink" Target="https://app.tikr.com/account/subs?ref=q5ht48" TargetMode="External"/><Relationship Id="rId96" Type="http://schemas.openxmlformats.org/officeDocument/2006/relationships/hyperlink" Target="https://app.tikr.com/account/subs?ref=q5ht48" TargetMode="External"/><Relationship Id="rId140" Type="http://schemas.openxmlformats.org/officeDocument/2006/relationships/hyperlink" Target="https://app.tikr.com/account/subs?ref=q5ht48" TargetMode="External"/><Relationship Id="rId161" Type="http://schemas.openxmlformats.org/officeDocument/2006/relationships/hyperlink" Target="https://app.tikr.com/account/subs?ref=q5ht48" TargetMode="External"/><Relationship Id="rId182"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119" Type="http://schemas.openxmlformats.org/officeDocument/2006/relationships/hyperlink" Target="https://app.tikr.com/account/subs?ref=q5ht48" TargetMode="External"/><Relationship Id="rId44" Type="http://schemas.openxmlformats.org/officeDocument/2006/relationships/hyperlink" Target="https://app.tikr.com/account/subs?ref=q5ht48" TargetMode="External"/><Relationship Id="rId65" Type="http://schemas.openxmlformats.org/officeDocument/2006/relationships/hyperlink" Target="https://app.tikr.com/account/subs?ref=q5ht48" TargetMode="External"/><Relationship Id="rId86" Type="http://schemas.openxmlformats.org/officeDocument/2006/relationships/hyperlink" Target="https://app.tikr.com/account/subs?ref=q5ht48" TargetMode="External"/><Relationship Id="rId130" Type="http://schemas.openxmlformats.org/officeDocument/2006/relationships/hyperlink" Target="https://app.tikr.com/account/subs?ref=q5ht48" TargetMode="External"/><Relationship Id="rId151" Type="http://schemas.openxmlformats.org/officeDocument/2006/relationships/hyperlink" Target="https://app.tikr.com/account/subs?ref=q5ht48" TargetMode="External"/><Relationship Id="rId172" Type="http://schemas.openxmlformats.org/officeDocument/2006/relationships/hyperlink" Target="https://app.tikr.com/account/subs?ref=q5ht48" TargetMode="External"/><Relationship Id="rId193"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109" Type="http://schemas.openxmlformats.org/officeDocument/2006/relationships/hyperlink" Target="https://app.tikr.com/account/subs?ref=q5ht48" TargetMode="External"/><Relationship Id="rId34" Type="http://schemas.openxmlformats.org/officeDocument/2006/relationships/hyperlink" Target="https://app.tikr.com/account/subs?ref=q5ht48" TargetMode="External"/><Relationship Id="rId50" Type="http://schemas.openxmlformats.org/officeDocument/2006/relationships/hyperlink" Target="https://app.tikr.com/account/subs?ref=q5ht48" TargetMode="External"/><Relationship Id="rId55" Type="http://schemas.openxmlformats.org/officeDocument/2006/relationships/hyperlink" Target="https://app.tikr.com/account/subs?ref=q5ht48" TargetMode="External"/><Relationship Id="rId76" Type="http://schemas.openxmlformats.org/officeDocument/2006/relationships/hyperlink" Target="https://app.tikr.com/account/subs?ref=q5ht48" TargetMode="External"/><Relationship Id="rId97" Type="http://schemas.openxmlformats.org/officeDocument/2006/relationships/hyperlink" Target="https://app.tikr.com/account/subs?ref=q5ht48" TargetMode="External"/><Relationship Id="rId104" Type="http://schemas.openxmlformats.org/officeDocument/2006/relationships/hyperlink" Target="https://app.tikr.com/account/subs?ref=q5ht48" TargetMode="External"/><Relationship Id="rId120" Type="http://schemas.openxmlformats.org/officeDocument/2006/relationships/hyperlink" Target="https://app.tikr.com/account/subs?ref=q5ht48" TargetMode="External"/><Relationship Id="rId125" Type="http://schemas.openxmlformats.org/officeDocument/2006/relationships/hyperlink" Target="https://app.tikr.com/account/subs?ref=q5ht48" TargetMode="External"/><Relationship Id="rId141" Type="http://schemas.openxmlformats.org/officeDocument/2006/relationships/hyperlink" Target="https://app.tikr.com/account/subs?ref=q5ht48" TargetMode="External"/><Relationship Id="rId146" Type="http://schemas.openxmlformats.org/officeDocument/2006/relationships/hyperlink" Target="https://app.tikr.com/account/subs?ref=q5ht48" TargetMode="External"/><Relationship Id="rId167" Type="http://schemas.openxmlformats.org/officeDocument/2006/relationships/hyperlink" Target="https://app.tikr.com/account/subs?ref=q5ht48" TargetMode="External"/><Relationship Id="rId188"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71" Type="http://schemas.openxmlformats.org/officeDocument/2006/relationships/hyperlink" Target="https://app.tikr.com/account/subs?ref=q5ht48" TargetMode="External"/><Relationship Id="rId92" Type="http://schemas.openxmlformats.org/officeDocument/2006/relationships/hyperlink" Target="https://app.tikr.com/account/subs?ref=q5ht48" TargetMode="External"/><Relationship Id="rId162" Type="http://schemas.openxmlformats.org/officeDocument/2006/relationships/hyperlink" Target="https://app.tikr.com/account/subs?ref=q5ht48" TargetMode="External"/><Relationship Id="rId183"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40" Type="http://schemas.openxmlformats.org/officeDocument/2006/relationships/hyperlink" Target="https://app.tikr.com/account/subs?ref=q5ht48" TargetMode="External"/><Relationship Id="rId45" Type="http://schemas.openxmlformats.org/officeDocument/2006/relationships/hyperlink" Target="https://app.tikr.com/account/subs?ref=q5ht48" TargetMode="External"/><Relationship Id="rId66" Type="http://schemas.openxmlformats.org/officeDocument/2006/relationships/hyperlink" Target="https://app.tikr.com/account/subs?ref=q5ht48" TargetMode="External"/><Relationship Id="rId87" Type="http://schemas.openxmlformats.org/officeDocument/2006/relationships/hyperlink" Target="https://app.tikr.com/account/subs?ref=q5ht48" TargetMode="External"/><Relationship Id="rId110" Type="http://schemas.openxmlformats.org/officeDocument/2006/relationships/hyperlink" Target="https://app.tikr.com/account/subs?ref=q5ht48" TargetMode="External"/><Relationship Id="rId115" Type="http://schemas.openxmlformats.org/officeDocument/2006/relationships/hyperlink" Target="https://app.tikr.com/account/subs?ref=q5ht48" TargetMode="External"/><Relationship Id="rId131" Type="http://schemas.openxmlformats.org/officeDocument/2006/relationships/hyperlink" Target="https://app.tikr.com/account/subs?ref=q5ht48" TargetMode="External"/><Relationship Id="rId136" Type="http://schemas.openxmlformats.org/officeDocument/2006/relationships/hyperlink" Target="https://app.tikr.com/account/subs?ref=q5ht48" TargetMode="External"/><Relationship Id="rId157" Type="http://schemas.openxmlformats.org/officeDocument/2006/relationships/hyperlink" Target="https://app.tikr.com/account/subs?ref=q5ht48" TargetMode="External"/><Relationship Id="rId178" Type="http://schemas.openxmlformats.org/officeDocument/2006/relationships/hyperlink" Target="https://app.tikr.com/account/subs?ref=q5ht48" TargetMode="External"/><Relationship Id="rId61" Type="http://schemas.openxmlformats.org/officeDocument/2006/relationships/hyperlink" Target="https://app.tikr.com/account/subs?ref=q5ht48" TargetMode="External"/><Relationship Id="rId82" Type="http://schemas.openxmlformats.org/officeDocument/2006/relationships/hyperlink" Target="https://app.tikr.com/account/subs?ref=q5ht48" TargetMode="External"/><Relationship Id="rId152" Type="http://schemas.openxmlformats.org/officeDocument/2006/relationships/hyperlink" Target="https://app.tikr.com/account/subs?ref=q5ht48" TargetMode="External"/><Relationship Id="rId173"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30" Type="http://schemas.openxmlformats.org/officeDocument/2006/relationships/hyperlink" Target="https://app.tikr.com/account/subs?ref=q5ht48" TargetMode="External"/><Relationship Id="rId35" Type="http://schemas.openxmlformats.org/officeDocument/2006/relationships/hyperlink" Target="https://app.tikr.com/account/subs?ref=q5ht48" TargetMode="External"/><Relationship Id="rId56" Type="http://schemas.openxmlformats.org/officeDocument/2006/relationships/hyperlink" Target="https://app.tikr.com/account/subs?ref=q5ht48" TargetMode="External"/><Relationship Id="rId77" Type="http://schemas.openxmlformats.org/officeDocument/2006/relationships/hyperlink" Target="https://app.tikr.com/account/subs?ref=q5ht48" TargetMode="External"/><Relationship Id="rId100" Type="http://schemas.openxmlformats.org/officeDocument/2006/relationships/hyperlink" Target="https://app.tikr.com/account/subs?ref=q5ht48" TargetMode="External"/><Relationship Id="rId105" Type="http://schemas.openxmlformats.org/officeDocument/2006/relationships/hyperlink" Target="https://app.tikr.com/account/subs?ref=q5ht48" TargetMode="External"/><Relationship Id="rId126" Type="http://schemas.openxmlformats.org/officeDocument/2006/relationships/hyperlink" Target="https://app.tikr.com/account/subs?ref=q5ht48" TargetMode="External"/><Relationship Id="rId147" Type="http://schemas.openxmlformats.org/officeDocument/2006/relationships/hyperlink" Target="https://app.tikr.com/account/subs?ref=q5ht48" TargetMode="External"/><Relationship Id="rId168" Type="http://schemas.openxmlformats.org/officeDocument/2006/relationships/hyperlink" Target="https://app.tikr.com/account/subs?ref=q5ht48" TargetMode="External"/><Relationship Id="rId8" Type="http://schemas.openxmlformats.org/officeDocument/2006/relationships/hyperlink" Target="https://app.tikr.com/account/subs?ref=q5ht48" TargetMode="External"/><Relationship Id="rId51" Type="http://schemas.openxmlformats.org/officeDocument/2006/relationships/hyperlink" Target="https://app.tikr.com/account/subs?ref=q5ht48" TargetMode="External"/><Relationship Id="rId72" Type="http://schemas.openxmlformats.org/officeDocument/2006/relationships/hyperlink" Target="https://app.tikr.com/account/subs?ref=q5ht48" TargetMode="External"/><Relationship Id="rId93" Type="http://schemas.openxmlformats.org/officeDocument/2006/relationships/hyperlink" Target="https://app.tikr.com/account/subs?ref=q5ht48" TargetMode="External"/><Relationship Id="rId98" Type="http://schemas.openxmlformats.org/officeDocument/2006/relationships/hyperlink" Target="https://app.tikr.com/account/subs?ref=q5ht48" TargetMode="External"/><Relationship Id="rId121" Type="http://schemas.openxmlformats.org/officeDocument/2006/relationships/hyperlink" Target="https://app.tikr.com/account/subs?ref=q5ht48" TargetMode="External"/><Relationship Id="rId142" Type="http://schemas.openxmlformats.org/officeDocument/2006/relationships/hyperlink" Target="https://app.tikr.com/account/subs?ref=q5ht48" TargetMode="External"/><Relationship Id="rId163" Type="http://schemas.openxmlformats.org/officeDocument/2006/relationships/hyperlink" Target="https://app.tikr.com/account/subs?ref=q5ht48" TargetMode="External"/><Relationship Id="rId184" Type="http://schemas.openxmlformats.org/officeDocument/2006/relationships/hyperlink" Target="https://app.tikr.com/account/subs?ref=q5ht48" TargetMode="External"/><Relationship Id="rId189"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46" Type="http://schemas.openxmlformats.org/officeDocument/2006/relationships/hyperlink" Target="https://app.tikr.com/account/subs?ref=q5ht48" TargetMode="External"/><Relationship Id="rId67" Type="http://schemas.openxmlformats.org/officeDocument/2006/relationships/hyperlink" Target="https://app.tikr.com/account/subs?ref=q5ht48" TargetMode="External"/><Relationship Id="rId116" Type="http://schemas.openxmlformats.org/officeDocument/2006/relationships/hyperlink" Target="https://app.tikr.com/account/subs?ref=q5ht48" TargetMode="External"/><Relationship Id="rId137" Type="http://schemas.openxmlformats.org/officeDocument/2006/relationships/hyperlink" Target="https://app.tikr.com/account/subs?ref=q5ht48" TargetMode="External"/><Relationship Id="rId158"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41" Type="http://schemas.openxmlformats.org/officeDocument/2006/relationships/hyperlink" Target="https://app.tikr.com/account/subs?ref=q5ht48" TargetMode="External"/><Relationship Id="rId62" Type="http://schemas.openxmlformats.org/officeDocument/2006/relationships/hyperlink" Target="https://app.tikr.com/account/subs?ref=q5ht48" TargetMode="External"/><Relationship Id="rId83" Type="http://schemas.openxmlformats.org/officeDocument/2006/relationships/hyperlink" Target="https://app.tikr.com/account/subs?ref=q5ht48" TargetMode="External"/><Relationship Id="rId88" Type="http://schemas.openxmlformats.org/officeDocument/2006/relationships/hyperlink" Target="https://app.tikr.com/account/subs?ref=q5ht48" TargetMode="External"/><Relationship Id="rId111" Type="http://schemas.openxmlformats.org/officeDocument/2006/relationships/hyperlink" Target="https://app.tikr.com/account/subs?ref=q5ht48" TargetMode="External"/><Relationship Id="rId132" Type="http://schemas.openxmlformats.org/officeDocument/2006/relationships/hyperlink" Target="https://app.tikr.com/account/subs?ref=q5ht48" TargetMode="External"/><Relationship Id="rId153" Type="http://schemas.openxmlformats.org/officeDocument/2006/relationships/hyperlink" Target="https://app.tikr.com/account/subs?ref=q5ht48" TargetMode="External"/><Relationship Id="rId174" Type="http://schemas.openxmlformats.org/officeDocument/2006/relationships/hyperlink" Target="https://app.tikr.com/account/subs?ref=q5ht48" TargetMode="External"/><Relationship Id="rId179" Type="http://schemas.openxmlformats.org/officeDocument/2006/relationships/hyperlink" Target="https://app.tikr.com/account/subs?ref=q5ht48" TargetMode="External"/><Relationship Id="rId190"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36" Type="http://schemas.openxmlformats.org/officeDocument/2006/relationships/hyperlink" Target="https://app.tikr.com/account/subs?ref=q5ht48" TargetMode="External"/><Relationship Id="rId57" Type="http://schemas.openxmlformats.org/officeDocument/2006/relationships/hyperlink" Target="https://app.tikr.com/account/subs?ref=q5ht48" TargetMode="External"/><Relationship Id="rId106" Type="http://schemas.openxmlformats.org/officeDocument/2006/relationships/hyperlink" Target="https://app.tikr.com/account/subs?ref=q5ht48" TargetMode="External"/><Relationship Id="rId127"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31" Type="http://schemas.openxmlformats.org/officeDocument/2006/relationships/hyperlink" Target="https://app.tikr.com/account/subs?ref=q5ht48" TargetMode="External"/><Relationship Id="rId52" Type="http://schemas.openxmlformats.org/officeDocument/2006/relationships/hyperlink" Target="https://app.tikr.com/account/subs?ref=q5ht48" TargetMode="External"/><Relationship Id="rId73" Type="http://schemas.openxmlformats.org/officeDocument/2006/relationships/hyperlink" Target="https://app.tikr.com/account/subs?ref=q5ht48" TargetMode="External"/><Relationship Id="rId78" Type="http://schemas.openxmlformats.org/officeDocument/2006/relationships/hyperlink" Target="https://app.tikr.com/account/subs?ref=q5ht48" TargetMode="External"/><Relationship Id="rId94" Type="http://schemas.openxmlformats.org/officeDocument/2006/relationships/hyperlink" Target="https://app.tikr.com/account/subs?ref=q5ht48" TargetMode="External"/><Relationship Id="rId99" Type="http://schemas.openxmlformats.org/officeDocument/2006/relationships/hyperlink" Target="https://app.tikr.com/account/subs?ref=q5ht48" TargetMode="External"/><Relationship Id="rId101" Type="http://schemas.openxmlformats.org/officeDocument/2006/relationships/hyperlink" Target="https://app.tikr.com/account/subs?ref=q5ht48" TargetMode="External"/><Relationship Id="rId122" Type="http://schemas.openxmlformats.org/officeDocument/2006/relationships/hyperlink" Target="https://app.tikr.com/account/subs?ref=q5ht48" TargetMode="External"/><Relationship Id="rId143" Type="http://schemas.openxmlformats.org/officeDocument/2006/relationships/hyperlink" Target="https://app.tikr.com/account/subs?ref=q5ht48" TargetMode="External"/><Relationship Id="rId148" Type="http://schemas.openxmlformats.org/officeDocument/2006/relationships/hyperlink" Target="https://app.tikr.com/account/subs?ref=q5ht48" TargetMode="External"/><Relationship Id="rId164" Type="http://schemas.openxmlformats.org/officeDocument/2006/relationships/hyperlink" Target="https://app.tikr.com/account/subs?ref=q5ht48" TargetMode="External"/><Relationship Id="rId169" Type="http://schemas.openxmlformats.org/officeDocument/2006/relationships/hyperlink" Target="https://app.tikr.com/account/subs?ref=q5ht48" TargetMode="External"/><Relationship Id="rId185"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80"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47" Type="http://schemas.openxmlformats.org/officeDocument/2006/relationships/hyperlink" Target="https://app.tikr.com/account/subs?ref=q5ht48" TargetMode="External"/><Relationship Id="rId68" Type="http://schemas.openxmlformats.org/officeDocument/2006/relationships/hyperlink" Target="https://app.tikr.com/account/subs?ref=q5ht48" TargetMode="External"/><Relationship Id="rId89" Type="http://schemas.openxmlformats.org/officeDocument/2006/relationships/hyperlink" Target="https://app.tikr.com/account/subs?ref=q5ht48" TargetMode="External"/><Relationship Id="rId112" Type="http://schemas.openxmlformats.org/officeDocument/2006/relationships/hyperlink" Target="https://app.tikr.com/account/subs?ref=q5ht48" TargetMode="External"/><Relationship Id="rId133" Type="http://schemas.openxmlformats.org/officeDocument/2006/relationships/hyperlink" Target="https://app.tikr.com/account/subs?ref=q5ht48" TargetMode="External"/><Relationship Id="rId154" Type="http://schemas.openxmlformats.org/officeDocument/2006/relationships/hyperlink" Target="https://app.tikr.com/account/subs?ref=q5ht48" TargetMode="External"/><Relationship Id="rId175"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37" Type="http://schemas.openxmlformats.org/officeDocument/2006/relationships/hyperlink" Target="https://app.tikr.com/account/subs?ref=q5ht48" TargetMode="External"/><Relationship Id="rId58" Type="http://schemas.openxmlformats.org/officeDocument/2006/relationships/hyperlink" Target="https://app.tikr.com/account/subs?ref=q5ht48" TargetMode="External"/><Relationship Id="rId79" Type="http://schemas.openxmlformats.org/officeDocument/2006/relationships/hyperlink" Target="https://app.tikr.com/account/subs?ref=q5ht48" TargetMode="External"/><Relationship Id="rId102" Type="http://schemas.openxmlformats.org/officeDocument/2006/relationships/hyperlink" Target="https://app.tikr.com/account/subs?ref=q5ht48" TargetMode="External"/><Relationship Id="rId123" Type="http://schemas.openxmlformats.org/officeDocument/2006/relationships/hyperlink" Target="https://app.tikr.com/account/subs?ref=q5ht48" TargetMode="External"/><Relationship Id="rId144" Type="http://schemas.openxmlformats.org/officeDocument/2006/relationships/hyperlink" Target="https://app.tikr.com/account/subs?ref=q5ht48" TargetMode="External"/><Relationship Id="rId90" Type="http://schemas.openxmlformats.org/officeDocument/2006/relationships/hyperlink" Target="https://app.tikr.com/account/subs?ref=q5ht48" TargetMode="External"/><Relationship Id="rId165" Type="http://schemas.openxmlformats.org/officeDocument/2006/relationships/hyperlink" Target="https://app.tikr.com/account/subs?ref=q5ht48" TargetMode="External"/><Relationship Id="rId186"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 Id="rId48" Type="http://schemas.openxmlformats.org/officeDocument/2006/relationships/hyperlink" Target="https://app.tikr.com/account/subs?ref=q5ht48" TargetMode="External"/><Relationship Id="rId69" Type="http://schemas.openxmlformats.org/officeDocument/2006/relationships/hyperlink" Target="https://app.tikr.com/account/subs?ref=q5ht48" TargetMode="External"/><Relationship Id="rId113" Type="http://schemas.openxmlformats.org/officeDocument/2006/relationships/hyperlink" Target="https://app.tikr.com/account/subs?ref=q5ht48" TargetMode="External"/><Relationship Id="rId134" Type="http://schemas.openxmlformats.org/officeDocument/2006/relationships/hyperlink" Target="https://app.tikr.com/account/subs?ref=q5ht48" TargetMode="External"/><Relationship Id="rId80" Type="http://schemas.openxmlformats.org/officeDocument/2006/relationships/hyperlink" Target="https://app.tikr.com/account/subs?ref=q5ht48" TargetMode="External"/><Relationship Id="rId155" Type="http://schemas.openxmlformats.org/officeDocument/2006/relationships/hyperlink" Target="https://app.tikr.com/account/subs?ref=q5ht48" TargetMode="External"/><Relationship Id="rId176"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38" Type="http://schemas.openxmlformats.org/officeDocument/2006/relationships/hyperlink" Target="https://app.tikr.com/account/subs?ref=q5ht48" TargetMode="External"/><Relationship Id="rId59" Type="http://schemas.openxmlformats.org/officeDocument/2006/relationships/hyperlink" Target="https://app.tikr.com/account/subs?ref=q5ht48" TargetMode="External"/><Relationship Id="rId103" Type="http://schemas.openxmlformats.org/officeDocument/2006/relationships/hyperlink" Target="https://app.tikr.com/account/subs?ref=q5ht48" TargetMode="External"/><Relationship Id="rId124" Type="http://schemas.openxmlformats.org/officeDocument/2006/relationships/hyperlink" Target="https://app.tikr.com/account/subs?ref=q5ht48" TargetMode="External"/><Relationship Id="rId70" Type="http://schemas.openxmlformats.org/officeDocument/2006/relationships/hyperlink" Target="https://app.tikr.com/account/subs?ref=q5ht48" TargetMode="External"/><Relationship Id="rId91" Type="http://schemas.openxmlformats.org/officeDocument/2006/relationships/hyperlink" Target="https://app.tikr.com/account/subs?ref=q5ht48" TargetMode="External"/><Relationship Id="rId145" Type="http://schemas.openxmlformats.org/officeDocument/2006/relationships/hyperlink" Target="https://app.tikr.com/account/subs?ref=q5ht48" TargetMode="External"/><Relationship Id="rId166" Type="http://schemas.openxmlformats.org/officeDocument/2006/relationships/hyperlink" Target="https://app.tikr.com/account/subs?ref=q5ht48" TargetMode="External"/><Relationship Id="rId187"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49" Type="http://schemas.openxmlformats.org/officeDocument/2006/relationships/hyperlink" Target="https://app.tikr.com/account/subs?ref=q5ht48" TargetMode="External"/><Relationship Id="rId114" Type="http://schemas.openxmlformats.org/officeDocument/2006/relationships/hyperlink" Target="https://app.tikr.com/account/subs?ref=q5ht48" TargetMode="External"/><Relationship Id="rId60" Type="http://schemas.openxmlformats.org/officeDocument/2006/relationships/hyperlink" Target="https://app.tikr.com/account/subs?ref=q5ht48" TargetMode="External"/><Relationship Id="rId81" Type="http://schemas.openxmlformats.org/officeDocument/2006/relationships/hyperlink" Target="https://app.tikr.com/account/subs?ref=q5ht48" TargetMode="External"/><Relationship Id="rId135" Type="http://schemas.openxmlformats.org/officeDocument/2006/relationships/hyperlink" Target="https://app.tikr.com/account/subs?ref=q5ht48" TargetMode="External"/><Relationship Id="rId156" Type="http://schemas.openxmlformats.org/officeDocument/2006/relationships/hyperlink" Target="https://app.tikr.com/account/subs?ref=q5ht48" TargetMode="External"/><Relationship Id="rId177"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39" Type="http://schemas.openxmlformats.org/officeDocument/2006/relationships/hyperlink" Target="https://app.tikr.com/account/subs?ref=q5ht48"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42" Type="http://schemas.openxmlformats.org/officeDocument/2006/relationships/hyperlink" Target="https://app.tikr.com/account/subs?ref=q5ht48" TargetMode="External"/><Relationship Id="rId63" Type="http://schemas.openxmlformats.org/officeDocument/2006/relationships/hyperlink" Target="https://app.tikr.com/account/subs?ref=q5ht48" TargetMode="External"/><Relationship Id="rId84" Type="http://schemas.openxmlformats.org/officeDocument/2006/relationships/hyperlink" Target="https://app.tikr.com/account/subs?ref=q5ht48" TargetMode="External"/><Relationship Id="rId138" Type="http://schemas.openxmlformats.org/officeDocument/2006/relationships/hyperlink" Target="https://app.tikr.com/account/subs?ref=q5ht48" TargetMode="External"/><Relationship Id="rId107"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32" Type="http://schemas.openxmlformats.org/officeDocument/2006/relationships/hyperlink" Target="https://app.tikr.com/account/subs?ref=q5ht48" TargetMode="External"/><Relationship Id="rId37" Type="http://schemas.openxmlformats.org/officeDocument/2006/relationships/hyperlink" Target="https://app.tikr.com/account/subs?ref=q5ht48" TargetMode="External"/><Relationship Id="rId53" Type="http://schemas.openxmlformats.org/officeDocument/2006/relationships/hyperlink" Target="https://app.tikr.com/account/subs?ref=q5ht48" TargetMode="External"/><Relationship Id="rId58" Type="http://schemas.openxmlformats.org/officeDocument/2006/relationships/hyperlink" Target="https://app.tikr.com/account/subs?ref=q5ht48" TargetMode="External"/><Relationship Id="rId74" Type="http://schemas.openxmlformats.org/officeDocument/2006/relationships/hyperlink" Target="https://app.tikr.com/account/subs?ref=q5ht48" TargetMode="External"/><Relationship Id="rId79" Type="http://schemas.openxmlformats.org/officeDocument/2006/relationships/hyperlink" Target="https://app.tikr.com/account/subs?ref=q5ht48" TargetMode="External"/><Relationship Id="rId102" Type="http://schemas.openxmlformats.org/officeDocument/2006/relationships/hyperlink" Target="https://app.tikr.com/account/subs?ref=q5ht48" TargetMode="External"/><Relationship Id="rId123" Type="http://schemas.openxmlformats.org/officeDocument/2006/relationships/hyperlink" Target="https://app.tikr.com/account/subs?ref=q5ht48" TargetMode="External"/><Relationship Id="rId128"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90" Type="http://schemas.openxmlformats.org/officeDocument/2006/relationships/hyperlink" Target="https://app.tikr.com/account/subs?ref=q5ht48" TargetMode="External"/><Relationship Id="rId95"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 Id="rId43" Type="http://schemas.openxmlformats.org/officeDocument/2006/relationships/hyperlink" Target="https://app.tikr.com/account/subs?ref=q5ht48" TargetMode="External"/><Relationship Id="rId48" Type="http://schemas.openxmlformats.org/officeDocument/2006/relationships/hyperlink" Target="https://app.tikr.com/account/subs?ref=q5ht48" TargetMode="External"/><Relationship Id="rId64" Type="http://schemas.openxmlformats.org/officeDocument/2006/relationships/hyperlink" Target="https://app.tikr.com/account/subs?ref=q5ht48" TargetMode="External"/><Relationship Id="rId69" Type="http://schemas.openxmlformats.org/officeDocument/2006/relationships/hyperlink" Target="https://app.tikr.com/account/subs?ref=q5ht48" TargetMode="External"/><Relationship Id="rId113" Type="http://schemas.openxmlformats.org/officeDocument/2006/relationships/hyperlink" Target="https://app.tikr.com/account/subs?ref=q5ht48" TargetMode="External"/><Relationship Id="rId118" Type="http://schemas.openxmlformats.org/officeDocument/2006/relationships/hyperlink" Target="https://app.tikr.com/account/subs?ref=q5ht48" TargetMode="External"/><Relationship Id="rId134" Type="http://schemas.openxmlformats.org/officeDocument/2006/relationships/hyperlink" Target="https://app.tikr.com/account/subs?ref=q5ht48" TargetMode="External"/><Relationship Id="rId139" Type="http://schemas.openxmlformats.org/officeDocument/2006/relationships/hyperlink" Target="https://app.tikr.com/account/subs?ref=q5ht48" TargetMode="External"/><Relationship Id="rId80" Type="http://schemas.openxmlformats.org/officeDocument/2006/relationships/hyperlink" Target="https://app.tikr.com/account/subs?ref=q5ht48" TargetMode="External"/><Relationship Id="rId85"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33" Type="http://schemas.openxmlformats.org/officeDocument/2006/relationships/hyperlink" Target="https://app.tikr.com/account/subs?ref=q5ht48" TargetMode="External"/><Relationship Id="rId38" Type="http://schemas.openxmlformats.org/officeDocument/2006/relationships/hyperlink" Target="https://app.tikr.com/account/subs?ref=q5ht48" TargetMode="External"/><Relationship Id="rId59" Type="http://schemas.openxmlformats.org/officeDocument/2006/relationships/hyperlink" Target="https://app.tikr.com/account/subs?ref=q5ht48" TargetMode="External"/><Relationship Id="rId103" Type="http://schemas.openxmlformats.org/officeDocument/2006/relationships/hyperlink" Target="https://app.tikr.com/account/subs?ref=q5ht48" TargetMode="External"/><Relationship Id="rId108" Type="http://schemas.openxmlformats.org/officeDocument/2006/relationships/hyperlink" Target="https://app.tikr.com/account/subs?ref=q5ht48" TargetMode="External"/><Relationship Id="rId124" Type="http://schemas.openxmlformats.org/officeDocument/2006/relationships/hyperlink" Target="https://app.tikr.com/account/subs?ref=q5ht48" TargetMode="External"/><Relationship Id="rId129" Type="http://schemas.openxmlformats.org/officeDocument/2006/relationships/hyperlink" Target="https://app.tikr.com/account/subs?ref=q5ht48" TargetMode="External"/><Relationship Id="rId54" Type="http://schemas.openxmlformats.org/officeDocument/2006/relationships/hyperlink" Target="https://app.tikr.com/account/subs?ref=q5ht48" TargetMode="External"/><Relationship Id="rId70" Type="http://schemas.openxmlformats.org/officeDocument/2006/relationships/hyperlink" Target="https://app.tikr.com/account/subs?ref=q5ht48" TargetMode="External"/><Relationship Id="rId75" Type="http://schemas.openxmlformats.org/officeDocument/2006/relationships/hyperlink" Target="https://app.tikr.com/account/subs?ref=q5ht48" TargetMode="External"/><Relationship Id="rId91" Type="http://schemas.openxmlformats.org/officeDocument/2006/relationships/hyperlink" Target="https://app.tikr.com/account/subs?ref=q5ht48" TargetMode="External"/><Relationship Id="rId96" Type="http://schemas.openxmlformats.org/officeDocument/2006/relationships/hyperlink" Target="https://app.tikr.com/account/subs?ref=q5ht48" TargetMode="External"/><Relationship Id="rId140"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49" Type="http://schemas.openxmlformats.org/officeDocument/2006/relationships/hyperlink" Target="https://app.tikr.com/account/subs?ref=q5ht48" TargetMode="External"/><Relationship Id="rId114" Type="http://schemas.openxmlformats.org/officeDocument/2006/relationships/hyperlink" Target="https://app.tikr.com/account/subs?ref=q5ht48" TargetMode="External"/><Relationship Id="rId119" Type="http://schemas.openxmlformats.org/officeDocument/2006/relationships/hyperlink" Target="https://app.tikr.com/account/subs?ref=q5ht48" TargetMode="External"/><Relationship Id="rId44" Type="http://schemas.openxmlformats.org/officeDocument/2006/relationships/hyperlink" Target="https://app.tikr.com/account/subs?ref=q5ht48" TargetMode="External"/><Relationship Id="rId60" Type="http://schemas.openxmlformats.org/officeDocument/2006/relationships/hyperlink" Target="https://app.tikr.com/account/subs?ref=q5ht48" TargetMode="External"/><Relationship Id="rId65" Type="http://schemas.openxmlformats.org/officeDocument/2006/relationships/hyperlink" Target="https://app.tikr.com/account/subs?ref=q5ht48" TargetMode="External"/><Relationship Id="rId81" Type="http://schemas.openxmlformats.org/officeDocument/2006/relationships/hyperlink" Target="https://app.tikr.com/account/subs?ref=q5ht48" TargetMode="External"/><Relationship Id="rId86" Type="http://schemas.openxmlformats.org/officeDocument/2006/relationships/hyperlink" Target="https://app.tikr.com/account/subs?ref=q5ht48" TargetMode="External"/><Relationship Id="rId130" Type="http://schemas.openxmlformats.org/officeDocument/2006/relationships/hyperlink" Target="https://app.tikr.com/account/subs?ref=q5ht48" TargetMode="External"/><Relationship Id="rId135"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39" Type="http://schemas.openxmlformats.org/officeDocument/2006/relationships/hyperlink" Target="https://app.tikr.com/account/subs?ref=q5ht48" TargetMode="External"/><Relationship Id="rId109" Type="http://schemas.openxmlformats.org/officeDocument/2006/relationships/hyperlink" Target="https://app.tikr.com/account/subs?ref=q5ht48" TargetMode="External"/><Relationship Id="rId34" Type="http://schemas.openxmlformats.org/officeDocument/2006/relationships/hyperlink" Target="https://app.tikr.com/account/subs?ref=q5ht48" TargetMode="External"/><Relationship Id="rId50" Type="http://schemas.openxmlformats.org/officeDocument/2006/relationships/hyperlink" Target="https://app.tikr.com/account/subs?ref=q5ht48" TargetMode="External"/><Relationship Id="rId55" Type="http://schemas.openxmlformats.org/officeDocument/2006/relationships/hyperlink" Target="https://app.tikr.com/account/subs?ref=q5ht48" TargetMode="External"/><Relationship Id="rId76" Type="http://schemas.openxmlformats.org/officeDocument/2006/relationships/hyperlink" Target="https://app.tikr.com/account/subs?ref=q5ht48" TargetMode="External"/><Relationship Id="rId97" Type="http://schemas.openxmlformats.org/officeDocument/2006/relationships/hyperlink" Target="https://app.tikr.com/account/subs?ref=q5ht48" TargetMode="External"/><Relationship Id="rId104" Type="http://schemas.openxmlformats.org/officeDocument/2006/relationships/hyperlink" Target="https://app.tikr.com/account/subs?ref=q5ht48" TargetMode="External"/><Relationship Id="rId120" Type="http://schemas.openxmlformats.org/officeDocument/2006/relationships/hyperlink" Target="https://app.tikr.com/account/subs?ref=q5ht48" TargetMode="External"/><Relationship Id="rId125" Type="http://schemas.openxmlformats.org/officeDocument/2006/relationships/hyperlink" Target="https://app.tikr.com/account/subs?ref=q5ht48" TargetMode="External"/><Relationship Id="rId141"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71" Type="http://schemas.openxmlformats.org/officeDocument/2006/relationships/hyperlink" Target="https://app.tikr.com/account/subs?ref=q5ht48" TargetMode="External"/><Relationship Id="rId92"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40" Type="http://schemas.openxmlformats.org/officeDocument/2006/relationships/hyperlink" Target="https://app.tikr.com/account/subs?ref=q5ht48" TargetMode="External"/><Relationship Id="rId45" Type="http://schemas.openxmlformats.org/officeDocument/2006/relationships/hyperlink" Target="https://app.tikr.com/account/subs?ref=q5ht48" TargetMode="External"/><Relationship Id="rId66" Type="http://schemas.openxmlformats.org/officeDocument/2006/relationships/hyperlink" Target="https://app.tikr.com/account/subs?ref=q5ht48" TargetMode="External"/><Relationship Id="rId87" Type="http://schemas.openxmlformats.org/officeDocument/2006/relationships/hyperlink" Target="https://app.tikr.com/account/subs?ref=q5ht48" TargetMode="External"/><Relationship Id="rId110" Type="http://schemas.openxmlformats.org/officeDocument/2006/relationships/hyperlink" Target="https://app.tikr.com/account/subs?ref=q5ht48" TargetMode="External"/><Relationship Id="rId115" Type="http://schemas.openxmlformats.org/officeDocument/2006/relationships/hyperlink" Target="https://app.tikr.com/account/subs?ref=q5ht48" TargetMode="External"/><Relationship Id="rId131" Type="http://schemas.openxmlformats.org/officeDocument/2006/relationships/hyperlink" Target="https://app.tikr.com/account/subs?ref=q5ht48" TargetMode="External"/><Relationship Id="rId136" Type="http://schemas.openxmlformats.org/officeDocument/2006/relationships/hyperlink" Target="https://app.tikr.com/account/subs?ref=q5ht48" TargetMode="External"/><Relationship Id="rId61" Type="http://schemas.openxmlformats.org/officeDocument/2006/relationships/hyperlink" Target="https://app.tikr.com/account/subs?ref=q5ht48" TargetMode="External"/><Relationship Id="rId82"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30" Type="http://schemas.openxmlformats.org/officeDocument/2006/relationships/hyperlink" Target="https://app.tikr.com/account/subs?ref=q5ht48" TargetMode="External"/><Relationship Id="rId35" Type="http://schemas.openxmlformats.org/officeDocument/2006/relationships/hyperlink" Target="https://app.tikr.com/account/subs?ref=q5ht48" TargetMode="External"/><Relationship Id="rId56" Type="http://schemas.openxmlformats.org/officeDocument/2006/relationships/hyperlink" Target="https://app.tikr.com/account/subs?ref=q5ht48" TargetMode="External"/><Relationship Id="rId77" Type="http://schemas.openxmlformats.org/officeDocument/2006/relationships/hyperlink" Target="https://app.tikr.com/account/subs?ref=q5ht48" TargetMode="External"/><Relationship Id="rId100" Type="http://schemas.openxmlformats.org/officeDocument/2006/relationships/hyperlink" Target="https://app.tikr.com/account/subs?ref=q5ht48" TargetMode="External"/><Relationship Id="rId105" Type="http://schemas.openxmlformats.org/officeDocument/2006/relationships/hyperlink" Target="https://app.tikr.com/account/subs?ref=q5ht48" TargetMode="External"/><Relationship Id="rId126" Type="http://schemas.openxmlformats.org/officeDocument/2006/relationships/hyperlink" Target="https://app.tikr.com/account/subs?ref=q5ht48" TargetMode="External"/><Relationship Id="rId8" Type="http://schemas.openxmlformats.org/officeDocument/2006/relationships/hyperlink" Target="https://app.tikr.com/account/subs?ref=q5ht48" TargetMode="External"/><Relationship Id="rId51" Type="http://schemas.openxmlformats.org/officeDocument/2006/relationships/hyperlink" Target="https://app.tikr.com/account/subs?ref=q5ht48" TargetMode="External"/><Relationship Id="rId72" Type="http://schemas.openxmlformats.org/officeDocument/2006/relationships/hyperlink" Target="https://app.tikr.com/account/subs?ref=q5ht48" TargetMode="External"/><Relationship Id="rId93" Type="http://schemas.openxmlformats.org/officeDocument/2006/relationships/hyperlink" Target="https://app.tikr.com/account/subs?ref=q5ht48" TargetMode="External"/><Relationship Id="rId98" Type="http://schemas.openxmlformats.org/officeDocument/2006/relationships/hyperlink" Target="https://app.tikr.com/account/subs?ref=q5ht48" TargetMode="External"/><Relationship Id="rId121"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46" Type="http://schemas.openxmlformats.org/officeDocument/2006/relationships/hyperlink" Target="https://app.tikr.com/account/subs?ref=q5ht48" TargetMode="External"/><Relationship Id="rId67" Type="http://schemas.openxmlformats.org/officeDocument/2006/relationships/hyperlink" Target="https://app.tikr.com/account/subs?ref=q5ht48" TargetMode="External"/><Relationship Id="rId116" Type="http://schemas.openxmlformats.org/officeDocument/2006/relationships/hyperlink" Target="https://app.tikr.com/account/subs?ref=q5ht48" TargetMode="External"/><Relationship Id="rId137"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41" Type="http://schemas.openxmlformats.org/officeDocument/2006/relationships/hyperlink" Target="https://app.tikr.com/account/subs?ref=q5ht48" TargetMode="External"/><Relationship Id="rId62" Type="http://schemas.openxmlformats.org/officeDocument/2006/relationships/hyperlink" Target="https://app.tikr.com/account/subs?ref=q5ht48" TargetMode="External"/><Relationship Id="rId83" Type="http://schemas.openxmlformats.org/officeDocument/2006/relationships/hyperlink" Target="https://app.tikr.com/account/subs?ref=q5ht48" TargetMode="External"/><Relationship Id="rId88" Type="http://schemas.openxmlformats.org/officeDocument/2006/relationships/hyperlink" Target="https://app.tikr.com/account/subs?ref=q5ht48" TargetMode="External"/><Relationship Id="rId111" Type="http://schemas.openxmlformats.org/officeDocument/2006/relationships/hyperlink" Target="https://app.tikr.com/account/subs?ref=q5ht48" TargetMode="External"/><Relationship Id="rId132"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36" Type="http://schemas.openxmlformats.org/officeDocument/2006/relationships/hyperlink" Target="https://app.tikr.com/account/subs?ref=q5ht48" TargetMode="External"/><Relationship Id="rId57" Type="http://schemas.openxmlformats.org/officeDocument/2006/relationships/hyperlink" Target="https://app.tikr.com/account/subs?ref=q5ht48" TargetMode="External"/><Relationship Id="rId106" Type="http://schemas.openxmlformats.org/officeDocument/2006/relationships/hyperlink" Target="https://app.tikr.com/account/subs?ref=q5ht48" TargetMode="External"/><Relationship Id="rId127"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31" Type="http://schemas.openxmlformats.org/officeDocument/2006/relationships/hyperlink" Target="https://app.tikr.com/account/subs?ref=q5ht48" TargetMode="External"/><Relationship Id="rId52" Type="http://schemas.openxmlformats.org/officeDocument/2006/relationships/hyperlink" Target="https://app.tikr.com/account/subs?ref=q5ht48" TargetMode="External"/><Relationship Id="rId73" Type="http://schemas.openxmlformats.org/officeDocument/2006/relationships/hyperlink" Target="https://app.tikr.com/account/subs?ref=q5ht48" TargetMode="External"/><Relationship Id="rId78" Type="http://schemas.openxmlformats.org/officeDocument/2006/relationships/hyperlink" Target="https://app.tikr.com/account/subs?ref=q5ht48" TargetMode="External"/><Relationship Id="rId94" Type="http://schemas.openxmlformats.org/officeDocument/2006/relationships/hyperlink" Target="https://app.tikr.com/account/subs?ref=q5ht48" TargetMode="External"/><Relationship Id="rId99" Type="http://schemas.openxmlformats.org/officeDocument/2006/relationships/hyperlink" Target="https://app.tikr.com/account/subs?ref=q5ht48" TargetMode="External"/><Relationship Id="rId101" Type="http://schemas.openxmlformats.org/officeDocument/2006/relationships/hyperlink" Target="https://app.tikr.com/account/subs?ref=q5ht48" TargetMode="External"/><Relationship Id="rId122"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47" Type="http://schemas.openxmlformats.org/officeDocument/2006/relationships/hyperlink" Target="https://app.tikr.com/account/subs?ref=q5ht48" TargetMode="External"/><Relationship Id="rId68" Type="http://schemas.openxmlformats.org/officeDocument/2006/relationships/hyperlink" Target="https://app.tikr.com/account/subs?ref=q5ht48" TargetMode="External"/><Relationship Id="rId89" Type="http://schemas.openxmlformats.org/officeDocument/2006/relationships/hyperlink" Target="https://app.tikr.com/account/subs?ref=q5ht48" TargetMode="External"/><Relationship Id="rId112" Type="http://schemas.openxmlformats.org/officeDocument/2006/relationships/hyperlink" Target="https://app.tikr.com/account/subs?ref=q5ht48" TargetMode="External"/><Relationship Id="rId133"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s>
</file>

<file path=xl/worksheets/_rels/sheet12.xml.rels><?xml version="1.0" encoding="UTF-8" standalone="yes"?>
<Relationships xmlns="http://schemas.openxmlformats.org/package/2006/relationships"><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39"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34" Type="http://schemas.openxmlformats.org/officeDocument/2006/relationships/hyperlink" Target="https://app.tikr.com/account/subs?ref=q5ht48" TargetMode="External"/><Relationship Id="rId42" Type="http://schemas.openxmlformats.org/officeDocument/2006/relationships/hyperlink" Target="https://app.tikr.com/account/subs?ref=q5ht48" TargetMode="External"/><Relationship Id="rId47" Type="http://schemas.openxmlformats.org/officeDocument/2006/relationships/hyperlink" Target="https://app.tikr.com/account/subs?ref=q5ht48" TargetMode="External"/><Relationship Id="rId50" Type="http://schemas.openxmlformats.org/officeDocument/2006/relationships/printerSettings" Target="../printerSettings/printerSettings5.bin"/><Relationship Id="rId7"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32" Type="http://schemas.openxmlformats.org/officeDocument/2006/relationships/hyperlink" Target="https://app.tikr.com/account/subs?ref=q5ht48" TargetMode="External"/><Relationship Id="rId37" Type="http://schemas.openxmlformats.org/officeDocument/2006/relationships/hyperlink" Target="https://app.tikr.com/account/subs?ref=q5ht48" TargetMode="External"/><Relationship Id="rId40" Type="http://schemas.openxmlformats.org/officeDocument/2006/relationships/hyperlink" Target="https://app.tikr.com/account/subs?ref=q5ht48" TargetMode="External"/><Relationship Id="rId45"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36" Type="http://schemas.openxmlformats.org/officeDocument/2006/relationships/hyperlink" Target="https://app.tikr.com/account/subs?ref=q5ht48" TargetMode="External"/><Relationship Id="rId49"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31" Type="http://schemas.openxmlformats.org/officeDocument/2006/relationships/hyperlink" Target="https://app.tikr.com/account/subs?ref=q5ht48" TargetMode="External"/><Relationship Id="rId44"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 Id="rId30" Type="http://schemas.openxmlformats.org/officeDocument/2006/relationships/hyperlink" Target="https://app.tikr.com/account/subs?ref=q5ht48" TargetMode="External"/><Relationship Id="rId35" Type="http://schemas.openxmlformats.org/officeDocument/2006/relationships/hyperlink" Target="https://app.tikr.com/account/subs?ref=q5ht48" TargetMode="External"/><Relationship Id="rId43" Type="http://schemas.openxmlformats.org/officeDocument/2006/relationships/hyperlink" Target="https://app.tikr.com/account/subs?ref=q5ht48" TargetMode="External"/><Relationship Id="rId48" Type="http://schemas.openxmlformats.org/officeDocument/2006/relationships/hyperlink" Target="https://app.tikr.com/account/subs?ref=q5ht48" TargetMode="External"/><Relationship Id="rId8"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33" Type="http://schemas.openxmlformats.org/officeDocument/2006/relationships/hyperlink" Target="https://app.tikr.com/account/subs?ref=q5ht48" TargetMode="External"/><Relationship Id="rId38" Type="http://schemas.openxmlformats.org/officeDocument/2006/relationships/hyperlink" Target="https://app.tikr.com/account/subs?ref=q5ht48" TargetMode="External"/><Relationship Id="rId4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41"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0"/>
  <sheetViews>
    <sheetView zoomScaleNormal="100" workbookViewId="0">
      <selection activeCell="S16" sqref="S16:T17"/>
    </sheetView>
  </sheetViews>
  <sheetFormatPr baseColWidth="10" defaultColWidth="9.140625" defaultRowHeight="15" x14ac:dyDescent="0.25"/>
  <cols>
    <col min="1" max="1" width="14" style="8" customWidth="1"/>
    <col min="2" max="2" width="11.28515625" style="19" customWidth="1"/>
    <col min="3" max="3" width="3.28515625" style="19" customWidth="1"/>
    <col min="4" max="4" width="35.7109375" style="19" bestFit="1" customWidth="1"/>
    <col min="5" max="8" width="10.7109375" style="19" customWidth="1"/>
    <col min="9" max="9" width="9" style="19" bestFit="1" customWidth="1"/>
    <col min="10" max="14" width="10.7109375" style="19" customWidth="1"/>
    <col min="15" max="15" width="3.5703125" style="19" customWidth="1"/>
    <col min="16" max="16" width="10.7109375" style="19" customWidth="1"/>
    <col min="17" max="17" width="3.28515625" style="19" customWidth="1"/>
    <col min="18" max="21" width="10.7109375" style="19" customWidth="1"/>
    <col min="22" max="22" width="3.42578125" style="19" customWidth="1"/>
    <col min="23" max="29" width="9.140625" style="19"/>
    <col min="30" max="31" width="10.140625" style="19" bestFit="1" customWidth="1"/>
    <col min="32" max="16384" width="9.140625" style="19"/>
  </cols>
  <sheetData>
    <row r="1" spans="1:31" ht="37.5" customHeight="1" x14ac:dyDescent="0.25">
      <c r="B1" s="8" t="s">
        <v>0</v>
      </c>
      <c r="C1" s="8"/>
      <c r="E1" s="8"/>
      <c r="F1" s="8"/>
      <c r="G1" s="8"/>
      <c r="H1" s="230"/>
      <c r="I1" s="230"/>
      <c r="J1" s="230"/>
      <c r="K1" s="230"/>
      <c r="L1" s="8"/>
      <c r="M1" s="8"/>
      <c r="N1" s="8"/>
      <c r="O1" s="8"/>
      <c r="P1" s="8"/>
      <c r="Q1" s="8"/>
      <c r="R1" s="8"/>
      <c r="S1" s="230"/>
      <c r="T1" s="230"/>
      <c r="U1" s="8"/>
      <c r="V1" s="8"/>
      <c r="W1" s="8"/>
      <c r="X1" s="8"/>
      <c r="Y1" s="8"/>
      <c r="Z1" s="8"/>
      <c r="AA1" s="8"/>
      <c r="AB1" s="8"/>
      <c r="AC1" s="8"/>
    </row>
    <row r="2" spans="1:31" ht="37.5" customHeight="1" x14ac:dyDescent="0.25">
      <c r="B2" s="8"/>
      <c r="C2" s="62"/>
      <c r="D2" s="227" t="e" vm="1">
        <v>#VALUE!</v>
      </c>
      <c r="E2" s="227"/>
      <c r="F2" s="227"/>
      <c r="G2" s="228"/>
      <c r="H2" s="70" t="s">
        <v>41</v>
      </c>
      <c r="I2" s="134" cm="1">
        <f t="array" ref="I2">(_FV(D2,"Shares outstanding",TRUE)*J5)/1000000000</f>
        <v>24.363483186</v>
      </c>
      <c r="J2" s="69" t="s">
        <v>38</v>
      </c>
      <c r="K2" s="42" t="s">
        <v>36</v>
      </c>
      <c r="L2" s="242" t="str" cm="1">
        <f t="array" ref="L2">_FV(D2,"Industry")</f>
        <v>Hotels &amp; Entertainment Services</v>
      </c>
      <c r="M2" s="242"/>
      <c r="N2" s="242"/>
      <c r="O2" s="243"/>
      <c r="P2" s="50"/>
      <c r="Q2" s="57"/>
      <c r="R2" s="235" t="s">
        <v>42</v>
      </c>
      <c r="S2" s="235"/>
      <c r="T2" s="58"/>
      <c r="U2" s="57"/>
      <c r="V2" s="59"/>
      <c r="W2" s="8"/>
      <c r="X2" s="8"/>
      <c r="Y2" s="8"/>
      <c r="Z2" s="8"/>
      <c r="AA2" s="8"/>
      <c r="AB2" s="8"/>
      <c r="AC2" s="8"/>
    </row>
    <row r="3" spans="1:31" ht="12.75" customHeight="1" x14ac:dyDescent="0.25">
      <c r="B3" s="8"/>
      <c r="C3" s="37"/>
      <c r="D3" s="63"/>
      <c r="E3" s="57"/>
      <c r="F3" s="57"/>
      <c r="G3" s="57"/>
      <c r="H3" s="56"/>
      <c r="I3" s="64"/>
      <c r="J3" s="8"/>
      <c r="K3" s="57"/>
      <c r="L3" s="8"/>
      <c r="M3" s="8"/>
      <c r="N3" s="8"/>
      <c r="O3" s="38"/>
      <c r="P3" s="50"/>
      <c r="Q3" s="8"/>
      <c r="R3" s="8"/>
      <c r="S3" s="55"/>
      <c r="T3" s="55"/>
      <c r="U3" s="8"/>
      <c r="V3" s="38"/>
      <c r="W3" s="8"/>
      <c r="X3" s="8"/>
      <c r="Y3" s="8"/>
      <c r="Z3" s="8"/>
      <c r="AA3" s="8"/>
      <c r="AB3" s="8"/>
      <c r="AC3" s="8"/>
    </row>
    <row r="4" spans="1:31" ht="14.25" customHeight="1" x14ac:dyDescent="0.25">
      <c r="B4" s="8"/>
      <c r="C4" s="37"/>
      <c r="D4" s="229" t="str" cm="1">
        <f t="array" ref="D4">_FV(D2,"Description")</f>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c>
      <c r="E4" s="229"/>
      <c r="F4" s="229"/>
      <c r="G4" s="229"/>
      <c r="H4" s="55"/>
      <c r="I4" s="8"/>
      <c r="J4" s="8" t="s">
        <v>35</v>
      </c>
      <c r="K4" s="8"/>
      <c r="L4" s="8"/>
      <c r="M4" s="8"/>
      <c r="N4" s="8"/>
      <c r="O4" s="38"/>
      <c r="P4" s="50"/>
      <c r="Q4" s="8"/>
      <c r="R4" s="8" t="s">
        <v>47</v>
      </c>
      <c r="S4" s="76" t="s">
        <v>48</v>
      </c>
      <c r="T4" s="76" t="s">
        <v>49</v>
      </c>
      <c r="U4" s="76" t="s">
        <v>50</v>
      </c>
      <c r="V4" s="38"/>
      <c r="W4" s="8"/>
      <c r="X4" s="8"/>
      <c r="Y4" s="8"/>
      <c r="Z4" s="8"/>
      <c r="AA4" s="8"/>
      <c r="AB4" s="8"/>
      <c r="AC4" s="8"/>
      <c r="AD4" s="88">
        <f>T14</f>
        <v>776</v>
      </c>
      <c r="AE4" s="19">
        <v>0</v>
      </c>
    </row>
    <row r="5" spans="1:31" ht="37.5" customHeight="1" x14ac:dyDescent="0.25">
      <c r="A5" s="96" t="s">
        <v>88</v>
      </c>
      <c r="B5" s="8"/>
      <c r="C5" s="37"/>
      <c r="D5" s="229"/>
      <c r="E5" s="229"/>
      <c r="F5" s="229"/>
      <c r="G5" s="229"/>
      <c r="H5" s="65"/>
      <c r="I5" s="55"/>
      <c r="J5" s="234" cm="1">
        <f t="array" ref="J5">_FV(D2,"Price")</f>
        <v>113.26</v>
      </c>
      <c r="K5" s="234"/>
      <c r="L5" s="234"/>
      <c r="M5" s="234"/>
      <c r="O5" s="38"/>
      <c r="P5" s="50"/>
      <c r="Q5" s="8"/>
      <c r="R5" s="133">
        <f>J5/N29</f>
        <v>12.15236051502146</v>
      </c>
      <c r="S5" s="77">
        <f>J5/N30</f>
        <v>34.27708917745354</v>
      </c>
      <c r="T5" s="75">
        <f>(R5)/(S29*100)</f>
        <v>9.8058129620937531E-2</v>
      </c>
      <c r="U5" s="78">
        <f>1/R5</f>
        <v>8.2288539643298603E-2</v>
      </c>
      <c r="V5" s="38"/>
      <c r="W5" s="8"/>
      <c r="X5" s="8"/>
      <c r="Y5" s="8"/>
      <c r="Z5" s="8"/>
      <c r="AA5" s="8"/>
      <c r="AB5" s="8"/>
      <c r="AC5" s="8"/>
      <c r="AD5" s="19">
        <f>AD4+(AD4*$T$10)</f>
        <v>814.8</v>
      </c>
      <c r="AE5" s="19">
        <v>1</v>
      </c>
    </row>
    <row r="6" spans="1:31" ht="15" customHeight="1" x14ac:dyDescent="0.25">
      <c r="A6" s="99">
        <f>(N53/100)</f>
        <v>0.20723009769062029</v>
      </c>
      <c r="B6" s="8"/>
      <c r="C6" s="37"/>
      <c r="D6" s="229"/>
      <c r="E6" s="229"/>
      <c r="F6" s="229"/>
      <c r="G6" s="229"/>
      <c r="H6" s="65"/>
      <c r="I6" s="55"/>
      <c r="J6" s="8"/>
      <c r="K6" s="79" t="s">
        <v>37</v>
      </c>
      <c r="L6" s="67" cm="1">
        <f t="array" ref="L6">_FV(D2,"change")</f>
        <v>1.21</v>
      </c>
      <c r="M6" s="66" cm="1">
        <f t="array" ref="M6">_FV(D2,"Change (%)",TRUE)</f>
        <v>1.0799000000000001E-2</v>
      </c>
      <c r="N6" s="8"/>
      <c r="O6" s="38"/>
      <c r="P6" s="50"/>
      <c r="Q6" s="8"/>
      <c r="R6" s="76" t="s">
        <v>59</v>
      </c>
      <c r="S6" s="76" t="s">
        <v>58</v>
      </c>
      <c r="T6" s="76" t="s">
        <v>60</v>
      </c>
      <c r="U6" s="8" t="s">
        <v>61</v>
      </c>
      <c r="V6" s="38"/>
      <c r="W6" s="8"/>
      <c r="X6" s="8"/>
      <c r="Y6" s="8"/>
      <c r="Z6" s="8"/>
      <c r="AA6" s="8"/>
      <c r="AB6" s="8"/>
      <c r="AC6" s="8"/>
      <c r="AD6" s="19">
        <f>AD5+(AD5*$T$10)</f>
        <v>855.54</v>
      </c>
      <c r="AE6" s="19">
        <v>2</v>
      </c>
    </row>
    <row r="7" spans="1:31" ht="15" customHeight="1" x14ac:dyDescent="0.25">
      <c r="A7" s="97"/>
      <c r="B7" s="8"/>
      <c r="C7" s="37"/>
      <c r="D7" s="229"/>
      <c r="E7" s="229"/>
      <c r="F7" s="229"/>
      <c r="G7" s="229"/>
      <c r="H7" s="65"/>
      <c r="I7" s="55"/>
      <c r="J7" s="8"/>
      <c r="K7" s="8"/>
      <c r="L7" s="8"/>
      <c r="M7" s="8"/>
      <c r="N7" s="8"/>
      <c r="O7" s="38"/>
      <c r="P7" s="50"/>
      <c r="Q7" s="8"/>
      <c r="R7" s="233">
        <f>(K17*1000)/N32/N29</f>
        <v>12.144510058823053</v>
      </c>
      <c r="S7" s="233">
        <f>(K17*1000)/N26</f>
        <v>34.254946089543679</v>
      </c>
      <c r="T7" s="233">
        <f>S7/(S30*100)</f>
        <v>0.5704877595841471</v>
      </c>
      <c r="U7" s="240">
        <f>1/S7</f>
        <v>2.9192864510309356E-2</v>
      </c>
      <c r="V7" s="38"/>
      <c r="W7" s="8"/>
      <c r="X7" s="8"/>
      <c r="Y7" s="8"/>
      <c r="Z7" s="8"/>
      <c r="AA7" s="8"/>
      <c r="AB7" s="8"/>
      <c r="AC7" s="8"/>
      <c r="AD7" s="19">
        <f>AD6+(AD6*$T$10)</f>
        <v>898.31700000000001</v>
      </c>
      <c r="AE7" s="19">
        <v>3</v>
      </c>
    </row>
    <row r="8" spans="1:31" ht="15" customHeight="1" x14ac:dyDescent="0.25">
      <c r="A8" s="97" t="s">
        <v>89</v>
      </c>
      <c r="B8" s="8"/>
      <c r="C8" s="37"/>
      <c r="D8" s="229"/>
      <c r="E8" s="229"/>
      <c r="F8" s="229"/>
      <c r="G8" s="229"/>
      <c r="H8" s="65"/>
      <c r="I8" s="55"/>
      <c r="J8" s="68" t="s">
        <v>39</v>
      </c>
      <c r="K8" s="103" cm="1">
        <f t="array" ref="K8">_FV(D2,"52 week high",TRUE)</f>
        <v>141.33000000000001</v>
      </c>
      <c r="L8" s="236" t="s">
        <v>43</v>
      </c>
      <c r="M8" s="236"/>
      <c r="N8" s="74">
        <f>-N31/J5</f>
        <v>1.2554732803913699E-2</v>
      </c>
      <c r="O8" s="38"/>
      <c r="P8" s="50"/>
      <c r="Q8" s="8"/>
      <c r="R8" s="233"/>
      <c r="S8" s="233"/>
      <c r="T8" s="233"/>
      <c r="U8" s="240"/>
      <c r="V8" s="38"/>
      <c r="W8" s="8"/>
      <c r="X8" s="8"/>
      <c r="Y8" s="8"/>
      <c r="Z8" s="8"/>
      <c r="AA8" s="8"/>
      <c r="AB8" s="8"/>
      <c r="AC8" s="8"/>
      <c r="AD8" s="19">
        <f>AD7+(AD7*$T$10)</f>
        <v>943.23284999999998</v>
      </c>
      <c r="AE8" s="19">
        <v>4</v>
      </c>
    </row>
    <row r="9" spans="1:31" ht="15" customHeight="1" x14ac:dyDescent="0.25">
      <c r="A9" s="100">
        <f>T30</f>
        <v>0.70260804211983108</v>
      </c>
      <c r="B9" s="8"/>
      <c r="C9" s="37"/>
      <c r="D9" s="229"/>
      <c r="E9" s="229"/>
      <c r="F9" s="229"/>
      <c r="G9" s="229"/>
      <c r="H9" s="65"/>
      <c r="I9" s="55"/>
      <c r="J9" s="71" t="s">
        <v>40</v>
      </c>
      <c r="K9" s="103" cm="1">
        <f t="array" ref="K9">_FV(D2,"52 week low",TRUE)</f>
        <v>69.569999999999993</v>
      </c>
      <c r="L9" s="236" t="s">
        <v>44</v>
      </c>
      <c r="M9" s="236"/>
      <c r="N9" s="74">
        <f>-N31/N29</f>
        <v>0.15256963920292549</v>
      </c>
      <c r="O9" s="38"/>
      <c r="P9" s="50"/>
      <c r="Q9" s="8"/>
      <c r="R9" s="8"/>
      <c r="S9" s="55"/>
      <c r="T9" s="55"/>
      <c r="U9" s="8"/>
      <c r="V9" s="38"/>
      <c r="W9" s="8"/>
      <c r="X9" s="8"/>
      <c r="Y9" s="8"/>
      <c r="Z9" s="8"/>
      <c r="AA9" s="8"/>
      <c r="AB9" s="8"/>
      <c r="AC9" s="8"/>
      <c r="AD9" s="19">
        <f>AD8+(AD8*$T$10)</f>
        <v>990.39449249999996</v>
      </c>
      <c r="AE9" s="19">
        <v>5</v>
      </c>
    </row>
    <row r="10" spans="1:31" ht="15" customHeight="1" x14ac:dyDescent="0.25">
      <c r="A10" s="97"/>
      <c r="B10" s="8"/>
      <c r="C10" s="37"/>
      <c r="D10" s="229"/>
      <c r="E10" s="229"/>
      <c r="F10" s="229"/>
      <c r="G10" s="229"/>
      <c r="H10" s="65"/>
      <c r="I10" s="55"/>
      <c r="J10" s="71"/>
      <c r="K10" s="68"/>
      <c r="L10" s="8"/>
      <c r="M10" s="8"/>
      <c r="N10" s="8"/>
      <c r="O10" s="38"/>
      <c r="P10" s="102"/>
      <c r="Q10" s="8"/>
      <c r="R10" s="226" t="s">
        <v>62</v>
      </c>
      <c r="S10" s="226"/>
      <c r="T10" s="85">
        <v>0.05</v>
      </c>
      <c r="U10" s="8"/>
      <c r="V10" s="38"/>
      <c r="W10" s="8"/>
      <c r="X10" s="8"/>
      <c r="Y10" s="8"/>
      <c r="Z10" s="8"/>
      <c r="AA10" s="8"/>
      <c r="AB10" s="8"/>
      <c r="AC10" s="8"/>
      <c r="AD10" s="19">
        <f>AD9+(AD9*$T$11)</f>
        <v>1089.43394175</v>
      </c>
      <c r="AE10" s="19">
        <v>6</v>
      </c>
    </row>
    <row r="11" spans="1:31" ht="15" customHeight="1" x14ac:dyDescent="0.25">
      <c r="A11" s="97" t="s">
        <v>90</v>
      </c>
      <c r="B11" s="8"/>
      <c r="C11" s="37"/>
      <c r="D11" s="229"/>
      <c r="E11" s="229"/>
      <c r="F11" s="229"/>
      <c r="G11" s="229"/>
      <c r="H11" s="65"/>
      <c r="I11" s="55"/>
      <c r="J11" s="71"/>
      <c r="K11" s="68"/>
      <c r="L11" s="8"/>
      <c r="M11" s="8"/>
      <c r="N11" s="8"/>
      <c r="O11" s="38"/>
      <c r="P11" s="50"/>
      <c r="Q11" s="8"/>
      <c r="R11" s="226" t="s">
        <v>63</v>
      </c>
      <c r="S11" s="226"/>
      <c r="T11" s="86">
        <v>0.1</v>
      </c>
      <c r="U11" s="8"/>
      <c r="V11" s="38"/>
      <c r="W11" s="8"/>
      <c r="X11" s="8"/>
      <c r="Y11" s="8"/>
      <c r="Z11" s="8"/>
      <c r="AA11" s="8"/>
      <c r="AB11" s="8"/>
      <c r="AC11" s="8"/>
      <c r="AD11" s="19">
        <f>AD10+(AD10*$T$11)</f>
        <v>1198.3773359250001</v>
      </c>
      <c r="AE11" s="19">
        <v>7</v>
      </c>
    </row>
    <row r="12" spans="1:31" ht="15" customHeight="1" x14ac:dyDescent="0.25">
      <c r="A12" s="99">
        <f>(N38/100)</f>
        <v>0</v>
      </c>
      <c r="B12" s="8"/>
      <c r="C12" s="37"/>
      <c r="D12" s="229"/>
      <c r="E12" s="229"/>
      <c r="F12" s="229"/>
      <c r="G12" s="229"/>
      <c r="H12" s="65"/>
      <c r="I12" s="55"/>
      <c r="J12" s="239" t="s">
        <v>46</v>
      </c>
      <c r="K12" s="239"/>
      <c r="L12" s="239" t="s">
        <v>45</v>
      </c>
      <c r="M12" s="239"/>
      <c r="N12" s="8"/>
      <c r="O12" s="38"/>
      <c r="P12" s="50"/>
      <c r="Q12" s="8"/>
      <c r="R12" s="226" t="s">
        <v>64</v>
      </c>
      <c r="S12" s="226"/>
      <c r="T12" s="86">
        <v>0.1</v>
      </c>
      <c r="U12" s="8"/>
      <c r="V12" s="38"/>
      <c r="W12" s="8"/>
      <c r="X12" s="8"/>
      <c r="Y12" s="8"/>
      <c r="Z12" s="8"/>
      <c r="AA12" s="8"/>
      <c r="AB12" s="8"/>
      <c r="AC12" s="8"/>
      <c r="AD12" s="19">
        <f>AD11+(AD11*$T$11)</f>
        <v>1318.2150695175001</v>
      </c>
      <c r="AE12" s="19">
        <v>8</v>
      </c>
    </row>
    <row r="13" spans="1:31" ht="15" customHeight="1" x14ac:dyDescent="0.25">
      <c r="A13" s="97"/>
      <c r="B13" s="8"/>
      <c r="C13" s="37"/>
      <c r="D13" s="229"/>
      <c r="E13" s="229"/>
      <c r="F13" s="229"/>
      <c r="G13" s="229"/>
      <c r="H13" s="65"/>
      <c r="I13" s="55"/>
      <c r="J13" s="237" t="s">
        <v>92</v>
      </c>
      <c r="K13" s="238"/>
      <c r="L13" s="244" t="s">
        <v>92</v>
      </c>
      <c r="M13" s="244"/>
      <c r="N13" s="8"/>
      <c r="O13" s="38"/>
      <c r="P13" s="50"/>
      <c r="Q13" s="8"/>
      <c r="R13" s="226" t="s">
        <v>65</v>
      </c>
      <c r="S13" s="226"/>
      <c r="T13" s="32">
        <v>16</v>
      </c>
      <c r="U13" s="8"/>
      <c r="V13" s="38"/>
      <c r="W13" s="8"/>
      <c r="X13" s="8"/>
      <c r="Y13" s="8"/>
      <c r="Z13" s="8"/>
      <c r="AA13" s="8"/>
      <c r="AB13" s="8"/>
      <c r="AC13" s="8"/>
      <c r="AD13" s="19">
        <f>AD12+(AD12*$T$11)</f>
        <v>1450.0365764692501</v>
      </c>
      <c r="AE13" s="19">
        <v>9</v>
      </c>
    </row>
    <row r="14" spans="1:31" ht="15" customHeight="1" x14ac:dyDescent="0.25">
      <c r="A14" s="97" t="s">
        <v>61</v>
      </c>
      <c r="B14" s="8"/>
      <c r="C14" s="37"/>
      <c r="D14" s="229"/>
      <c r="E14" s="229"/>
      <c r="F14" s="229"/>
      <c r="G14" s="229"/>
      <c r="H14" s="65"/>
      <c r="I14" s="55"/>
      <c r="J14" s="238"/>
      <c r="K14" s="238"/>
      <c r="L14" s="244"/>
      <c r="M14" s="244"/>
      <c r="N14" s="8"/>
      <c r="O14" s="38"/>
      <c r="P14" s="50"/>
      <c r="Q14" s="8"/>
      <c r="R14" s="226" t="s">
        <v>66</v>
      </c>
      <c r="S14" s="226"/>
      <c r="T14" s="87">
        <v>776</v>
      </c>
      <c r="U14" s="8"/>
      <c r="V14" s="38"/>
      <c r="W14" s="8"/>
      <c r="X14" s="8"/>
      <c r="Y14" s="8"/>
      <c r="Z14" s="8"/>
      <c r="AA14" s="8"/>
      <c r="AB14" s="8"/>
      <c r="AC14" s="8"/>
      <c r="AD14" s="19">
        <f>AD13+(AD13*$T$11)</f>
        <v>1595.040234116175</v>
      </c>
      <c r="AE14" s="19">
        <v>10</v>
      </c>
    </row>
    <row r="15" spans="1:31" ht="15" customHeight="1" x14ac:dyDescent="0.25">
      <c r="A15" s="100">
        <f>U7</f>
        <v>2.9192864510309356E-2</v>
      </c>
      <c r="B15" s="8"/>
      <c r="C15" s="37"/>
      <c r="D15" s="229"/>
      <c r="E15" s="229"/>
      <c r="F15" s="229"/>
      <c r="G15" s="229"/>
      <c r="H15" s="55"/>
      <c r="I15" s="55"/>
      <c r="J15" s="71"/>
      <c r="K15" s="68"/>
      <c r="L15" s="8"/>
      <c r="M15" s="8"/>
      <c r="N15" s="8"/>
      <c r="O15" s="38"/>
      <c r="P15" s="50"/>
      <c r="Q15" s="8"/>
      <c r="R15" s="8"/>
      <c r="S15" s="55"/>
      <c r="T15" s="55"/>
      <c r="U15" s="8"/>
      <c r="V15" s="38"/>
      <c r="W15" s="8"/>
      <c r="X15" s="8"/>
      <c r="Y15" s="8"/>
      <c r="Z15" s="8"/>
      <c r="AA15" s="8"/>
      <c r="AB15" s="8"/>
      <c r="AC15" s="8"/>
      <c r="AD15" s="19" t="s">
        <v>67</v>
      </c>
      <c r="AE15" s="19">
        <f>AD14*T13</f>
        <v>25520.643745858801</v>
      </c>
    </row>
    <row r="16" spans="1:31" ht="15" customHeight="1" x14ac:dyDescent="0.25">
      <c r="A16" s="98"/>
      <c r="B16" s="8"/>
      <c r="C16" s="37"/>
      <c r="D16" s="229"/>
      <c r="E16" s="229"/>
      <c r="F16" s="229"/>
      <c r="G16" s="229"/>
      <c r="H16" s="55"/>
      <c r="I16" s="55"/>
      <c r="J16" s="71"/>
      <c r="K16" s="231" t="s">
        <v>51</v>
      </c>
      <c r="L16" s="231"/>
      <c r="M16" s="8"/>
      <c r="N16" s="8"/>
      <c r="O16" s="38"/>
      <c r="P16" s="50"/>
      <c r="Q16" s="8"/>
      <c r="R16" s="194" t="s">
        <v>131</v>
      </c>
      <c r="S16" s="234">
        <f>((NPV(T12,AD5:AD13,AE15) - AE16)/N32)*R17</f>
        <v>74.634648731053232</v>
      </c>
      <c r="T16" s="234"/>
      <c r="U16" s="8" t="s">
        <v>91</v>
      </c>
      <c r="V16" s="38"/>
      <c r="W16" s="8"/>
      <c r="X16" s="8"/>
      <c r="Y16" s="8"/>
      <c r="Z16" s="8"/>
      <c r="AA16" s="8"/>
      <c r="AB16" s="8"/>
      <c r="AC16" s="8"/>
      <c r="AD16" s="19" t="s">
        <v>15</v>
      </c>
      <c r="AE16" s="88">
        <f>E70</f>
        <v>-231.45599999999999</v>
      </c>
    </row>
    <row r="17" spans="1:31" ht="19.5" customHeight="1" x14ac:dyDescent="0.25">
      <c r="B17" s="8"/>
      <c r="C17" s="37"/>
      <c r="D17" s="229"/>
      <c r="E17" s="229"/>
      <c r="F17" s="229"/>
      <c r="G17" s="229"/>
      <c r="H17" s="55"/>
      <c r="I17" s="55"/>
      <c r="J17" s="8"/>
      <c r="K17" s="232">
        <f>I2+(E70/1000)</f>
        <v>24.132027185999998</v>
      </c>
      <c r="L17" s="232"/>
      <c r="M17" s="84" t="s">
        <v>57</v>
      </c>
      <c r="N17" s="8"/>
      <c r="O17" s="38"/>
      <c r="P17" s="50"/>
      <c r="Q17" s="8"/>
      <c r="R17" s="195">
        <v>1</v>
      </c>
      <c r="S17" s="234"/>
      <c r="T17" s="234"/>
      <c r="U17" s="101">
        <f>S16/J5 -1</f>
        <v>-0.34103259110848283</v>
      </c>
      <c r="V17" s="38"/>
      <c r="W17" s="8"/>
      <c r="X17" s="8"/>
      <c r="Y17" s="8"/>
      <c r="Z17" s="8"/>
      <c r="AA17" s="8"/>
      <c r="AB17" s="8"/>
      <c r="AC17" s="8"/>
      <c r="AE17" s="88"/>
    </row>
    <row r="18" spans="1:31" ht="14.25" customHeight="1" x14ac:dyDescent="0.25">
      <c r="B18" s="8"/>
      <c r="C18" s="39"/>
      <c r="D18" s="60"/>
      <c r="E18" s="40"/>
      <c r="F18" s="40"/>
      <c r="G18" s="40"/>
      <c r="H18" s="61"/>
      <c r="I18" s="61"/>
      <c r="J18" s="61"/>
      <c r="K18" s="61"/>
      <c r="L18" s="40"/>
      <c r="M18" s="40"/>
      <c r="N18" s="40"/>
      <c r="O18" s="41"/>
      <c r="P18" s="50"/>
      <c r="Q18" s="40"/>
      <c r="R18" s="40"/>
      <c r="S18" s="61"/>
      <c r="T18" s="61"/>
      <c r="U18" s="40"/>
      <c r="V18" s="41"/>
      <c r="W18" s="8"/>
      <c r="X18" s="8"/>
      <c r="Y18" s="8"/>
      <c r="Z18" s="8"/>
      <c r="AA18" s="8"/>
      <c r="AB18" s="8"/>
      <c r="AC18" s="8"/>
    </row>
    <row r="19" spans="1:31" ht="37.5" customHeight="1" x14ac:dyDescent="0.25">
      <c r="B19" s="8"/>
      <c r="C19" s="8"/>
      <c r="D19" s="113"/>
      <c r="E19" s="8"/>
      <c r="F19" s="8"/>
      <c r="G19" s="8"/>
      <c r="H19" s="46"/>
      <c r="I19" s="46"/>
      <c r="J19" s="46"/>
      <c r="K19" s="46"/>
      <c r="L19" s="8"/>
      <c r="M19" s="8"/>
      <c r="N19" s="8"/>
      <c r="O19" s="8"/>
      <c r="P19" s="8"/>
      <c r="Q19" s="8"/>
      <c r="R19" s="8"/>
      <c r="S19" s="55"/>
      <c r="T19" s="55"/>
      <c r="U19" s="8"/>
      <c r="V19" s="8"/>
      <c r="W19" s="8"/>
      <c r="X19" s="8"/>
      <c r="Y19" s="8"/>
      <c r="Z19" s="8"/>
      <c r="AA19" s="8"/>
      <c r="AB19" s="8"/>
      <c r="AC19" s="8"/>
    </row>
    <row r="20" spans="1:31" s="24" customFormat="1" ht="18.95" customHeight="1" x14ac:dyDescent="0.25">
      <c r="A20" s="23"/>
      <c r="B20" s="20"/>
      <c r="C20" s="21"/>
      <c r="D20" s="2"/>
      <c r="E20" s="14">
        <v>2013</v>
      </c>
      <c r="F20" s="14">
        <v>2014</v>
      </c>
      <c r="G20" s="14">
        <v>2015</v>
      </c>
      <c r="H20" s="14">
        <v>2016</v>
      </c>
      <c r="I20" s="14">
        <v>2017</v>
      </c>
      <c r="J20" s="14">
        <v>2018</v>
      </c>
      <c r="K20" s="14">
        <v>2019</v>
      </c>
      <c r="L20" s="14">
        <v>2020</v>
      </c>
      <c r="M20" s="14">
        <v>2021</v>
      </c>
      <c r="N20" s="192" t="s">
        <v>130</v>
      </c>
      <c r="O20" s="22"/>
      <c r="P20" s="23"/>
      <c r="Q20" s="33"/>
      <c r="R20" s="42" t="s">
        <v>25</v>
      </c>
      <c r="S20" s="42" t="s">
        <v>26</v>
      </c>
      <c r="T20" s="42" t="s">
        <v>27</v>
      </c>
      <c r="U20" s="42" t="s">
        <v>28</v>
      </c>
      <c r="V20" s="34"/>
      <c r="W20" s="23"/>
      <c r="Y20" s="23"/>
      <c r="Z20" s="23"/>
      <c r="AA20" s="23"/>
      <c r="AB20" s="23"/>
      <c r="AC20" s="23"/>
    </row>
    <row r="21" spans="1:31" s="24" customFormat="1" ht="20.100000000000001" customHeight="1" x14ac:dyDescent="0.25">
      <c r="A21" s="23"/>
      <c r="B21" s="23"/>
      <c r="C21" s="25"/>
      <c r="D21" s="4" t="s">
        <v>1</v>
      </c>
      <c r="E21" s="5">
        <v>38.770282999999999</v>
      </c>
      <c r="F21" s="5">
        <v>48.531553000000002</v>
      </c>
      <c r="G21" s="5">
        <v>76.358999999999995</v>
      </c>
      <c r="H21" s="5">
        <v>115.461</v>
      </c>
      <c r="I21" s="5">
        <v>178.38499999999999</v>
      </c>
      <c r="J21" s="5">
        <v>245.41800000000001</v>
      </c>
      <c r="K21" s="5">
        <v>365.75200000000001</v>
      </c>
      <c r="L21" s="5">
        <v>561.13400000000001</v>
      </c>
      <c r="M21" s="5">
        <v>1068.777</v>
      </c>
      <c r="N21" s="5">
        <v>1349.49</v>
      </c>
      <c r="O21" s="26"/>
      <c r="P21" s="23"/>
      <c r="Q21" s="35"/>
      <c r="R21" s="43">
        <f t="shared" ref="R21:R34" si="0">IFERROR((N21/M21-1),"")</f>
        <v>0.26264880325830364</v>
      </c>
      <c r="S21" s="43">
        <f t="shared" ref="S21:S34" si="1">IFERROR(((N21/K21)^(1/3) -1),"")</f>
        <v>0.54523423106467783</v>
      </c>
      <c r="T21" s="43">
        <f t="shared" ref="T21:T34" si="2">IFERROR(((N21/I21)^(1/5) -1),"")</f>
        <v>0.49886413403439356</v>
      </c>
      <c r="U21" s="43">
        <f t="shared" ref="U21:U34" si="3">IFERROR(((N21/E21)^(1/9) -1),"")</f>
        <v>0.48353140510854864</v>
      </c>
      <c r="V21" s="36"/>
      <c r="W21" s="23"/>
      <c r="X21" s="49"/>
      <c r="Y21" s="23"/>
      <c r="Z21" s="23"/>
      <c r="AA21" s="23"/>
      <c r="AB21" s="23"/>
      <c r="AC21" s="23"/>
    </row>
    <row r="22" spans="1:31" s="24" customFormat="1" ht="20.100000000000001" customHeight="1" x14ac:dyDescent="0.25">
      <c r="A22" s="23"/>
      <c r="B22" s="23"/>
      <c r="C22" s="25"/>
      <c r="D22" s="4" t="s">
        <v>2</v>
      </c>
      <c r="E22" s="5">
        <v>22.452026</v>
      </c>
      <c r="F22" s="5">
        <v>29.848243</v>
      </c>
      <c r="G22" s="5"/>
      <c r="H22" s="5"/>
      <c r="I22" s="5"/>
      <c r="J22" s="5"/>
      <c r="K22" s="5"/>
      <c r="L22" s="5"/>
      <c r="M22" s="5">
        <v>905.21199999999999</v>
      </c>
      <c r="N22" s="5">
        <v>0</v>
      </c>
      <c r="O22" s="26"/>
      <c r="P22" s="23"/>
      <c r="Q22" s="35"/>
      <c r="R22" s="43">
        <f t="shared" si="0"/>
        <v>-1</v>
      </c>
      <c r="S22" s="43" t="str">
        <f t="shared" si="1"/>
        <v/>
      </c>
      <c r="T22" s="43" t="str">
        <f t="shared" si="2"/>
        <v/>
      </c>
      <c r="U22" s="43">
        <f t="shared" si="3"/>
        <v>-1</v>
      </c>
      <c r="V22" s="36"/>
      <c r="W22" s="23"/>
      <c r="X22" s="49"/>
      <c r="Y22" s="23"/>
      <c r="Z22" s="23"/>
      <c r="AA22" s="23"/>
      <c r="AB22" s="23"/>
      <c r="AC22" s="23"/>
    </row>
    <row r="23" spans="1:31" s="24" customFormat="1" ht="20.100000000000001" customHeight="1" x14ac:dyDescent="0.25">
      <c r="A23" s="23"/>
      <c r="B23" s="23"/>
      <c r="C23" s="25"/>
      <c r="D23" s="4" t="s">
        <v>3</v>
      </c>
      <c r="E23" s="5">
        <v>11.344391</v>
      </c>
      <c r="F23" s="5">
        <v>16.993368</v>
      </c>
      <c r="G23" s="5">
        <v>27.021000000000001</v>
      </c>
      <c r="H23" s="5">
        <v>44.616999999999997</v>
      </c>
      <c r="I23" s="5">
        <v>80.599999999999994</v>
      </c>
      <c r="J23" s="5">
        <v>107.682</v>
      </c>
      <c r="K23" s="5">
        <v>182.96600000000001</v>
      </c>
      <c r="L23" s="5">
        <v>332.26</v>
      </c>
      <c r="M23" s="5">
        <v>730.93700000000001</v>
      </c>
      <c r="N23" s="5">
        <v>951.66399999999999</v>
      </c>
      <c r="O23" s="26"/>
      <c r="P23" s="23"/>
      <c r="Q23" s="35"/>
      <c r="R23" s="43">
        <f t="shared" si="0"/>
        <v>0.30197814585935578</v>
      </c>
      <c r="S23" s="43">
        <f t="shared" si="1"/>
        <v>0.73262435860094111</v>
      </c>
      <c r="T23" s="43">
        <f t="shared" si="2"/>
        <v>0.63843689799896275</v>
      </c>
      <c r="U23" s="43">
        <f t="shared" si="3"/>
        <v>0.63585466620361619</v>
      </c>
      <c r="V23" s="36"/>
      <c r="W23" s="23"/>
      <c r="X23" s="49"/>
      <c r="Y23" s="23"/>
      <c r="Z23" s="23"/>
      <c r="AA23" s="23"/>
      <c r="AB23" s="23"/>
      <c r="AC23" s="23"/>
    </row>
    <row r="24" spans="1:31" s="24" customFormat="1" ht="20.100000000000001" customHeight="1" x14ac:dyDescent="0.25">
      <c r="A24" s="23"/>
      <c r="B24" s="23"/>
      <c r="C24" s="25"/>
      <c r="D24" s="4" t="s">
        <v>4</v>
      </c>
      <c r="E24" s="5">
        <v>8.6309280000000008</v>
      </c>
      <c r="F24" s="5">
        <v>13.091184999999999</v>
      </c>
      <c r="G24" s="5">
        <v>21.082999999999998</v>
      </c>
      <c r="H24" s="5">
        <v>34.863999999999997</v>
      </c>
      <c r="I24" s="5">
        <v>66.881</v>
      </c>
      <c r="J24" s="5">
        <v>89.483999999999995</v>
      </c>
      <c r="K24" s="5">
        <v>157.47200000000001</v>
      </c>
      <c r="L24" s="5">
        <v>299.7</v>
      </c>
      <c r="M24" s="5">
        <v>654.00400000000002</v>
      </c>
      <c r="N24" s="5">
        <v>842.59900000000005</v>
      </c>
      <c r="O24" s="26"/>
      <c r="P24" s="23"/>
      <c r="Q24" s="35"/>
      <c r="R24" s="43">
        <f t="shared" si="0"/>
        <v>0.28836979590338907</v>
      </c>
      <c r="S24" s="43">
        <f t="shared" si="1"/>
        <v>0.74906466169523656</v>
      </c>
      <c r="T24" s="43">
        <f t="shared" si="2"/>
        <v>0.65983010108209705</v>
      </c>
      <c r="U24" s="43">
        <f t="shared" si="3"/>
        <v>0.66365245442738607</v>
      </c>
      <c r="V24" s="36"/>
      <c r="W24" s="23"/>
      <c r="X24" s="49"/>
      <c r="Y24" s="23"/>
      <c r="Z24" s="23"/>
      <c r="AA24" s="23"/>
      <c r="AB24" s="23"/>
      <c r="AC24" s="23"/>
    </row>
    <row r="25" spans="1:31" s="24" customFormat="1" ht="20.100000000000001" customHeight="1" x14ac:dyDescent="0.25">
      <c r="A25" s="23"/>
      <c r="B25" s="23"/>
      <c r="C25" s="25"/>
      <c r="D25" s="4" t="s">
        <v>5</v>
      </c>
      <c r="E25" s="5">
        <v>7.1677879999999998</v>
      </c>
      <c r="F25" s="5">
        <v>12.097384999999999</v>
      </c>
      <c r="G25" s="5">
        <v>20.027999999999999</v>
      </c>
      <c r="H25" s="5">
        <v>31.74</v>
      </c>
      <c r="I25" s="5">
        <v>62.128999999999998</v>
      </c>
      <c r="J25" s="5">
        <v>83.46</v>
      </c>
      <c r="K25" s="5">
        <v>149.726</v>
      </c>
      <c r="L25" s="5">
        <v>284.62200000000001</v>
      </c>
      <c r="M25" s="5">
        <v>605.43499999999995</v>
      </c>
      <c r="N25" s="5">
        <v>791.41600000000005</v>
      </c>
      <c r="O25" s="26"/>
      <c r="P25" s="23"/>
      <c r="Q25" s="35"/>
      <c r="R25" s="43">
        <f t="shared" si="0"/>
        <v>0.30718574248267805</v>
      </c>
      <c r="S25" s="43">
        <f t="shared" si="1"/>
        <v>0.74195073330916173</v>
      </c>
      <c r="T25" s="43">
        <f t="shared" si="2"/>
        <v>0.66349727021183491</v>
      </c>
      <c r="U25" s="43">
        <f t="shared" si="3"/>
        <v>0.68656151472237514</v>
      </c>
      <c r="V25" s="36"/>
      <c r="W25" s="23"/>
      <c r="X25" s="49"/>
      <c r="Y25" s="23"/>
      <c r="Z25" s="23"/>
      <c r="AA25" s="23"/>
      <c r="AB25" s="23"/>
      <c r="AC25" s="23"/>
    </row>
    <row r="26" spans="1:31" s="24" customFormat="1" ht="20.100000000000001" customHeight="1" x14ac:dyDescent="0.25">
      <c r="A26" s="23"/>
      <c r="B26" s="23"/>
      <c r="C26" s="25"/>
      <c r="D26" s="17" t="s">
        <v>11</v>
      </c>
      <c r="E26" s="18">
        <v>3.8394509999999999</v>
      </c>
      <c r="F26" s="18">
        <v>8.2511080000000003</v>
      </c>
      <c r="G26" s="18">
        <v>11.952</v>
      </c>
      <c r="H26" s="18">
        <v>8.8450000000000006</v>
      </c>
      <c r="I26" s="18">
        <v>41.534999999999997</v>
      </c>
      <c r="J26" s="18">
        <v>66.906000000000006</v>
      </c>
      <c r="K26" s="18">
        <v>145.678</v>
      </c>
      <c r="L26" s="18">
        <v>279.16500000000002</v>
      </c>
      <c r="M26" s="18">
        <v>537.303</v>
      </c>
      <c r="N26" s="18">
        <v>704.48299999999995</v>
      </c>
      <c r="O26" s="26"/>
      <c r="P26" s="23"/>
      <c r="Q26" s="35"/>
      <c r="R26" s="43">
        <f t="shared" si="0"/>
        <v>0.31114659698531355</v>
      </c>
      <c r="S26" s="43">
        <f t="shared" si="1"/>
        <v>0.69105934618163145</v>
      </c>
      <c r="T26" s="43">
        <f t="shared" si="2"/>
        <v>0.76153493482720869</v>
      </c>
      <c r="U26" s="43">
        <f t="shared" si="3"/>
        <v>0.78447827628298716</v>
      </c>
      <c r="V26" s="36"/>
      <c r="W26" s="23"/>
      <c r="X26" s="49"/>
      <c r="Y26" s="23"/>
      <c r="Z26" s="23"/>
      <c r="AA26" s="23"/>
      <c r="AB26" s="23"/>
      <c r="AC26" s="23"/>
    </row>
    <row r="27" spans="1:31" s="24" customFormat="1" ht="20.100000000000001" customHeight="1" x14ac:dyDescent="0.25">
      <c r="A27" s="23"/>
      <c r="B27" s="23"/>
      <c r="C27" s="25"/>
      <c r="D27" s="15" t="s">
        <v>16</v>
      </c>
      <c r="E27" s="16">
        <v>0.21556784350633856</v>
      </c>
      <c r="F27" s="16">
        <v>0.2698417811967887</v>
      </c>
      <c r="G27" s="16">
        <v>0.42534366195943507</v>
      </c>
      <c r="H27" s="16">
        <v>0.64197825894346339</v>
      </c>
      <c r="I27" s="16">
        <v>0.99184392757407014</v>
      </c>
      <c r="J27" s="16">
        <v>1.3645561735424681</v>
      </c>
      <c r="K27" s="16">
        <v>2.0236663371737231</v>
      </c>
      <c r="L27" s="16">
        <v>3.0508365192961602</v>
      </c>
      <c r="M27" s="16">
        <v>5.8108471462855436</v>
      </c>
      <c r="N27" s="16">
        <v>6.3295345682153696</v>
      </c>
      <c r="O27" s="26"/>
      <c r="P27" s="23"/>
      <c r="Q27" s="35"/>
      <c r="R27" s="43">
        <f t="shared" si="0"/>
        <v>8.9261928402536883E-2</v>
      </c>
      <c r="S27" s="43">
        <f t="shared" si="1"/>
        <v>0.46243853753171971</v>
      </c>
      <c r="T27" s="43">
        <f t="shared" si="2"/>
        <v>0.44872410884219094</v>
      </c>
      <c r="U27" s="43">
        <f t="shared" si="3"/>
        <v>0.45575246181078133</v>
      </c>
      <c r="V27" s="36"/>
      <c r="W27" s="23"/>
      <c r="X27" s="49"/>
      <c r="Y27" s="23"/>
      <c r="Z27" s="23"/>
      <c r="AA27" s="23"/>
      <c r="AB27" s="23"/>
      <c r="AC27" s="23"/>
    </row>
    <row r="28" spans="1:31" s="24" customFormat="1" ht="20.100000000000001" customHeight="1" x14ac:dyDescent="0.25">
      <c r="A28" s="23"/>
      <c r="B28" s="23"/>
      <c r="C28" s="25"/>
      <c r="D28" s="4" t="s">
        <v>17</v>
      </c>
      <c r="E28" s="6">
        <v>4.7989088354564648E-2</v>
      </c>
      <c r="F28" s="6">
        <v>7.2788700546563639E-2</v>
      </c>
      <c r="G28" s="6">
        <v>0.11743894531215403</v>
      </c>
      <c r="H28" s="6">
        <v>0.19384839919804009</v>
      </c>
      <c r="I28" s="6">
        <v>0.37186710609121498</v>
      </c>
      <c r="J28" s="6">
        <v>0.49754274190676401</v>
      </c>
      <c r="K28" s="6">
        <v>0.87127557866374072</v>
      </c>
      <c r="L28" s="6">
        <v>1.6294427085741716</v>
      </c>
      <c r="M28" s="6">
        <v>3.5557625931876626</v>
      </c>
      <c r="N28" s="6">
        <v>3.9520555896254899</v>
      </c>
      <c r="O28" s="26"/>
      <c r="P28" s="23"/>
      <c r="Q28" s="35"/>
      <c r="R28" s="43">
        <f t="shared" si="0"/>
        <v>0.11145091553555031</v>
      </c>
      <c r="S28" s="43">
        <f t="shared" si="1"/>
        <v>0.65534746414178402</v>
      </c>
      <c r="T28" s="43">
        <f t="shared" si="2"/>
        <v>0.60430543997820907</v>
      </c>
      <c r="U28" s="43">
        <f t="shared" si="3"/>
        <v>0.63250076661033683</v>
      </c>
      <c r="V28" s="36"/>
      <c r="W28" s="23"/>
      <c r="X28" s="49"/>
      <c r="Y28" s="23"/>
      <c r="Z28" s="23"/>
      <c r="AA28" s="23"/>
      <c r="AB28" s="23"/>
      <c r="AC28" s="23"/>
    </row>
    <row r="29" spans="1:31" s="24" customFormat="1" ht="20.100000000000001" customHeight="1" x14ac:dyDescent="0.25">
      <c r="A29" s="23"/>
      <c r="B29" s="23"/>
      <c r="C29" s="25"/>
      <c r="D29" s="4" t="s">
        <v>6</v>
      </c>
      <c r="E29" s="6">
        <v>0.04</v>
      </c>
      <c r="F29" s="6">
        <v>7.0000000000000007E-2</v>
      </c>
      <c r="G29" s="6">
        <v>0.11</v>
      </c>
      <c r="H29" s="6">
        <v>0.18</v>
      </c>
      <c r="I29" s="6">
        <v>0.35</v>
      </c>
      <c r="J29" s="6">
        <v>0.46</v>
      </c>
      <c r="K29" s="6">
        <v>0.83</v>
      </c>
      <c r="L29" s="6">
        <v>1.55</v>
      </c>
      <c r="M29" s="6">
        <v>3.29</v>
      </c>
      <c r="N29" s="6">
        <v>9.32</v>
      </c>
      <c r="O29" s="26"/>
      <c r="P29" s="23"/>
      <c r="Q29" s="35"/>
      <c r="R29" s="43">
        <f t="shared" si="0"/>
        <v>1.8328267477203646</v>
      </c>
      <c r="S29" s="43">
        <f t="shared" si="1"/>
        <v>1.2393016838072208</v>
      </c>
      <c r="T29" s="43">
        <f t="shared" si="2"/>
        <v>0.92783372575160983</v>
      </c>
      <c r="U29" s="43">
        <f t="shared" si="3"/>
        <v>0.83248128020360923</v>
      </c>
      <c r="V29" s="36"/>
      <c r="W29" s="23"/>
      <c r="X29" s="49"/>
      <c r="Y29" s="23"/>
      <c r="Z29" s="23"/>
      <c r="AA29" s="23"/>
      <c r="AB29" s="23"/>
      <c r="AC29" s="23"/>
    </row>
    <row r="30" spans="1:31" s="24" customFormat="1" ht="20.100000000000001" customHeight="1" x14ac:dyDescent="0.25">
      <c r="A30" s="23"/>
      <c r="B30" s="23"/>
      <c r="C30" s="25"/>
      <c r="D30" s="4" t="s">
        <v>12</v>
      </c>
      <c r="E30" s="6">
        <v>2.1347849648615025E-2</v>
      </c>
      <c r="F30" s="6">
        <v>4.5877239485146347E-2</v>
      </c>
      <c r="G30" s="6">
        <v>6.657640157334653E-2</v>
      </c>
      <c r="H30" s="6">
        <v>4.9179356668961241E-2</v>
      </c>
      <c r="I30" s="6">
        <v>0.23094003157097853</v>
      </c>
      <c r="J30" s="6">
        <v>0.3720061093604885</v>
      </c>
      <c r="K30" s="6">
        <v>0.80602064969376408</v>
      </c>
      <c r="L30" s="6">
        <v>1.5177957081718672</v>
      </c>
      <c r="M30" s="6">
        <v>2.9212694549383653</v>
      </c>
      <c r="N30" s="6">
        <v>3.3042479019630147</v>
      </c>
      <c r="O30" s="26"/>
      <c r="P30" s="23"/>
      <c r="Q30" s="35"/>
      <c r="R30" s="43">
        <f t="shared" si="0"/>
        <v>0.13110000735373095</v>
      </c>
      <c r="S30" s="43">
        <f t="shared" si="1"/>
        <v>0.60045015014018133</v>
      </c>
      <c r="T30" s="43">
        <f t="shared" si="2"/>
        <v>0.70260804211983108</v>
      </c>
      <c r="U30" s="43">
        <f t="shared" si="3"/>
        <v>0.75106413979604447</v>
      </c>
      <c r="V30" s="36"/>
      <c r="W30" s="23"/>
      <c r="X30" s="49"/>
      <c r="Y30" s="23"/>
      <c r="Z30" s="23"/>
      <c r="AA30" s="23"/>
      <c r="AB30" s="23"/>
      <c r="AC30" s="23"/>
    </row>
    <row r="31" spans="1:31" s="24" customFormat="1" ht="20.100000000000001" customHeight="1" x14ac:dyDescent="0.25">
      <c r="A31" s="23"/>
      <c r="B31" s="23"/>
      <c r="C31" s="25"/>
      <c r="D31" s="4" t="s">
        <v>18</v>
      </c>
      <c r="E31" s="6">
        <v>-1.9460457698288788E-2</v>
      </c>
      <c r="F31" s="6">
        <v>-3.0580719240168096E-2</v>
      </c>
      <c r="G31" s="6">
        <v>0</v>
      </c>
      <c r="H31" s="6">
        <v>-6.3997105173515423E-2</v>
      </c>
      <c r="I31" s="6">
        <v>-9.0001836789200179E-2</v>
      </c>
      <c r="J31" s="6">
        <v>-0.17999811344762942</v>
      </c>
      <c r="K31" s="6">
        <v>-0.23882175293030955</v>
      </c>
      <c r="L31" s="6">
        <v>-0.41396652596208683</v>
      </c>
      <c r="M31" s="6">
        <v>-0.78499231614733411</v>
      </c>
      <c r="N31" s="6">
        <v>-1.4219490373712655</v>
      </c>
      <c r="O31" s="26"/>
      <c r="P31" s="23"/>
      <c r="Q31" s="35"/>
      <c r="R31" s="43">
        <f t="shared" si="0"/>
        <v>0.81141777839310958</v>
      </c>
      <c r="S31" s="43">
        <f t="shared" si="1"/>
        <v>0.81246675768943555</v>
      </c>
      <c r="T31" s="43">
        <f t="shared" si="2"/>
        <v>0.73670690800796979</v>
      </c>
      <c r="U31" s="43">
        <f t="shared" si="3"/>
        <v>0.61094688026922106</v>
      </c>
      <c r="V31" s="36"/>
      <c r="W31" s="23"/>
      <c r="X31" s="49"/>
      <c r="Y31" s="23"/>
      <c r="Z31" s="23"/>
      <c r="AA31" s="23"/>
      <c r="AB31" s="23"/>
      <c r="AC31" s="23"/>
    </row>
    <row r="32" spans="1:31" s="24" customFormat="1" ht="20.100000000000001" customHeight="1" x14ac:dyDescent="0.25">
      <c r="A32" s="23"/>
      <c r="B32" s="23"/>
      <c r="C32" s="25"/>
      <c r="D32" s="4" t="s">
        <v>29</v>
      </c>
      <c r="E32" s="6">
        <v>179.85188500000001</v>
      </c>
      <c r="F32" s="6">
        <v>179.85188500000001</v>
      </c>
      <c r="G32" s="6">
        <v>179.52306999999999</v>
      </c>
      <c r="H32" s="6">
        <v>179.85188500000001</v>
      </c>
      <c r="I32" s="6">
        <v>179.85188500000001</v>
      </c>
      <c r="J32" s="6">
        <v>179.85188500000001</v>
      </c>
      <c r="K32" s="6">
        <v>180.73730499999999</v>
      </c>
      <c r="L32" s="6">
        <v>183.92791500000001</v>
      </c>
      <c r="M32" s="6">
        <v>183.92791500000001</v>
      </c>
      <c r="N32" s="6">
        <v>213.20525000000001</v>
      </c>
      <c r="O32" s="26"/>
      <c r="P32" s="23"/>
      <c r="Q32" s="35"/>
      <c r="R32" s="43">
        <f t="shared" si="0"/>
        <v>0.15917831178589714</v>
      </c>
      <c r="S32" s="43">
        <f t="shared" si="1"/>
        <v>5.6614819295379926E-2</v>
      </c>
      <c r="T32" s="43">
        <f t="shared" si="2"/>
        <v>3.4609781728747624E-2</v>
      </c>
      <c r="U32" s="43">
        <f t="shared" si="3"/>
        <v>1.9082188783121623E-2</v>
      </c>
      <c r="V32" s="36"/>
      <c r="W32" s="23"/>
      <c r="X32" s="49"/>
      <c r="Y32" s="23"/>
      <c r="Z32" s="23"/>
      <c r="AA32" s="23"/>
      <c r="AB32" s="23"/>
      <c r="AC32" s="23"/>
    </row>
    <row r="33" spans="1:29" s="24" customFormat="1" ht="20.100000000000001" customHeight="1" x14ac:dyDescent="0.25">
      <c r="A33" s="23"/>
      <c r="B33" s="23"/>
      <c r="C33" s="25"/>
      <c r="D33" s="4" t="s">
        <v>30</v>
      </c>
      <c r="E33" s="6">
        <v>179.85188500000001</v>
      </c>
      <c r="F33" s="6">
        <v>179.85188500000001</v>
      </c>
      <c r="G33" s="6">
        <v>179.52306999999999</v>
      </c>
      <c r="H33" s="6">
        <v>180.76459500000001</v>
      </c>
      <c r="I33" s="6">
        <v>181.68522999999999</v>
      </c>
      <c r="J33" s="6">
        <v>182.62524500000001</v>
      </c>
      <c r="K33" s="6">
        <v>183.38734099999999</v>
      </c>
      <c r="L33" s="6">
        <v>189.02134599999999</v>
      </c>
      <c r="M33" s="6">
        <v>189.02134599999999</v>
      </c>
      <c r="N33" s="6">
        <v>217.12530000000001</v>
      </c>
      <c r="O33" s="26"/>
      <c r="P33" s="23"/>
      <c r="Q33" s="35"/>
      <c r="R33" s="43">
        <f t="shared" si="0"/>
        <v>0.14868137696998529</v>
      </c>
      <c r="S33" s="43">
        <f t="shared" si="1"/>
        <v>5.7905867754641349E-2</v>
      </c>
      <c r="T33" s="43">
        <f t="shared" si="2"/>
        <v>3.6282494129215248E-2</v>
      </c>
      <c r="U33" s="43">
        <f t="shared" si="3"/>
        <v>2.1147273145167178E-2</v>
      </c>
      <c r="V33" s="36"/>
      <c r="W33" s="23"/>
      <c r="X33" s="51"/>
      <c r="Y33" s="23"/>
      <c r="Z33" s="23"/>
      <c r="AA33" s="23"/>
      <c r="AB33" s="23"/>
      <c r="AC33" s="23"/>
    </row>
    <row r="34" spans="1:29" ht="20.100000000000001" customHeight="1" x14ac:dyDescent="0.25">
      <c r="B34" s="8"/>
      <c r="C34" s="27"/>
      <c r="D34" s="4" t="s">
        <v>13</v>
      </c>
      <c r="E34" s="6">
        <v>7.8144168463955777E-2</v>
      </c>
      <c r="F34" s="6">
        <v>0.13185868471714934</v>
      </c>
      <c r="G34" s="6">
        <v>0.2440466286589239</v>
      </c>
      <c r="H34" s="6">
        <v>0.35527011573996015</v>
      </c>
      <c r="I34" s="6">
        <v>0.61095272924162014</v>
      </c>
      <c r="J34" s="6">
        <v>0.9022424202003777</v>
      </c>
      <c r="K34" s="6">
        <v>1.5541727813192745</v>
      </c>
      <c r="L34" s="6">
        <v>14.821953481068929</v>
      </c>
      <c r="M34" s="6">
        <v>17.348916286035212</v>
      </c>
      <c r="N34" s="6">
        <v>15.507718501303321</v>
      </c>
      <c r="O34" s="7"/>
      <c r="P34" s="8"/>
      <c r="Q34" s="37"/>
      <c r="R34" s="43">
        <f t="shared" si="0"/>
        <v>-0.10612753871052683</v>
      </c>
      <c r="S34" s="43">
        <f t="shared" si="1"/>
        <v>1.152862055971307</v>
      </c>
      <c r="T34" s="43">
        <f t="shared" si="2"/>
        <v>0.90944898587198586</v>
      </c>
      <c r="U34" s="43">
        <f t="shared" si="3"/>
        <v>0.80009154800182669</v>
      </c>
      <c r="V34" s="38"/>
      <c r="W34" s="8"/>
      <c r="X34" s="51"/>
      <c r="Y34" s="8"/>
      <c r="Z34" s="8"/>
      <c r="AA34" s="8"/>
      <c r="AB34" s="8"/>
      <c r="AC34" s="8"/>
    </row>
    <row r="35" spans="1:29" ht="20.100000000000001" customHeight="1" x14ac:dyDescent="0.25">
      <c r="B35" s="8"/>
      <c r="C35" s="27"/>
      <c r="D35" s="94"/>
      <c r="E35" s="95"/>
      <c r="F35" s="95"/>
      <c r="G35" s="95"/>
      <c r="H35" s="95"/>
      <c r="I35" s="95"/>
      <c r="J35" s="95"/>
      <c r="K35" s="95"/>
      <c r="L35" s="95"/>
      <c r="M35" s="95"/>
      <c r="N35" s="95"/>
      <c r="O35" s="7"/>
      <c r="P35" s="8"/>
      <c r="Q35" s="37"/>
      <c r="R35" s="8"/>
      <c r="S35" s="8"/>
      <c r="T35" s="8"/>
      <c r="U35" s="8"/>
      <c r="V35" s="38"/>
      <c r="W35" s="8"/>
      <c r="X35" s="8"/>
      <c r="Y35" s="8"/>
      <c r="Z35" s="8"/>
      <c r="AA35" s="8"/>
      <c r="AB35" s="8"/>
      <c r="AC35" s="8"/>
    </row>
    <row r="36" spans="1:29" ht="20.100000000000001" customHeight="1" x14ac:dyDescent="0.25">
      <c r="B36" s="8"/>
      <c r="C36" s="27"/>
      <c r="D36" s="9"/>
      <c r="E36" s="8">
        <v>2013</v>
      </c>
      <c r="F36" s="8">
        <v>2014</v>
      </c>
      <c r="G36" s="8">
        <v>2015</v>
      </c>
      <c r="H36" s="47">
        <v>2016</v>
      </c>
      <c r="I36" s="8">
        <v>2017</v>
      </c>
      <c r="J36" s="8">
        <v>2018</v>
      </c>
      <c r="K36" s="8">
        <v>2019</v>
      </c>
      <c r="L36" s="8">
        <v>2020</v>
      </c>
      <c r="M36" s="47">
        <v>2021</v>
      </c>
      <c r="N36" s="193" t="s">
        <v>130</v>
      </c>
      <c r="O36" s="7"/>
      <c r="P36" s="8"/>
      <c r="Q36" s="37"/>
      <c r="R36" s="8"/>
      <c r="S36" s="8"/>
      <c r="T36" s="8"/>
      <c r="U36" s="8"/>
      <c r="V36" s="38"/>
      <c r="W36" s="8"/>
      <c r="X36" s="8"/>
      <c r="Y36" s="8"/>
      <c r="Z36" s="8"/>
      <c r="AA36" s="8"/>
      <c r="AB36" s="8"/>
      <c r="AC36" s="8"/>
    </row>
    <row r="37" spans="1:29" ht="20.100000000000001" customHeight="1" x14ac:dyDescent="0.25">
      <c r="B37" s="8"/>
      <c r="C37" s="27"/>
      <c r="D37" s="2" t="s">
        <v>31</v>
      </c>
      <c r="E37" s="3">
        <v>100</v>
      </c>
      <c r="F37" s="3">
        <v>100</v>
      </c>
      <c r="G37" s="3">
        <v>100</v>
      </c>
      <c r="H37" s="3">
        <v>100</v>
      </c>
      <c r="I37" s="3">
        <v>100</v>
      </c>
      <c r="J37" s="3">
        <v>100</v>
      </c>
      <c r="K37" s="3">
        <v>100</v>
      </c>
      <c r="L37" s="3">
        <v>100</v>
      </c>
      <c r="M37" s="3">
        <v>100</v>
      </c>
      <c r="N37" s="3">
        <v>100</v>
      </c>
      <c r="O37" s="7"/>
      <c r="P37" s="8"/>
      <c r="Q37" s="37"/>
      <c r="R37" s="43">
        <f t="shared" ref="R37:R47" si="4">IFERROR((N37/M37-1),"")</f>
        <v>0</v>
      </c>
      <c r="S37" s="43">
        <f t="shared" ref="S37:S47" si="5">IFERROR(((N37/K37)^(1/3) -1),"")</f>
        <v>0</v>
      </c>
      <c r="T37" s="43">
        <f t="shared" ref="T37:T47" si="6">IFERROR(((N37/I37)^(1/5) -1),"")</f>
        <v>0</v>
      </c>
      <c r="U37" s="43">
        <f t="shared" ref="U37:U47" si="7">IFERROR(((N37/E37)^(1/9) -1),"")</f>
        <v>0</v>
      </c>
      <c r="V37" s="38"/>
      <c r="W37" s="8"/>
      <c r="X37" s="52"/>
      <c r="Y37" s="8"/>
      <c r="Z37" s="8"/>
      <c r="AA37" s="8"/>
      <c r="AB37" s="8"/>
      <c r="AC37" s="8"/>
    </row>
    <row r="38" spans="1:29" ht="20.100000000000001" customHeight="1" x14ac:dyDescent="0.25">
      <c r="B38" s="8"/>
      <c r="C38" s="27"/>
      <c r="D38" s="11" t="s">
        <v>83</v>
      </c>
      <c r="E38" s="12">
        <v>57.91</v>
      </c>
      <c r="F38" s="12">
        <v>61.5</v>
      </c>
      <c r="G38" s="12"/>
      <c r="H38" s="12"/>
      <c r="I38" s="12"/>
      <c r="J38" s="12"/>
      <c r="K38" s="12"/>
      <c r="L38" s="12"/>
      <c r="M38" s="12">
        <v>84.7</v>
      </c>
      <c r="N38" s="12">
        <v>0</v>
      </c>
      <c r="O38" s="7"/>
      <c r="P38" s="8"/>
      <c r="Q38" s="37"/>
      <c r="R38" s="43">
        <f t="shared" si="4"/>
        <v>-1</v>
      </c>
      <c r="S38" s="43" t="str">
        <f t="shared" si="5"/>
        <v/>
      </c>
      <c r="T38" s="43" t="str">
        <f t="shared" si="6"/>
        <v/>
      </c>
      <c r="U38" s="43">
        <f t="shared" si="7"/>
        <v>-1</v>
      </c>
      <c r="V38" s="38"/>
      <c r="W38" s="8"/>
      <c r="X38" s="52"/>
      <c r="Y38" s="8"/>
      <c r="Z38" s="8"/>
      <c r="AA38" s="8"/>
      <c r="AB38" s="8"/>
      <c r="AC38" s="8"/>
    </row>
    <row r="39" spans="1:29" ht="20.100000000000001" customHeight="1" x14ac:dyDescent="0.25">
      <c r="B39" s="8"/>
      <c r="C39" s="27"/>
      <c r="D39" s="4" t="s">
        <v>20</v>
      </c>
      <c r="E39" s="10">
        <v>0</v>
      </c>
      <c r="F39" s="10">
        <v>0</v>
      </c>
      <c r="G39" s="10">
        <v>0</v>
      </c>
      <c r="H39" s="10">
        <v>0</v>
      </c>
      <c r="I39" s="10">
        <v>0</v>
      </c>
      <c r="J39" s="10">
        <v>0</v>
      </c>
      <c r="K39" s="10">
        <v>0</v>
      </c>
      <c r="L39" s="10">
        <v>0</v>
      </c>
      <c r="M39" s="10">
        <v>0</v>
      </c>
      <c r="N39" s="10">
        <v>0</v>
      </c>
      <c r="O39" s="7"/>
      <c r="P39" s="8"/>
      <c r="Q39" s="37"/>
      <c r="R39" s="43" t="str">
        <f t="shared" si="4"/>
        <v/>
      </c>
      <c r="S39" s="43" t="str">
        <f t="shared" si="5"/>
        <v/>
      </c>
      <c r="T39" s="43" t="str">
        <f t="shared" si="6"/>
        <v/>
      </c>
      <c r="U39" s="43" t="str">
        <f t="shared" si="7"/>
        <v/>
      </c>
      <c r="V39" s="38"/>
      <c r="W39" s="8"/>
      <c r="X39" s="52"/>
      <c r="Y39" s="8"/>
      <c r="Z39" s="8"/>
      <c r="AA39" s="8"/>
      <c r="AB39" s="8"/>
      <c r="AC39" s="8"/>
    </row>
    <row r="40" spans="1:29" ht="20.100000000000001" customHeight="1" x14ac:dyDescent="0.25">
      <c r="B40" s="8"/>
      <c r="C40" s="27"/>
      <c r="D40" s="4" t="s">
        <v>21</v>
      </c>
      <c r="E40" s="10">
        <v>0</v>
      </c>
      <c r="F40" s="10">
        <v>0</v>
      </c>
      <c r="G40" s="10">
        <v>0</v>
      </c>
      <c r="H40" s="10">
        <v>0</v>
      </c>
      <c r="I40" s="10">
        <v>0</v>
      </c>
      <c r="J40" s="10">
        <v>0</v>
      </c>
      <c r="K40" s="10">
        <v>0</v>
      </c>
      <c r="L40" s="10">
        <v>0</v>
      </c>
      <c r="M40" s="10">
        <v>0</v>
      </c>
      <c r="N40" s="10">
        <v>0</v>
      </c>
      <c r="O40" s="7"/>
      <c r="P40" s="8"/>
      <c r="Q40" s="37"/>
      <c r="R40" s="43" t="str">
        <f t="shared" si="4"/>
        <v/>
      </c>
      <c r="S40" s="43" t="str">
        <f t="shared" si="5"/>
        <v/>
      </c>
      <c r="T40" s="43" t="str">
        <f t="shared" si="6"/>
        <v/>
      </c>
      <c r="U40" s="43" t="str">
        <f t="shared" si="7"/>
        <v/>
      </c>
      <c r="V40" s="38"/>
      <c r="W40" s="8"/>
      <c r="X40" s="52"/>
      <c r="Y40" s="8"/>
      <c r="Z40" s="8"/>
      <c r="AA40" s="8"/>
      <c r="AB40" s="8"/>
      <c r="AC40" s="8"/>
    </row>
    <row r="41" spans="1:29" ht="20.100000000000001" customHeight="1" x14ac:dyDescent="0.25">
      <c r="B41" s="8"/>
      <c r="C41" s="27"/>
      <c r="D41" s="4" t="s">
        <v>22</v>
      </c>
      <c r="E41" s="10">
        <v>35.648690003113984</v>
      </c>
      <c r="F41" s="10">
        <v>34.528171806082533</v>
      </c>
      <c r="G41" s="10">
        <v>72.38963318010974</v>
      </c>
      <c r="H41" s="10">
        <v>69.804522739279932</v>
      </c>
      <c r="I41" s="10">
        <v>62.507497827732152</v>
      </c>
      <c r="J41" s="10">
        <v>63.538126787766181</v>
      </c>
      <c r="K41" s="10">
        <v>56.945689975721258</v>
      </c>
      <c r="L41" s="10">
        <v>46.590297504695847</v>
      </c>
      <c r="M41" s="10">
        <v>23.504248313726812</v>
      </c>
      <c r="N41" s="10">
        <v>25.44116666296156</v>
      </c>
      <c r="O41" s="7"/>
      <c r="P41" s="8"/>
      <c r="Q41" s="37"/>
      <c r="R41" s="43">
        <f t="shared" si="4"/>
        <v>8.2407159904942073E-2</v>
      </c>
      <c r="S41" s="43">
        <f t="shared" si="5"/>
        <v>-0.23553303805288639</v>
      </c>
      <c r="T41" s="43">
        <f t="shared" si="6"/>
        <v>-0.16454900285095442</v>
      </c>
      <c r="U41" s="43">
        <f t="shared" si="7"/>
        <v>-3.6788865714763253E-2</v>
      </c>
      <c r="V41" s="38"/>
      <c r="W41" s="8"/>
      <c r="X41" s="52"/>
      <c r="Y41" s="8"/>
      <c r="Z41" s="8"/>
      <c r="AA41" s="8"/>
      <c r="AB41" s="8"/>
      <c r="AC41" s="8"/>
    </row>
    <row r="42" spans="1:29" ht="20.100000000000001" customHeight="1" x14ac:dyDescent="0.25">
      <c r="B42" s="8"/>
      <c r="C42" s="27"/>
      <c r="D42" s="11" t="s">
        <v>84</v>
      </c>
      <c r="E42" s="13">
        <v>29.26</v>
      </c>
      <c r="F42" s="13">
        <v>35.020000000000003</v>
      </c>
      <c r="G42" s="13">
        <v>35.39</v>
      </c>
      <c r="H42" s="13">
        <v>38.64</v>
      </c>
      <c r="I42" s="13">
        <v>45.18</v>
      </c>
      <c r="J42" s="13">
        <v>43.88</v>
      </c>
      <c r="K42" s="13">
        <v>50.019999999999996</v>
      </c>
      <c r="L42" s="13">
        <v>59.209999999999994</v>
      </c>
      <c r="M42" s="13">
        <v>68.39</v>
      </c>
      <c r="N42" s="13">
        <v>70.517499999999998</v>
      </c>
      <c r="O42" s="7"/>
      <c r="P42" s="8"/>
      <c r="Q42" s="37"/>
      <c r="R42" s="43">
        <f t="shared" si="4"/>
        <v>3.1108349173855743E-2</v>
      </c>
      <c r="S42" s="43">
        <f t="shared" si="5"/>
        <v>0.12128946022640008</v>
      </c>
      <c r="T42" s="43">
        <f t="shared" si="6"/>
        <v>9.3125778517750391E-2</v>
      </c>
      <c r="U42" s="43">
        <f t="shared" si="7"/>
        <v>0.10267354168408382</v>
      </c>
      <c r="V42" s="38"/>
      <c r="W42" s="8"/>
      <c r="X42" s="52"/>
      <c r="Y42" s="8"/>
      <c r="Z42" s="8"/>
      <c r="AA42" s="8"/>
      <c r="AB42" s="8"/>
      <c r="AC42" s="8"/>
    </row>
    <row r="43" spans="1:29" ht="20.100000000000001" customHeight="1" x14ac:dyDescent="0.25">
      <c r="B43" s="8"/>
      <c r="C43" s="27"/>
      <c r="D43" s="4" t="s">
        <v>23</v>
      </c>
      <c r="E43" s="6">
        <v>8.9441467321762911</v>
      </c>
      <c r="F43" s="6">
        <v>8.0212681428101007</v>
      </c>
      <c r="G43" s="6">
        <v>7.785591744260663</v>
      </c>
      <c r="H43" s="6">
        <v>8.4530707338408639</v>
      </c>
      <c r="I43" s="6">
        <v>7.7102895422821422</v>
      </c>
      <c r="J43" s="6">
        <v>7.41469655852464</v>
      </c>
      <c r="K43" s="6">
        <v>6.965375445657167</v>
      </c>
      <c r="L43" s="6">
        <v>5.7941596837831959</v>
      </c>
      <c r="M43" s="6">
        <v>7.5456339348619963</v>
      </c>
      <c r="N43" s="6">
        <v>6.9083135110300926</v>
      </c>
      <c r="O43" s="7"/>
      <c r="P43" s="8"/>
      <c r="Q43" s="37"/>
      <c r="R43" s="43">
        <f t="shared" si="4"/>
        <v>-8.4462144510799142E-2</v>
      </c>
      <c r="S43" s="43">
        <f t="shared" si="5"/>
        <v>-2.7382333077359267E-3</v>
      </c>
      <c r="T43" s="43">
        <f t="shared" si="6"/>
        <v>-2.1726542950177397E-2</v>
      </c>
      <c r="U43" s="43">
        <f t="shared" si="7"/>
        <v>-2.8289235845670668E-2</v>
      </c>
      <c r="V43" s="38"/>
      <c r="W43" s="8"/>
      <c r="X43" s="52"/>
      <c r="Y43" s="8"/>
      <c r="Z43" s="8"/>
      <c r="AA43" s="8"/>
      <c r="AB43" s="8"/>
      <c r="AC43" s="8"/>
    </row>
    <row r="44" spans="1:29" ht="20.100000000000001" customHeight="1" x14ac:dyDescent="0.25">
      <c r="B44" s="8"/>
      <c r="C44" s="27"/>
      <c r="D44" s="11" t="s">
        <v>85</v>
      </c>
      <c r="E44" s="13">
        <v>22.259999999999998</v>
      </c>
      <c r="F44" s="13">
        <v>26.97</v>
      </c>
      <c r="G44" s="13">
        <v>27.61</v>
      </c>
      <c r="H44" s="13">
        <v>30.2</v>
      </c>
      <c r="I44" s="13">
        <v>37.49</v>
      </c>
      <c r="J44" s="13">
        <v>36.46</v>
      </c>
      <c r="K44" s="13">
        <v>43.05</v>
      </c>
      <c r="L44" s="13">
        <v>53.410000000000004</v>
      </c>
      <c r="M44" s="13">
        <v>61.19</v>
      </c>
      <c r="N44" s="13">
        <v>62.420000000000009</v>
      </c>
      <c r="O44" s="7"/>
      <c r="P44" s="8"/>
      <c r="Q44" s="37"/>
      <c r="R44" s="43">
        <f t="shared" si="4"/>
        <v>2.0101323745710165E-2</v>
      </c>
      <c r="S44" s="43">
        <f t="shared" si="5"/>
        <v>0.13183608567544258</v>
      </c>
      <c r="T44" s="43">
        <f t="shared" si="6"/>
        <v>0.10734172550780396</v>
      </c>
      <c r="U44" s="43">
        <f t="shared" si="7"/>
        <v>0.12138669885797282</v>
      </c>
      <c r="V44" s="38"/>
      <c r="W44" s="8"/>
      <c r="X44" s="52"/>
      <c r="Y44" s="8"/>
      <c r="Z44" s="8"/>
      <c r="AA44" s="8"/>
      <c r="AB44" s="8"/>
      <c r="AC44" s="8"/>
    </row>
    <row r="45" spans="1:29" ht="20.100000000000001" customHeight="1" x14ac:dyDescent="0.25">
      <c r="B45" s="8"/>
      <c r="C45" s="27"/>
      <c r="D45" s="4" t="s">
        <v>24</v>
      </c>
      <c r="E45" s="6">
        <v>4.9509568965488332E-2</v>
      </c>
      <c r="F45" s="6">
        <v>1.9659375004958117E-2</v>
      </c>
      <c r="G45" s="6">
        <v>6.5480166057701123E-3</v>
      </c>
      <c r="H45" s="6">
        <v>-0.18794224889789626</v>
      </c>
      <c r="I45" s="6">
        <v>-9.8663004176360106E-2</v>
      </c>
      <c r="J45" s="6">
        <v>-5.9490338931944685E-2</v>
      </c>
      <c r="K45" s="6">
        <v>-4.7299809707123955E-2</v>
      </c>
      <c r="L45" s="6">
        <v>-0.18141834214287494</v>
      </c>
      <c r="M45" s="6">
        <v>-0.24046176143386319</v>
      </c>
      <c r="N45" s="6">
        <v>-0.59763317994205212</v>
      </c>
      <c r="O45" s="7"/>
      <c r="P45" s="8"/>
      <c r="Q45" s="37"/>
      <c r="R45" s="43">
        <f t="shared" si="4"/>
        <v>1.4853564091787028</v>
      </c>
      <c r="S45" s="43">
        <f t="shared" si="5"/>
        <v>1.32911948788982</v>
      </c>
      <c r="T45" s="43">
        <f t="shared" si="6"/>
        <v>0.43369269754950435</v>
      </c>
      <c r="U45" s="43">
        <f t="shared" si="7"/>
        <v>-2.318845587454939</v>
      </c>
      <c r="V45" s="38"/>
      <c r="W45" s="8"/>
      <c r="X45" s="52"/>
      <c r="Y45" s="8"/>
      <c r="Z45" s="8"/>
      <c r="AA45" s="8"/>
      <c r="AB45" s="8"/>
      <c r="AC45" s="8"/>
    </row>
    <row r="46" spans="1:29" ht="20.100000000000001" customHeight="1" x14ac:dyDescent="0.25">
      <c r="B46" s="8"/>
      <c r="C46" s="27"/>
      <c r="D46" s="11" t="s">
        <v>86</v>
      </c>
      <c r="E46" s="13">
        <v>18.490000000000002</v>
      </c>
      <c r="F46" s="13">
        <v>24.93</v>
      </c>
      <c r="G46" s="13">
        <v>26.229999999999997</v>
      </c>
      <c r="H46" s="13">
        <v>27.49</v>
      </c>
      <c r="I46" s="13">
        <v>34.83</v>
      </c>
      <c r="J46" s="13">
        <v>34.01</v>
      </c>
      <c r="K46" s="13">
        <v>40.94</v>
      </c>
      <c r="L46" s="13">
        <v>50.72</v>
      </c>
      <c r="M46" s="13">
        <v>56.65</v>
      </c>
      <c r="N46" s="13">
        <v>58.625000000000007</v>
      </c>
      <c r="O46" s="7"/>
      <c r="P46" s="8"/>
      <c r="Q46" s="37"/>
      <c r="R46" s="43">
        <f t="shared" si="4"/>
        <v>3.48631950573699E-2</v>
      </c>
      <c r="S46" s="43">
        <f t="shared" si="5"/>
        <v>0.12714123748703443</v>
      </c>
      <c r="T46" s="43">
        <f t="shared" si="6"/>
        <v>0.10975184634332558</v>
      </c>
      <c r="U46" s="43">
        <f t="shared" si="7"/>
        <v>0.13679690552858936</v>
      </c>
      <c r="V46" s="38"/>
      <c r="W46" s="8"/>
      <c r="X46" s="52"/>
      <c r="Y46" s="8"/>
      <c r="Z46" s="8"/>
      <c r="AA46" s="8"/>
      <c r="AB46" s="8"/>
      <c r="AC46" s="8"/>
    </row>
    <row r="47" spans="1:29" ht="20.100000000000001" customHeight="1" x14ac:dyDescent="0.25">
      <c r="B47" s="8"/>
      <c r="C47" s="27"/>
      <c r="D47" s="11" t="s">
        <v>87</v>
      </c>
      <c r="E47" s="13">
        <v>9.9030770551765119</v>
      </c>
      <c r="F47" s="13">
        <v>17.001533002663237</v>
      </c>
      <c r="G47" s="13">
        <v>15.652378894432875</v>
      </c>
      <c r="H47" s="13">
        <v>7.6605953525432824</v>
      </c>
      <c r="I47" s="13">
        <v>23.283908400369988</v>
      </c>
      <c r="J47" s="13">
        <v>27.262059017675966</v>
      </c>
      <c r="K47" s="13">
        <v>39.829720685054355</v>
      </c>
      <c r="L47" s="13">
        <v>49.750148805811087</v>
      </c>
      <c r="M47" s="13">
        <v>50.272694865252532</v>
      </c>
      <c r="N47" s="13">
        <v>52.203647303796252</v>
      </c>
      <c r="O47" s="7"/>
      <c r="P47" s="8"/>
      <c r="Q47" s="37"/>
      <c r="R47" s="43">
        <f t="shared" si="4"/>
        <v>3.8409566937267048E-2</v>
      </c>
      <c r="S47" s="43">
        <f t="shared" si="5"/>
        <v>9.4370880598780849E-2</v>
      </c>
      <c r="T47" s="43">
        <f t="shared" si="6"/>
        <v>0.17524657160606116</v>
      </c>
      <c r="U47" s="43">
        <f t="shared" si="7"/>
        <v>0.20285844312976886</v>
      </c>
      <c r="V47" s="38"/>
      <c r="W47" s="8"/>
      <c r="X47" s="54"/>
      <c r="Y47" s="8"/>
      <c r="Z47" s="8"/>
      <c r="AA47" s="8"/>
      <c r="AB47" s="8"/>
      <c r="AC47" s="8"/>
    </row>
    <row r="48" spans="1:29" ht="20.100000000000001" customHeight="1" x14ac:dyDescent="0.25">
      <c r="B48" s="8"/>
      <c r="C48" s="27"/>
      <c r="D48" s="7"/>
      <c r="E48" s="8"/>
      <c r="F48" s="8"/>
      <c r="G48" s="8"/>
      <c r="H48" s="89"/>
      <c r="I48" s="8"/>
      <c r="J48" s="8"/>
      <c r="K48" s="8"/>
      <c r="L48" s="8"/>
      <c r="M48" s="89"/>
      <c r="N48" s="8"/>
      <c r="O48" s="7"/>
      <c r="P48" s="8"/>
      <c r="Q48" s="37"/>
      <c r="R48" s="8"/>
      <c r="S48" s="8"/>
      <c r="T48" s="8"/>
      <c r="U48" s="8"/>
      <c r="V48" s="38"/>
      <c r="W48" s="8"/>
      <c r="X48" s="8"/>
      <c r="Y48" s="8"/>
      <c r="Z48" s="8"/>
      <c r="AA48" s="8"/>
      <c r="AB48" s="8"/>
      <c r="AC48" s="8"/>
    </row>
    <row r="49" spans="2:29" ht="18.95" customHeight="1" x14ac:dyDescent="0.25">
      <c r="B49" s="8"/>
      <c r="C49" s="27"/>
      <c r="D49" s="7"/>
      <c r="E49" s="8">
        <v>2013</v>
      </c>
      <c r="F49" s="8">
        <v>2014</v>
      </c>
      <c r="G49" s="8">
        <v>2015</v>
      </c>
      <c r="H49" s="8">
        <v>2016</v>
      </c>
      <c r="I49" s="8">
        <v>2017</v>
      </c>
      <c r="J49" s="8">
        <v>2018</v>
      </c>
      <c r="K49" s="8">
        <v>2019</v>
      </c>
      <c r="L49" s="8">
        <v>2020</v>
      </c>
      <c r="M49" s="8">
        <v>2021</v>
      </c>
      <c r="N49" s="193" t="s">
        <v>130</v>
      </c>
      <c r="O49" s="7"/>
      <c r="P49" s="8"/>
      <c r="Q49" s="37"/>
      <c r="R49" s="8"/>
      <c r="S49" s="8"/>
      <c r="T49" s="8"/>
      <c r="U49" s="8"/>
      <c r="V49" s="38"/>
      <c r="W49" s="8"/>
      <c r="X49" s="8"/>
      <c r="Y49" s="8"/>
      <c r="Z49" s="8"/>
      <c r="AA49" s="8"/>
      <c r="AB49" s="8"/>
      <c r="AC49" s="8"/>
    </row>
    <row r="50" spans="2:29" ht="18.95" customHeight="1" x14ac:dyDescent="0.25">
      <c r="B50" s="8"/>
      <c r="C50" s="27"/>
      <c r="D50" s="4" t="s">
        <v>32</v>
      </c>
      <c r="E50" s="48">
        <v>31.077938169289677</v>
      </c>
      <c r="F50" s="48">
        <v>38.043589011743485</v>
      </c>
      <c r="G50" s="48">
        <v>33.597825904614922</v>
      </c>
      <c r="H50" s="48">
        <v>30.720687585899842</v>
      </c>
      <c r="I50" s="48">
        <v>37.128070898844847</v>
      </c>
      <c r="J50" s="48">
        <v>34.680063326643314</v>
      </c>
      <c r="K50" s="48">
        <v>34.486364473926663</v>
      </c>
      <c r="L50" s="48">
        <v>8.9811278364412495</v>
      </c>
      <c r="M50" s="48">
        <v>15.511775739437731</v>
      </c>
      <c r="N50" s="48">
        <v>18.833278878002847</v>
      </c>
      <c r="O50" s="7"/>
      <c r="P50" s="8"/>
      <c r="Q50" s="37"/>
      <c r="R50" s="43">
        <f>IFERROR((N50/M50-1),"")</f>
        <v>0.21412784676356567</v>
      </c>
      <c r="S50" s="43">
        <f>IFERROR(((N50/K50)^(1/3) -1),"")</f>
        <v>-0.18261592052730646</v>
      </c>
      <c r="T50" s="43">
        <f>IFERROR(((N50/I50)^(1/5) -1),"")</f>
        <v>-0.12693875476408178</v>
      </c>
      <c r="U50" s="43">
        <f>IFERROR(((N50/E50)^(1/9) -1),"")</f>
        <v>-5.4132255892353043E-2</v>
      </c>
      <c r="V50" s="38"/>
      <c r="W50" s="8"/>
      <c r="X50" s="52"/>
      <c r="Y50" s="8"/>
      <c r="Z50" s="8"/>
      <c r="AA50" s="8"/>
      <c r="AB50" s="8"/>
      <c r="AC50" s="8"/>
    </row>
    <row r="51" spans="2:29" ht="18.95" customHeight="1" x14ac:dyDescent="0.25">
      <c r="B51" s="8"/>
      <c r="C51" s="27"/>
      <c r="D51" s="4" t="s">
        <v>33</v>
      </c>
      <c r="E51" s="48">
        <v>51.000400160064032</v>
      </c>
      <c r="F51" s="48">
        <v>51.011461801465764</v>
      </c>
      <c r="G51" s="48">
        <v>45.713503149821967</v>
      </c>
      <c r="H51" s="48">
        <v>49.674471015400023</v>
      </c>
      <c r="I51" s="48">
        <v>56.542077338211335</v>
      </c>
      <c r="J51" s="48">
        <v>51.432797189868737</v>
      </c>
      <c r="K51" s="48">
        <v>53.302812062784575</v>
      </c>
      <c r="L51" s="48">
        <v>10.440357556440883</v>
      </c>
      <c r="M51" s="48">
        <v>18.973503188705557</v>
      </c>
      <c r="N51" s="48">
        <v>23.936410403447692</v>
      </c>
      <c r="O51" s="7"/>
      <c r="P51" s="8"/>
      <c r="Q51" s="37"/>
      <c r="R51" s="43">
        <f>IFERROR((N51/M51-1),"")</f>
        <v>0.26157042088550231</v>
      </c>
      <c r="S51" s="43">
        <f>IFERROR(((N51/K51)^(1/3) -1),"")</f>
        <v>-0.23422185602952794</v>
      </c>
      <c r="T51" s="43">
        <f>IFERROR(((N51/I51)^(1/5) -1),"")</f>
        <v>-0.15795082937096838</v>
      </c>
      <c r="U51" s="43">
        <f>IFERROR(((N51/E51)^(1/9) -1),"")</f>
        <v>-8.061295026747628E-2</v>
      </c>
      <c r="V51" s="38"/>
      <c r="W51" s="8"/>
      <c r="X51" s="52"/>
      <c r="Y51" s="8"/>
      <c r="Z51" s="8"/>
      <c r="AA51" s="8"/>
      <c r="AB51" s="8"/>
      <c r="AC51" s="8"/>
    </row>
    <row r="52" spans="2:29" ht="18.95" customHeight="1" x14ac:dyDescent="0.25">
      <c r="B52" s="8"/>
      <c r="C52" s="27"/>
      <c r="D52" s="4" t="s">
        <v>81</v>
      </c>
      <c r="E52" s="48">
        <v>60.657211718416072</v>
      </c>
      <c r="F52" s="48">
        <v>54.758421147670269</v>
      </c>
      <c r="G52" s="48">
        <v>47.770426428603798</v>
      </c>
      <c r="H52" s="48">
        <v>48.377204545769906</v>
      </c>
      <c r="I52" s="48">
        <v>57.095416556398803</v>
      </c>
      <c r="J52" s="48">
        <v>53.299501456319355</v>
      </c>
      <c r="K52" s="48">
        <v>53.119423577073967</v>
      </c>
      <c r="L52" s="48">
        <v>10.700074796985986</v>
      </c>
      <c r="M52" s="48">
        <v>18.51162361513947</v>
      </c>
      <c r="N52" s="48">
        <v>22.26675637507558</v>
      </c>
      <c r="O52" s="7"/>
      <c r="P52" s="8"/>
      <c r="Q52" s="37"/>
      <c r="R52" s="43">
        <f>IFERROR((N52/M52-1),"")</f>
        <v>0.202852696122507</v>
      </c>
      <c r="S52" s="43">
        <f>IFERROR(((N52/K52)^(1/3) -1),"")</f>
        <v>-0.25159869761830767</v>
      </c>
      <c r="T52" s="43">
        <f>IFERROR(((N52/I52)^(1/5) -1),"")</f>
        <v>-0.171655215159075</v>
      </c>
      <c r="U52" s="43">
        <f>IFERROR(((N52/E52)^(1/9) -1),"")</f>
        <v>-0.10537380005556485</v>
      </c>
      <c r="V52" s="38"/>
      <c r="W52" s="8"/>
      <c r="X52" s="54"/>
      <c r="Y52" s="8"/>
      <c r="Z52" s="8"/>
      <c r="AA52" s="8"/>
      <c r="AB52" s="8"/>
      <c r="AC52" s="8"/>
    </row>
    <row r="53" spans="2:29" ht="20.100000000000001" customHeight="1" x14ac:dyDescent="0.25">
      <c r="B53" s="8"/>
      <c r="C53" s="27"/>
      <c r="D53" s="4" t="s">
        <v>34</v>
      </c>
      <c r="E53" s="48">
        <v>55.197853201424209</v>
      </c>
      <c r="F53" s="48">
        <v>50.565445432181789</v>
      </c>
      <c r="G53" s="48">
        <v>45.395260690803589</v>
      </c>
      <c r="H53" s="48">
        <v>44.339950109232944</v>
      </c>
      <c r="I53" s="48">
        <v>53.211345482306818</v>
      </c>
      <c r="J53" s="48">
        <v>49.79934612032794</v>
      </c>
      <c r="K53" s="48">
        <v>50.570723425027829</v>
      </c>
      <c r="L53" s="48">
        <v>10.196385081349883</v>
      </c>
      <c r="M53" s="48">
        <v>17.309251933126433</v>
      </c>
      <c r="N53" s="48">
        <v>20.723009769062028</v>
      </c>
      <c r="O53" s="7"/>
      <c r="P53" s="8"/>
      <c r="Q53" s="37"/>
      <c r="R53" s="43">
        <f>IFERROR((N53/M53-1),"")</f>
        <v>0.19722156966254256</v>
      </c>
      <c r="S53" s="43">
        <f>IFERROR(((N53/K53)^(1/3) -1),"")</f>
        <v>-0.25723535790690166</v>
      </c>
      <c r="T53" s="43">
        <f>IFERROR(((N53/I53)^(1/5) -1),"")</f>
        <v>-0.17188677909198935</v>
      </c>
      <c r="U53" s="43">
        <f>IFERROR(((N53/E53)^(1/9) -1),"")</f>
        <v>-0.10313799213421326</v>
      </c>
      <c r="V53" s="38"/>
      <c r="W53" s="8"/>
      <c r="X53" s="54"/>
      <c r="Y53" s="8"/>
      <c r="Z53" s="8"/>
      <c r="AA53" s="8"/>
      <c r="AB53" s="8"/>
      <c r="AC53" s="8"/>
    </row>
    <row r="54" spans="2:29" ht="20.100000000000001" customHeight="1" x14ac:dyDescent="0.25">
      <c r="B54" s="8"/>
      <c r="C54" s="27"/>
      <c r="D54" s="4" t="s">
        <v>82</v>
      </c>
      <c r="E54" s="48">
        <v>80.233265504825283</v>
      </c>
      <c r="F54" s="48">
        <v>58.265754912032008</v>
      </c>
      <c r="G54" s="48">
        <v>54.150994697965281</v>
      </c>
      <c r="H54" s="48">
        <v>52.588563420150692</v>
      </c>
      <c r="I54" s="48">
        <v>52.126960277960379</v>
      </c>
      <c r="J54" s="48">
        <v>57.585071088635942</v>
      </c>
      <c r="K54" s="48">
        <v>58.201916687187335</v>
      </c>
      <c r="L54" s="48">
        <v>10.113123747061229</v>
      </c>
      <c r="M54" s="48">
        <v>16.906924748445839</v>
      </c>
      <c r="N54" s="48">
        <v>20.879138883838532</v>
      </c>
      <c r="O54" s="7"/>
      <c r="P54" s="8"/>
      <c r="Q54" s="37"/>
      <c r="R54" s="43">
        <f>IFERROR((N54/M54-1),"")</f>
        <v>0.23494598778277753</v>
      </c>
      <c r="S54" s="43">
        <f>IFERROR(((N54/K54)^(1/3) -1),"")</f>
        <v>-0.28945470931163075</v>
      </c>
      <c r="T54" s="43">
        <f>IFERROR(((N54/I54)^(1/5) -1),"")</f>
        <v>-0.167220479513987</v>
      </c>
      <c r="U54" s="43">
        <f>IFERROR(((N54/E54)^(1/9) -1),"")</f>
        <v>-0.13892735903171149</v>
      </c>
      <c r="V54" s="38"/>
      <c r="W54" s="8"/>
      <c r="X54" s="54"/>
      <c r="Y54" s="8"/>
      <c r="Z54" s="8"/>
      <c r="AA54" s="8"/>
      <c r="AB54" s="8"/>
      <c r="AC54" s="8"/>
    </row>
    <row r="55" spans="2:29" ht="20.100000000000001" customHeight="1" x14ac:dyDescent="0.25">
      <c r="B55" s="8"/>
      <c r="C55" s="27"/>
      <c r="D55" s="7"/>
      <c r="E55" s="8"/>
      <c r="F55" s="8"/>
      <c r="G55" s="8"/>
      <c r="H55" s="8"/>
      <c r="I55" s="8"/>
      <c r="J55" s="8"/>
      <c r="K55" s="8"/>
      <c r="L55" s="8"/>
      <c r="M55" s="8"/>
      <c r="N55" s="8"/>
      <c r="O55" s="7"/>
      <c r="P55" s="8"/>
      <c r="Q55" s="37"/>
      <c r="R55" s="8" t="str">
        <f t="shared" ref="R55" si="8">IFERROR((N55/M55-1),"")</f>
        <v/>
      </c>
      <c r="S55" s="8" t="str">
        <f t="shared" ref="S55" si="9">IFERROR(((N55/K55)^(1/3) -1),"")</f>
        <v/>
      </c>
      <c r="T55" s="8" t="str">
        <f t="shared" ref="T55" si="10">IFERROR(((N55/I55)^(1/5) -1),"")</f>
        <v/>
      </c>
      <c r="U55" s="8" t="str">
        <f t="shared" ref="U55" si="11">IFERROR(((N55/E55)^(1/9) -1),"")</f>
        <v/>
      </c>
      <c r="V55" s="38"/>
      <c r="W55" s="8"/>
      <c r="X55" s="54"/>
      <c r="Y55" s="8"/>
      <c r="Z55" s="8"/>
      <c r="AA55" s="8"/>
      <c r="AB55" s="8"/>
      <c r="AC55" s="8"/>
    </row>
    <row r="56" spans="2:29" ht="20.100000000000001" customHeight="1" x14ac:dyDescent="0.25">
      <c r="B56" s="8"/>
      <c r="C56" s="27"/>
      <c r="D56" s="7"/>
      <c r="E56" s="8"/>
      <c r="F56" s="8"/>
      <c r="G56" s="8"/>
      <c r="H56" s="8"/>
      <c r="I56" s="8"/>
      <c r="J56" s="8"/>
      <c r="K56" s="8"/>
      <c r="L56" s="8"/>
      <c r="M56" s="8"/>
      <c r="N56" s="8"/>
      <c r="O56" s="7"/>
      <c r="P56" s="8"/>
      <c r="Q56" s="37"/>
      <c r="R56" s="8"/>
      <c r="S56" s="8"/>
      <c r="T56" s="8"/>
      <c r="U56" s="8"/>
      <c r="V56" s="38"/>
      <c r="W56" s="8"/>
      <c r="X56" s="8"/>
      <c r="Y56" s="8"/>
      <c r="Z56" s="8"/>
      <c r="AA56" s="8"/>
      <c r="AB56" s="8"/>
      <c r="AC56" s="8"/>
    </row>
    <row r="57" spans="2:29" ht="20.100000000000001" customHeight="1" x14ac:dyDescent="0.25">
      <c r="B57" s="8"/>
      <c r="C57" s="72"/>
      <c r="D57" s="73"/>
      <c r="E57" s="40"/>
      <c r="F57" s="40"/>
      <c r="G57" s="40"/>
      <c r="H57" s="40"/>
      <c r="I57" s="40"/>
      <c r="J57" s="40"/>
      <c r="K57" s="40"/>
      <c r="L57" s="40"/>
      <c r="M57" s="40"/>
      <c r="N57" s="40"/>
      <c r="O57" s="73"/>
      <c r="P57" s="8"/>
      <c r="Q57" s="39"/>
      <c r="R57" s="40"/>
      <c r="S57" s="40"/>
      <c r="T57" s="40"/>
      <c r="U57" s="40"/>
      <c r="V57" s="41"/>
      <c r="W57" s="8"/>
      <c r="X57" s="8"/>
      <c r="Y57" s="8"/>
      <c r="Z57" s="8"/>
      <c r="AA57" s="8"/>
      <c r="AB57" s="8"/>
      <c r="AC57" s="8"/>
    </row>
    <row r="58" spans="2:29" ht="20.100000000000001" customHeight="1" x14ac:dyDescent="0.25">
      <c r="B58" s="8"/>
      <c r="C58" s="40"/>
      <c r="D58" s="40"/>
      <c r="E58" s="40"/>
      <c r="F58" s="40"/>
      <c r="G58" s="40"/>
      <c r="H58" s="40"/>
      <c r="I58" s="40"/>
      <c r="J58" s="40"/>
      <c r="K58" s="40"/>
      <c r="L58" s="40"/>
      <c r="M58" s="40"/>
      <c r="N58" s="40"/>
      <c r="O58" s="40"/>
      <c r="P58" s="8"/>
      <c r="Q58" s="40"/>
      <c r="R58" s="40"/>
      <c r="S58" s="40"/>
      <c r="T58" s="40"/>
      <c r="U58" s="40"/>
      <c r="V58" s="40"/>
      <c r="W58" s="8"/>
      <c r="X58" s="8"/>
      <c r="Y58" s="8"/>
      <c r="Z58" s="8"/>
      <c r="AA58" s="8"/>
      <c r="AB58" s="8"/>
      <c r="AC58" s="8"/>
    </row>
    <row r="59" spans="2:29" ht="20.100000000000001" customHeight="1" x14ac:dyDescent="0.25">
      <c r="B59" s="38"/>
      <c r="C59" s="8"/>
      <c r="D59" s="8"/>
      <c r="E59" s="8"/>
      <c r="F59" s="8"/>
      <c r="G59" s="8"/>
      <c r="H59" s="8"/>
      <c r="I59" s="8"/>
      <c r="J59" s="8"/>
      <c r="K59" s="8"/>
      <c r="L59" s="8"/>
      <c r="M59" s="8"/>
      <c r="N59" s="8"/>
      <c r="O59" s="59"/>
      <c r="P59" s="53"/>
      <c r="Q59" s="37"/>
      <c r="R59" s="8"/>
      <c r="S59" s="8"/>
      <c r="T59" s="8"/>
      <c r="U59" s="8"/>
      <c r="V59" s="59"/>
      <c r="W59" s="8"/>
      <c r="X59" s="8"/>
      <c r="Y59" s="8"/>
      <c r="Z59" s="8"/>
      <c r="AA59" s="8"/>
      <c r="AB59" s="8"/>
      <c r="AC59" s="8"/>
    </row>
    <row r="60" spans="2:29" ht="20.100000000000001" customHeight="1" x14ac:dyDescent="0.25">
      <c r="B60" s="38"/>
      <c r="C60" s="8"/>
      <c r="D60" s="8"/>
      <c r="E60" s="191" t="s">
        <v>130</v>
      </c>
      <c r="F60" s="8"/>
      <c r="G60" s="239" t="s">
        <v>118</v>
      </c>
      <c r="H60" s="239"/>
      <c r="I60" s="239" t="s">
        <v>119</v>
      </c>
      <c r="J60" s="239"/>
      <c r="K60" s="239" t="s">
        <v>120</v>
      </c>
      <c r="L60" s="239"/>
      <c r="M60" s="8"/>
      <c r="N60" s="8"/>
      <c r="O60" s="38"/>
      <c r="P60" s="53"/>
      <c r="Q60" s="8"/>
      <c r="R60" s="8"/>
      <c r="S60" s="8"/>
      <c r="T60" s="8"/>
      <c r="U60" s="8"/>
      <c r="V60" s="38"/>
      <c r="W60" s="8"/>
      <c r="X60" s="8"/>
      <c r="Y60" s="8"/>
      <c r="Z60" s="8"/>
      <c r="AA60" s="8"/>
      <c r="AB60" s="8"/>
      <c r="AC60" s="8"/>
    </row>
    <row r="61" spans="2:29" ht="18.95" customHeight="1" x14ac:dyDescent="0.25">
      <c r="B61" s="38"/>
      <c r="C61" s="8"/>
      <c r="D61" s="8" t="s">
        <v>54</v>
      </c>
      <c r="E61" s="82">
        <v>300.66500000000002</v>
      </c>
      <c r="F61" s="8"/>
      <c r="G61" s="241">
        <v>2.1193205599496783</v>
      </c>
      <c r="H61" s="241"/>
      <c r="I61" s="241">
        <v>17.538509564836264</v>
      </c>
      <c r="J61" s="241"/>
      <c r="K61" s="241">
        <v>-4.1116410894511271</v>
      </c>
      <c r="L61" s="241"/>
      <c r="M61" s="8"/>
      <c r="N61" s="8"/>
      <c r="O61" s="38"/>
      <c r="P61" s="53"/>
      <c r="Q61" s="8"/>
      <c r="R61" s="8"/>
      <c r="S61" s="8"/>
      <c r="T61" s="8"/>
      <c r="U61" s="8"/>
      <c r="V61" s="38"/>
      <c r="W61" s="8"/>
      <c r="X61" s="8"/>
      <c r="Y61" s="8"/>
      <c r="Z61" s="8"/>
      <c r="AA61" s="8"/>
      <c r="AB61" s="8"/>
      <c r="AC61" s="8"/>
    </row>
    <row r="62" spans="2:29" ht="18.95" customHeight="1" x14ac:dyDescent="0.25">
      <c r="B62" s="8"/>
      <c r="C62" s="27"/>
      <c r="D62" s="8" t="s">
        <v>7</v>
      </c>
      <c r="E62" s="82">
        <v>0</v>
      </c>
      <c r="F62" s="8"/>
      <c r="G62" s="241"/>
      <c r="H62" s="241"/>
      <c r="I62" s="241"/>
      <c r="J62" s="241"/>
      <c r="K62" s="241"/>
      <c r="L62" s="241"/>
      <c r="M62" s="8"/>
      <c r="N62" s="8"/>
      <c r="O62" s="7"/>
      <c r="P62" s="8"/>
      <c r="Q62" s="37"/>
      <c r="R62" s="8"/>
      <c r="S62" s="8"/>
      <c r="T62" s="8"/>
      <c r="U62" s="8"/>
      <c r="V62" s="38"/>
      <c r="W62" s="8"/>
      <c r="X62" s="8"/>
      <c r="Y62" s="8"/>
      <c r="Z62" s="8"/>
      <c r="AA62" s="8"/>
      <c r="AB62" s="8"/>
      <c r="AC62" s="8"/>
    </row>
    <row r="63" spans="2:29" ht="18.95" customHeight="1" x14ac:dyDescent="0.25">
      <c r="B63" s="8"/>
      <c r="C63" s="27"/>
      <c r="D63" s="8" t="s">
        <v>55</v>
      </c>
      <c r="E63" s="82">
        <v>300.66500000000002</v>
      </c>
      <c r="F63" s="8"/>
      <c r="G63" s="8"/>
      <c r="H63" s="8"/>
      <c r="I63" s="8"/>
      <c r="J63" s="8"/>
      <c r="K63" s="8"/>
      <c r="L63" s="8"/>
      <c r="M63" s="8"/>
      <c r="N63" s="8"/>
      <c r="O63" s="7"/>
      <c r="P63" s="8"/>
      <c r="Q63" s="37"/>
      <c r="R63" s="8"/>
      <c r="S63" s="8"/>
      <c r="T63" s="8"/>
      <c r="U63" s="8"/>
      <c r="V63" s="38"/>
      <c r="W63" s="8"/>
      <c r="X63" s="8"/>
      <c r="Y63" s="8"/>
      <c r="Z63" s="8"/>
      <c r="AA63" s="8"/>
      <c r="AB63" s="8"/>
      <c r="AC63" s="8"/>
    </row>
    <row r="64" spans="2:29" ht="20.100000000000001" customHeight="1" x14ac:dyDescent="0.25">
      <c r="B64" s="8"/>
      <c r="C64" s="27"/>
      <c r="D64" s="8" t="s">
        <v>56</v>
      </c>
      <c r="E64" s="82">
        <v>0</v>
      </c>
      <c r="F64" s="8"/>
      <c r="G64" s="8"/>
      <c r="H64" s="8"/>
      <c r="I64" s="8"/>
      <c r="J64" s="8"/>
      <c r="K64" s="8"/>
      <c r="L64" s="8"/>
      <c r="M64" s="8"/>
      <c r="N64" s="8"/>
      <c r="O64" s="7"/>
      <c r="P64" s="8"/>
      <c r="Q64" s="37"/>
      <c r="R64" s="8"/>
      <c r="S64" s="8"/>
      <c r="T64" s="8"/>
      <c r="U64" s="8"/>
      <c r="V64" s="38"/>
      <c r="W64" s="8"/>
      <c r="X64" s="8"/>
      <c r="Y64" s="8"/>
      <c r="Z64" s="8"/>
      <c r="AA64" s="8"/>
      <c r="AB64" s="8"/>
      <c r="AC64" s="8"/>
    </row>
    <row r="65" spans="2:29" ht="20.100000000000001" customHeight="1" x14ac:dyDescent="0.25">
      <c r="B65" s="8"/>
      <c r="C65" s="27"/>
      <c r="D65" s="8" t="s">
        <v>52</v>
      </c>
      <c r="E65" s="82">
        <v>300.66500000000002</v>
      </c>
      <c r="F65" s="8"/>
      <c r="G65" s="8"/>
      <c r="H65" s="8"/>
      <c r="I65" s="8"/>
      <c r="J65" s="8"/>
      <c r="K65" s="8"/>
      <c r="L65" s="8"/>
      <c r="M65" s="8"/>
      <c r="N65" s="8"/>
      <c r="O65" s="7"/>
      <c r="P65" s="8"/>
      <c r="Q65" s="37"/>
      <c r="R65" s="8"/>
      <c r="S65" s="8"/>
      <c r="T65" s="8"/>
      <c r="U65" s="8"/>
      <c r="V65" s="38"/>
      <c r="W65" s="8"/>
      <c r="X65" s="8"/>
      <c r="Y65" s="8"/>
      <c r="Z65" s="8"/>
      <c r="AA65" s="8"/>
      <c r="AB65" s="8"/>
      <c r="AC65" s="8"/>
    </row>
    <row r="66" spans="2:29" ht="20.100000000000001" customHeight="1" x14ac:dyDescent="0.25">
      <c r="B66" s="8"/>
      <c r="C66" s="27"/>
      <c r="D66" s="8" t="s">
        <v>9</v>
      </c>
      <c r="E66" s="82">
        <v>17.172999999999998</v>
      </c>
      <c r="F66" s="8"/>
      <c r="G66" s="8"/>
      <c r="H66" s="8"/>
      <c r="I66" s="8"/>
      <c r="J66" s="8"/>
      <c r="K66" s="8"/>
      <c r="L66" s="8"/>
      <c r="M66" s="8"/>
      <c r="N66" s="8"/>
      <c r="O66" s="7"/>
      <c r="P66" s="8"/>
      <c r="Q66" s="37"/>
      <c r="R66" s="8"/>
      <c r="S66" s="8"/>
      <c r="T66" s="8"/>
      <c r="U66" s="8"/>
      <c r="V66" s="38"/>
      <c r="W66" s="8"/>
      <c r="X66" s="8"/>
      <c r="Y66" s="8"/>
      <c r="Z66" s="8"/>
      <c r="AA66" s="8"/>
      <c r="AB66" s="8"/>
      <c r="AC66" s="8"/>
    </row>
    <row r="67" spans="2:29" ht="20.100000000000001" customHeight="1" x14ac:dyDescent="0.25">
      <c r="B67" s="8"/>
      <c r="C67" s="27"/>
      <c r="D67" s="8" t="s">
        <v>10</v>
      </c>
      <c r="E67" s="82">
        <v>52.036000000000001</v>
      </c>
      <c r="F67" s="8"/>
      <c r="G67" s="8"/>
      <c r="H67" s="8"/>
      <c r="I67" s="8"/>
      <c r="J67" s="8"/>
      <c r="K67" s="8"/>
      <c r="L67" s="8"/>
      <c r="M67" s="8"/>
      <c r="N67" s="8"/>
      <c r="O67" s="7"/>
      <c r="P67" s="8"/>
      <c r="Q67" s="37"/>
      <c r="R67" s="8"/>
      <c r="S67" s="8"/>
      <c r="T67" s="8"/>
      <c r="U67" s="8"/>
      <c r="V67" s="38"/>
      <c r="W67" s="8"/>
      <c r="X67" s="8"/>
      <c r="Y67" s="8"/>
      <c r="Z67" s="8"/>
      <c r="AA67" s="8"/>
      <c r="AB67" s="8"/>
      <c r="AC67" s="8"/>
    </row>
    <row r="68" spans="2:29" ht="20.100000000000001" customHeight="1" x14ac:dyDescent="0.25">
      <c r="B68" s="8"/>
      <c r="C68" s="27"/>
      <c r="D68" s="8" t="s">
        <v>14</v>
      </c>
      <c r="E68" s="82">
        <v>69.209000000000003</v>
      </c>
      <c r="F68" s="8"/>
      <c r="G68" s="8"/>
      <c r="H68" s="8"/>
      <c r="I68" s="8"/>
      <c r="J68" s="8"/>
      <c r="K68" s="8"/>
      <c r="L68" s="8"/>
      <c r="M68" s="8"/>
      <c r="N68" s="8"/>
      <c r="O68" s="7"/>
      <c r="P68" s="8"/>
      <c r="Q68" s="37"/>
      <c r="R68" s="8"/>
      <c r="S68" s="8"/>
      <c r="T68" s="8"/>
      <c r="U68" s="8"/>
      <c r="V68" s="38"/>
      <c r="W68" s="8"/>
      <c r="X68" s="8"/>
      <c r="Y68" s="8"/>
      <c r="Z68" s="8"/>
      <c r="AA68" s="8"/>
      <c r="AB68" s="8"/>
      <c r="AC68" s="8"/>
    </row>
    <row r="69" spans="2:29" ht="20.100000000000001" customHeight="1" x14ac:dyDescent="0.25">
      <c r="B69" s="8"/>
      <c r="C69" s="27"/>
      <c r="D69" s="8" t="s">
        <v>15</v>
      </c>
      <c r="E69" s="82">
        <v>69.209000000000003</v>
      </c>
      <c r="F69" s="8"/>
      <c r="G69" s="8"/>
      <c r="H69" s="8"/>
      <c r="I69" s="8"/>
      <c r="J69" s="8"/>
      <c r="K69" s="8"/>
      <c r="L69" s="8"/>
      <c r="M69" s="8"/>
      <c r="N69" s="8"/>
      <c r="O69" s="7"/>
      <c r="P69" s="8"/>
      <c r="Q69" s="37"/>
      <c r="R69" s="8"/>
      <c r="S69" s="8"/>
      <c r="T69" s="8"/>
      <c r="U69" s="8"/>
      <c r="V69" s="38"/>
      <c r="W69" s="8"/>
      <c r="X69" s="8"/>
      <c r="Y69" s="8"/>
      <c r="Z69" s="8"/>
      <c r="AA69" s="8"/>
      <c r="AB69" s="8"/>
      <c r="AC69" s="8"/>
    </row>
    <row r="70" spans="2:29" ht="20.100000000000001" customHeight="1" x14ac:dyDescent="0.25">
      <c r="B70" s="8"/>
      <c r="C70" s="27"/>
      <c r="D70" s="81" t="s">
        <v>53</v>
      </c>
      <c r="E70" s="83">
        <v>-231.45599999999999</v>
      </c>
      <c r="F70" s="8"/>
      <c r="G70" s="8"/>
      <c r="H70" s="8"/>
      <c r="I70" s="8"/>
      <c r="J70" s="8"/>
      <c r="K70" s="8"/>
      <c r="L70" s="8"/>
      <c r="M70" s="8"/>
      <c r="N70" s="8"/>
      <c r="O70" s="7"/>
      <c r="P70" s="8"/>
      <c r="Q70" s="37"/>
      <c r="R70" s="8"/>
      <c r="S70" s="8"/>
      <c r="T70" s="8"/>
      <c r="U70" s="8"/>
      <c r="V70" s="38"/>
      <c r="W70" s="8"/>
      <c r="X70" s="8"/>
      <c r="Y70" s="8"/>
      <c r="Z70" s="8"/>
      <c r="AA70" s="8"/>
      <c r="AB70" s="8"/>
      <c r="AC70" s="8"/>
    </row>
    <row r="71" spans="2:29" ht="18.95" customHeight="1" x14ac:dyDescent="0.25">
      <c r="B71" s="8"/>
      <c r="C71" s="27"/>
      <c r="D71" s="8"/>
      <c r="E71" s="8"/>
      <c r="F71" s="8"/>
      <c r="G71" s="8"/>
      <c r="H71" s="8"/>
      <c r="I71" s="8"/>
      <c r="J71" s="8"/>
      <c r="K71" s="8"/>
      <c r="L71" s="8"/>
      <c r="M71" s="8"/>
      <c r="N71" s="8"/>
      <c r="O71" s="7"/>
      <c r="P71" s="8"/>
      <c r="Q71" s="37"/>
      <c r="R71" s="8"/>
      <c r="S71" s="8"/>
      <c r="T71" s="8"/>
      <c r="U71" s="8"/>
      <c r="V71" s="38"/>
      <c r="W71" s="8"/>
      <c r="X71" s="8"/>
      <c r="Y71" s="8"/>
      <c r="Z71" s="8"/>
      <c r="AA71" s="8"/>
      <c r="AB71" s="8"/>
      <c r="AC71" s="8"/>
    </row>
    <row r="72" spans="2:29" ht="18.95" customHeight="1" x14ac:dyDescent="0.25">
      <c r="B72" s="8"/>
      <c r="C72" s="27"/>
      <c r="D72" s="8"/>
      <c r="E72" s="8">
        <v>2013</v>
      </c>
      <c r="F72" s="8">
        <v>2014</v>
      </c>
      <c r="G72" s="8">
        <v>2015</v>
      </c>
      <c r="H72" s="8">
        <v>2016</v>
      </c>
      <c r="I72" s="8">
        <v>2017</v>
      </c>
      <c r="J72" s="8">
        <v>2018</v>
      </c>
      <c r="K72" s="8">
        <v>2019</v>
      </c>
      <c r="L72" s="8">
        <v>2020</v>
      </c>
      <c r="M72" s="8">
        <v>2021</v>
      </c>
      <c r="N72" s="191" t="s">
        <v>130</v>
      </c>
      <c r="O72" s="7"/>
      <c r="P72" s="8"/>
      <c r="Q72" s="37"/>
      <c r="R72" s="8"/>
      <c r="S72" s="8"/>
      <c r="T72" s="8"/>
      <c r="U72" s="8"/>
      <c r="V72" s="38"/>
      <c r="W72" s="8"/>
      <c r="X72" s="8"/>
      <c r="Y72" s="8"/>
      <c r="Z72" s="8"/>
      <c r="AA72" s="8"/>
      <c r="AB72" s="8"/>
      <c r="AC72" s="8"/>
    </row>
    <row r="73" spans="2:29" ht="18.95" customHeight="1" x14ac:dyDescent="0.25">
      <c r="B73" s="8"/>
      <c r="C73" s="27"/>
      <c r="D73" s="4" t="s">
        <v>76</v>
      </c>
      <c r="E73" s="48">
        <v>1.6809934360221908</v>
      </c>
      <c r="F73" s="48">
        <v>1.526209553910739</v>
      </c>
      <c r="G73" s="48">
        <v>1.2809548573249903</v>
      </c>
      <c r="H73" s="48">
        <v>1.1175303432122186</v>
      </c>
      <c r="I73" s="48">
        <v>1.0660224576752302</v>
      </c>
      <c r="J73" s="48">
        <v>1.0197833430982686</v>
      </c>
      <c r="K73" s="48">
        <v>0.84243596830661505</v>
      </c>
      <c r="L73" s="48">
        <v>0.177063480243046</v>
      </c>
      <c r="M73" s="48">
        <v>0.27383004186195115</v>
      </c>
      <c r="N73" s="48">
        <v>0.32113732238261622</v>
      </c>
      <c r="O73" s="7"/>
      <c r="P73" s="8"/>
      <c r="Q73" s="37"/>
      <c r="R73" s="8"/>
      <c r="S73" s="8"/>
      <c r="T73" s="8"/>
      <c r="U73" s="8"/>
      <c r="V73" s="38"/>
      <c r="W73" s="8"/>
      <c r="X73" s="8"/>
      <c r="Y73" s="8"/>
      <c r="Z73" s="8"/>
      <c r="AA73" s="8"/>
      <c r="AB73" s="8"/>
      <c r="AC73" s="8"/>
    </row>
    <row r="74" spans="2:29" ht="18.95" customHeight="1" x14ac:dyDescent="0.25">
      <c r="B74" s="8"/>
      <c r="C74" s="27"/>
      <c r="D74" s="4" t="s">
        <v>77</v>
      </c>
      <c r="E74" s="48">
        <v>65535</v>
      </c>
      <c r="F74" s="48">
        <v>65535</v>
      </c>
      <c r="G74" s="48"/>
      <c r="H74" s="48"/>
      <c r="I74" s="48"/>
      <c r="J74" s="48"/>
      <c r="K74" s="48"/>
      <c r="L74" s="48"/>
      <c r="M74" s="48">
        <v>46.414585698070375</v>
      </c>
      <c r="N74" s="48"/>
      <c r="O74" s="7"/>
      <c r="P74" s="8"/>
      <c r="Q74" s="37"/>
      <c r="R74" s="8"/>
      <c r="S74" s="8"/>
      <c r="T74" s="8"/>
      <c r="U74" s="8"/>
      <c r="V74" s="38"/>
      <c r="W74" s="8"/>
      <c r="X74" s="8"/>
      <c r="Y74" s="8"/>
      <c r="Z74" s="8"/>
      <c r="AA74" s="8"/>
      <c r="AB74" s="8"/>
      <c r="AC74" s="8"/>
    </row>
    <row r="75" spans="2:29" x14ac:dyDescent="0.25">
      <c r="B75" s="8"/>
      <c r="C75" s="27"/>
      <c r="D75" s="4" t="s">
        <v>80</v>
      </c>
      <c r="E75" s="48">
        <v>65535</v>
      </c>
      <c r="F75" s="48">
        <v>65535</v>
      </c>
      <c r="G75" s="48">
        <v>65535</v>
      </c>
      <c r="H75" s="48">
        <v>65535</v>
      </c>
      <c r="I75" s="48">
        <v>65535</v>
      </c>
      <c r="J75" s="48">
        <v>65535</v>
      </c>
      <c r="K75" s="48">
        <v>65535</v>
      </c>
      <c r="L75" s="48">
        <v>65535</v>
      </c>
      <c r="M75" s="48">
        <v>65535</v>
      </c>
      <c r="N75" s="48">
        <v>65535</v>
      </c>
      <c r="O75" s="7"/>
      <c r="P75" s="8"/>
      <c r="Q75" s="37"/>
      <c r="R75" s="8"/>
      <c r="S75" s="8"/>
      <c r="T75" s="8"/>
      <c r="U75" s="8"/>
      <c r="V75" s="38"/>
      <c r="W75" s="8"/>
      <c r="X75" s="8"/>
      <c r="Y75" s="8"/>
      <c r="Z75" s="8"/>
      <c r="AA75" s="8"/>
      <c r="AB75" s="8"/>
    </row>
    <row r="76" spans="2:29" x14ac:dyDescent="0.25">
      <c r="B76" s="8"/>
      <c r="C76" s="27"/>
      <c r="D76" s="8"/>
      <c r="E76" s="8"/>
      <c r="F76" s="8"/>
      <c r="G76" s="8"/>
      <c r="H76" s="8"/>
      <c r="I76" s="8"/>
      <c r="J76" s="8"/>
      <c r="K76" s="8"/>
      <c r="L76" s="8"/>
      <c r="M76" s="8"/>
      <c r="N76" s="8"/>
      <c r="O76" s="7"/>
      <c r="P76" s="8"/>
      <c r="Q76" s="37"/>
      <c r="R76" s="8"/>
      <c r="S76" s="8"/>
      <c r="T76" s="8"/>
      <c r="U76" s="8"/>
      <c r="V76" s="38"/>
      <c r="W76" s="8"/>
      <c r="X76" s="8"/>
      <c r="Y76" s="8"/>
      <c r="Z76" s="8"/>
      <c r="AA76" s="8"/>
      <c r="AB76" s="8"/>
    </row>
    <row r="77" spans="2:29" x14ac:dyDescent="0.25">
      <c r="B77" s="8"/>
      <c r="C77" s="27"/>
      <c r="D77" s="8"/>
      <c r="E77" s="8">
        <v>2013</v>
      </c>
      <c r="F77" s="8">
        <v>2014</v>
      </c>
      <c r="G77" s="8">
        <v>2015</v>
      </c>
      <c r="H77" s="8">
        <v>2016</v>
      </c>
      <c r="I77" s="8">
        <v>2017</v>
      </c>
      <c r="J77" s="8">
        <v>2018</v>
      </c>
      <c r="K77" s="8">
        <v>2019</v>
      </c>
      <c r="L77" s="8">
        <v>2020</v>
      </c>
      <c r="M77" s="8">
        <v>2021</v>
      </c>
      <c r="N77" s="191" t="s">
        <v>130</v>
      </c>
      <c r="O77" s="7"/>
      <c r="P77" s="8"/>
      <c r="Q77" s="37"/>
      <c r="R77" s="8"/>
      <c r="S77" s="8"/>
      <c r="T77" s="8"/>
      <c r="U77" s="8"/>
      <c r="V77" s="38"/>
      <c r="W77" s="8"/>
      <c r="X77" s="8"/>
      <c r="Y77" s="8"/>
      <c r="Z77" s="8"/>
      <c r="AA77" s="8"/>
      <c r="AB77" s="8"/>
    </row>
    <row r="78" spans="2:29" x14ac:dyDescent="0.25">
      <c r="B78" s="8"/>
      <c r="C78" s="27"/>
      <c r="D78" s="4" t="s">
        <v>8</v>
      </c>
      <c r="E78" s="48">
        <v>5.6021739999999998</v>
      </c>
      <c r="F78" s="48">
        <v>8.2950429999999997</v>
      </c>
      <c r="G78" s="48">
        <v>19.93</v>
      </c>
      <c r="H78" s="48">
        <v>26.187999999999999</v>
      </c>
      <c r="I78" s="48">
        <v>49.271999999999998</v>
      </c>
      <c r="J78" s="48">
        <v>84.950999999999993</v>
      </c>
      <c r="K78" s="48">
        <v>182.52</v>
      </c>
      <c r="L78" s="48">
        <v>221.67500000000001</v>
      </c>
      <c r="M78" s="48">
        <v>421.43200000000002</v>
      </c>
      <c r="N78" s="48">
        <v>300.66500000000002</v>
      </c>
      <c r="O78" s="7"/>
      <c r="P78" s="8"/>
      <c r="Q78" s="37"/>
      <c r="R78" s="8"/>
      <c r="S78" s="8"/>
      <c r="T78" s="8"/>
      <c r="U78" s="8"/>
      <c r="V78" s="38"/>
      <c r="W78" s="8"/>
      <c r="X78" s="8"/>
      <c r="Y78" s="8"/>
      <c r="Z78" s="8"/>
      <c r="AA78" s="8"/>
      <c r="AB78" s="8"/>
    </row>
    <row r="79" spans="2:29" x14ac:dyDescent="0.25">
      <c r="B79" s="8"/>
      <c r="C79" s="27"/>
      <c r="D79" s="4" t="s">
        <v>14</v>
      </c>
      <c r="E79" s="48">
        <v>2.629451</v>
      </c>
      <c r="F79" s="48">
        <v>4.5451079999999999</v>
      </c>
      <c r="G79" s="48">
        <v>7.2270000000000003</v>
      </c>
      <c r="H79" s="48">
        <v>8.5709999999999997</v>
      </c>
      <c r="I79" s="48">
        <v>7.6429999999999998</v>
      </c>
      <c r="J79" s="48">
        <v>6.569</v>
      </c>
      <c r="K79" s="48">
        <v>25.038</v>
      </c>
      <c r="L79" s="48">
        <v>49.969000000000001</v>
      </c>
      <c r="M79" s="48">
        <v>67.81</v>
      </c>
      <c r="N79" s="48">
        <v>69.209000000000003</v>
      </c>
      <c r="O79" s="7"/>
      <c r="P79" s="8"/>
      <c r="Q79" s="37"/>
      <c r="R79" s="8"/>
      <c r="S79" s="8"/>
      <c r="T79" s="8"/>
      <c r="U79" s="8"/>
      <c r="V79" s="38"/>
      <c r="W79" s="8"/>
      <c r="X79" s="8"/>
      <c r="Y79" s="8"/>
      <c r="Z79" s="8"/>
      <c r="AA79" s="8"/>
      <c r="AB79" s="8"/>
    </row>
    <row r="80" spans="2:29" x14ac:dyDescent="0.25">
      <c r="B80" s="8"/>
      <c r="C80" s="27"/>
      <c r="D80" s="8"/>
      <c r="E80" s="8"/>
      <c r="F80" s="8"/>
      <c r="G80" s="8"/>
      <c r="H80" s="8"/>
      <c r="I80" s="8"/>
      <c r="J80" s="8"/>
      <c r="K80" s="8"/>
      <c r="L80" s="8"/>
      <c r="M80" s="8"/>
      <c r="N80" s="8"/>
      <c r="O80" s="7"/>
      <c r="P80" s="8"/>
      <c r="Q80" s="37"/>
      <c r="R80" s="8"/>
      <c r="S80" s="8"/>
      <c r="T80" s="8"/>
      <c r="U80" s="8"/>
      <c r="V80" s="38"/>
      <c r="W80" s="8"/>
      <c r="X80" s="8"/>
      <c r="Y80" s="8"/>
      <c r="Z80" s="8"/>
      <c r="AA80" s="8"/>
      <c r="AB80" s="8"/>
    </row>
    <row r="81" spans="2:28" x14ac:dyDescent="0.25">
      <c r="B81" s="8"/>
      <c r="C81" s="27"/>
      <c r="D81" s="8"/>
      <c r="E81" s="8"/>
      <c r="F81" s="8"/>
      <c r="G81" s="8"/>
      <c r="H81" s="8"/>
      <c r="I81" s="8"/>
      <c r="J81" s="8"/>
      <c r="K81" s="8"/>
      <c r="L81" s="8"/>
      <c r="M81" s="8"/>
      <c r="N81" s="8"/>
      <c r="O81" s="7"/>
      <c r="P81" s="8"/>
      <c r="Q81" s="37"/>
      <c r="R81" s="8"/>
      <c r="S81" s="8"/>
      <c r="T81" s="8"/>
      <c r="U81" s="8"/>
      <c r="V81" s="38"/>
      <c r="W81" s="8"/>
      <c r="X81" s="8"/>
      <c r="Y81" s="8"/>
      <c r="Z81" s="8"/>
      <c r="AA81" s="8"/>
      <c r="AB81" s="8"/>
    </row>
    <row r="82" spans="2:28" x14ac:dyDescent="0.25">
      <c r="B82" s="8"/>
      <c r="C82" s="27"/>
      <c r="D82" s="8"/>
      <c r="E82" s="8"/>
      <c r="F82" s="8"/>
      <c r="G82" s="8"/>
      <c r="H82" s="8"/>
      <c r="I82" s="8"/>
      <c r="J82" s="8"/>
      <c r="K82" s="8"/>
      <c r="L82" s="8"/>
      <c r="M82" s="8"/>
      <c r="N82" s="8"/>
      <c r="O82" s="7"/>
      <c r="P82" s="8"/>
      <c r="Q82" s="37"/>
      <c r="R82" s="8"/>
      <c r="S82" s="8"/>
      <c r="T82" s="8"/>
      <c r="U82" s="8"/>
      <c r="V82" s="38"/>
      <c r="W82" s="8"/>
      <c r="X82" s="8"/>
      <c r="Y82" s="8"/>
      <c r="Z82" s="8"/>
      <c r="AA82" s="8"/>
      <c r="AB82" s="8"/>
    </row>
    <row r="83" spans="2:28" x14ac:dyDescent="0.25">
      <c r="B83" s="8"/>
      <c r="C83" s="27"/>
      <c r="D83" s="8"/>
      <c r="E83" s="8"/>
      <c r="F83" s="8"/>
      <c r="G83" s="8"/>
      <c r="H83" s="8"/>
      <c r="I83" s="8"/>
      <c r="J83" s="8"/>
      <c r="K83" s="8"/>
      <c r="L83" s="8"/>
      <c r="M83" s="8"/>
      <c r="N83" s="8"/>
      <c r="O83" s="7"/>
      <c r="P83" s="8"/>
      <c r="Q83" s="37"/>
      <c r="R83" s="8"/>
      <c r="S83" s="8"/>
      <c r="T83" s="8"/>
      <c r="U83" s="8"/>
      <c r="V83" s="38"/>
      <c r="W83" s="8"/>
      <c r="X83" s="8"/>
      <c r="Y83" s="8"/>
      <c r="Z83" s="8"/>
      <c r="AA83" s="8"/>
      <c r="AB83" s="8"/>
    </row>
    <row r="84" spans="2:28" x14ac:dyDescent="0.25">
      <c r="B84" s="8"/>
      <c r="C84" s="27"/>
      <c r="D84" s="8"/>
      <c r="E84" s="8"/>
      <c r="F84" s="8"/>
      <c r="G84" s="8"/>
      <c r="H84" s="8"/>
      <c r="I84" s="8"/>
      <c r="J84" s="8"/>
      <c r="K84" s="8"/>
      <c r="L84" s="8"/>
      <c r="M84" s="8"/>
      <c r="N84" s="8"/>
      <c r="O84" s="7"/>
      <c r="P84" s="8"/>
      <c r="Q84" s="37"/>
      <c r="R84" s="8"/>
      <c r="S84" s="8"/>
      <c r="T84" s="8"/>
      <c r="U84" s="8"/>
      <c r="V84" s="38"/>
      <c r="W84" s="8"/>
      <c r="X84" s="8"/>
      <c r="Y84" s="8"/>
      <c r="Z84" s="8"/>
      <c r="AA84" s="8"/>
      <c r="AB84" s="8"/>
    </row>
    <row r="85" spans="2:28" x14ac:dyDescent="0.25">
      <c r="B85" s="8"/>
      <c r="C85" s="27"/>
      <c r="D85" s="8"/>
      <c r="E85" s="8"/>
      <c r="F85" s="8"/>
      <c r="G85" s="8"/>
      <c r="H85" s="8"/>
      <c r="I85" s="8"/>
      <c r="J85" s="8"/>
      <c r="K85" s="8"/>
      <c r="L85" s="8"/>
      <c r="M85" s="8"/>
      <c r="N85" s="8"/>
      <c r="O85" s="7"/>
      <c r="P85" s="8"/>
      <c r="Q85" s="37"/>
      <c r="R85" s="8"/>
      <c r="S85" s="8"/>
      <c r="T85" s="8"/>
      <c r="U85" s="8"/>
      <c r="V85" s="38"/>
      <c r="W85" s="8"/>
      <c r="X85" s="8"/>
      <c r="Y85" s="8"/>
      <c r="Z85" s="8"/>
      <c r="AA85" s="8"/>
      <c r="AB85" s="8"/>
    </row>
    <row r="86" spans="2:28" x14ac:dyDescent="0.25">
      <c r="B86" s="8"/>
      <c r="C86" s="27"/>
      <c r="D86" s="8"/>
      <c r="E86" s="8"/>
      <c r="F86" s="8"/>
      <c r="G86" s="8"/>
      <c r="H86" s="8"/>
      <c r="I86" s="8"/>
      <c r="J86" s="8"/>
      <c r="K86" s="8"/>
      <c r="L86" s="8"/>
      <c r="M86" s="8"/>
      <c r="N86" s="8"/>
      <c r="O86" s="7"/>
      <c r="P86" s="8"/>
      <c r="Q86" s="37"/>
      <c r="R86" s="8"/>
      <c r="S86" s="8"/>
      <c r="T86" s="8"/>
      <c r="U86" s="8"/>
      <c r="V86" s="38"/>
      <c r="W86" s="8"/>
      <c r="X86" s="8"/>
      <c r="Y86" s="8"/>
      <c r="Z86" s="8"/>
      <c r="AA86" s="8"/>
      <c r="AB86" s="8"/>
    </row>
    <row r="87" spans="2:28" x14ac:dyDescent="0.25">
      <c r="B87" s="8"/>
      <c r="C87" s="27"/>
      <c r="D87" s="8"/>
      <c r="E87" s="8"/>
      <c r="F87" s="8"/>
      <c r="G87" s="8"/>
      <c r="H87" s="8"/>
      <c r="I87" s="8"/>
      <c r="J87" s="8"/>
      <c r="K87" s="8"/>
      <c r="L87" s="8"/>
      <c r="M87" s="8"/>
      <c r="N87" s="8"/>
      <c r="O87" s="7"/>
      <c r="P87" s="8"/>
      <c r="Q87" s="37"/>
      <c r="R87" s="8"/>
      <c r="S87" s="8"/>
      <c r="T87" s="8"/>
      <c r="U87" s="8"/>
      <c r="V87" s="38"/>
      <c r="W87" s="8"/>
      <c r="X87" s="8"/>
      <c r="Y87" s="8"/>
      <c r="Z87" s="8"/>
      <c r="AA87" s="8"/>
      <c r="AB87" s="8"/>
    </row>
    <row r="88" spans="2:28" x14ac:dyDescent="0.25">
      <c r="B88" s="8"/>
      <c r="C88" s="27"/>
      <c r="D88" s="8"/>
      <c r="E88" s="8"/>
      <c r="F88" s="8"/>
      <c r="G88" s="8"/>
      <c r="H88" s="8"/>
      <c r="I88" s="8"/>
      <c r="J88" s="8"/>
      <c r="K88" s="8"/>
      <c r="L88" s="8"/>
      <c r="M88" s="8"/>
      <c r="N88" s="8"/>
      <c r="O88" s="7"/>
      <c r="P88" s="8"/>
      <c r="Q88" s="37"/>
      <c r="R88" s="8"/>
      <c r="S88" s="8"/>
      <c r="T88" s="8"/>
      <c r="U88" s="8"/>
      <c r="V88" s="38"/>
      <c r="W88" s="8"/>
      <c r="X88" s="8"/>
      <c r="Y88" s="8"/>
      <c r="Z88" s="8"/>
      <c r="AA88" s="8"/>
      <c r="AB88" s="8"/>
    </row>
    <row r="89" spans="2:28" x14ac:dyDescent="0.25">
      <c r="B89" s="8"/>
      <c r="C89" s="27"/>
      <c r="D89" s="8"/>
      <c r="E89" s="8"/>
      <c r="F89" s="8"/>
      <c r="G89" s="8"/>
      <c r="H89" s="8"/>
      <c r="I89" s="8"/>
      <c r="J89" s="8"/>
      <c r="K89" s="8"/>
      <c r="L89" s="8"/>
      <c r="M89" s="8"/>
      <c r="N89" s="8"/>
      <c r="O89" s="7"/>
      <c r="P89" s="8"/>
      <c r="Q89" s="37"/>
      <c r="R89" s="8"/>
      <c r="S89" s="8"/>
      <c r="T89" s="8"/>
      <c r="U89" s="8"/>
      <c r="V89" s="38"/>
      <c r="W89" s="8"/>
      <c r="X89" s="8"/>
      <c r="Y89" s="8"/>
      <c r="Z89" s="8"/>
      <c r="AA89" s="8"/>
      <c r="AB89" s="8"/>
    </row>
    <row r="90" spans="2:28" x14ac:dyDescent="0.25">
      <c r="B90" s="8"/>
      <c r="C90" s="27"/>
      <c r="D90" s="8"/>
      <c r="E90" s="8"/>
      <c r="F90" s="8"/>
      <c r="G90" s="8"/>
      <c r="H90" s="8"/>
      <c r="I90" s="8"/>
      <c r="J90" s="8"/>
      <c r="K90" s="8"/>
      <c r="L90" s="8"/>
      <c r="M90" s="8"/>
      <c r="N90" s="8"/>
      <c r="O90" s="7"/>
      <c r="P90" s="8"/>
      <c r="Q90" s="37"/>
      <c r="R90" s="8"/>
      <c r="S90" s="8"/>
      <c r="T90" s="8"/>
      <c r="U90" s="8"/>
      <c r="V90" s="38"/>
      <c r="W90" s="8"/>
      <c r="X90" s="8"/>
      <c r="Y90" s="8"/>
      <c r="Z90" s="8"/>
      <c r="AA90" s="8"/>
      <c r="AB90" s="8"/>
    </row>
    <row r="91" spans="2:28" x14ac:dyDescent="0.25">
      <c r="B91" s="8"/>
      <c r="C91" s="27"/>
      <c r="D91" s="8"/>
      <c r="E91" s="8"/>
      <c r="F91" s="8"/>
      <c r="G91" s="8"/>
      <c r="H91" s="8"/>
      <c r="I91" s="8"/>
      <c r="J91" s="8"/>
      <c r="K91" s="8"/>
      <c r="L91" s="8"/>
      <c r="M91" s="8"/>
      <c r="N91" s="8"/>
      <c r="O91" s="7"/>
      <c r="P91" s="8"/>
      <c r="Q91" s="37"/>
      <c r="R91" s="8"/>
      <c r="S91" s="8"/>
      <c r="T91" s="8"/>
      <c r="U91" s="8"/>
      <c r="V91" s="38"/>
      <c r="W91" s="8"/>
      <c r="X91" s="8"/>
      <c r="Y91" s="8"/>
      <c r="Z91" s="8"/>
      <c r="AA91" s="8"/>
      <c r="AB91" s="8"/>
    </row>
    <row r="92" spans="2:28" x14ac:dyDescent="0.25">
      <c r="B92" s="8"/>
      <c r="C92" s="27"/>
      <c r="D92" s="8"/>
      <c r="E92" s="8"/>
      <c r="F92" s="8"/>
      <c r="G92" s="8"/>
      <c r="H92" s="8"/>
      <c r="I92" s="8"/>
      <c r="J92" s="8"/>
      <c r="K92" s="8"/>
      <c r="L92" s="8"/>
      <c r="M92" s="8"/>
      <c r="N92" s="8"/>
      <c r="O92" s="7"/>
      <c r="P92" s="8"/>
      <c r="Q92" s="37"/>
      <c r="R92" s="8"/>
      <c r="S92" s="8"/>
      <c r="T92" s="8"/>
      <c r="U92" s="8"/>
      <c r="V92" s="38"/>
      <c r="W92" s="8"/>
      <c r="X92" s="8"/>
      <c r="Y92" s="8"/>
      <c r="Z92" s="8"/>
      <c r="AA92" s="8"/>
      <c r="AB92" s="8"/>
    </row>
    <row r="93" spans="2:28" x14ac:dyDescent="0.25">
      <c r="B93" s="8"/>
      <c r="C93" s="27"/>
      <c r="D93" s="8"/>
      <c r="E93" s="8"/>
      <c r="F93" s="8"/>
      <c r="G93" s="8"/>
      <c r="H93" s="8"/>
      <c r="I93" s="8"/>
      <c r="J93" s="8"/>
      <c r="K93" s="8"/>
      <c r="L93" s="8"/>
      <c r="M93" s="8"/>
      <c r="N93" s="8"/>
      <c r="O93" s="7"/>
      <c r="P93" s="8"/>
      <c r="Q93" s="37"/>
      <c r="R93" s="8"/>
      <c r="S93" s="8"/>
      <c r="T93" s="8"/>
      <c r="U93" s="8"/>
      <c r="V93" s="38"/>
      <c r="W93" s="8"/>
      <c r="X93" s="8"/>
      <c r="Y93" s="8"/>
      <c r="Z93" s="8"/>
      <c r="AA93" s="8"/>
      <c r="AB93" s="8"/>
    </row>
    <row r="94" spans="2:28" x14ac:dyDescent="0.25">
      <c r="B94" s="8"/>
      <c r="C94" s="27"/>
      <c r="D94" s="8"/>
      <c r="E94" s="8"/>
      <c r="F94" s="8"/>
      <c r="G94" s="8"/>
      <c r="H94" s="8"/>
      <c r="I94" s="8"/>
      <c r="J94" s="8"/>
      <c r="K94" s="8"/>
      <c r="L94" s="8"/>
      <c r="M94" s="8"/>
      <c r="N94" s="8"/>
      <c r="O94" s="7"/>
      <c r="P94" s="8"/>
      <c r="Q94" s="37"/>
      <c r="R94" s="8"/>
      <c r="S94" s="8"/>
      <c r="T94" s="8"/>
      <c r="U94" s="8"/>
      <c r="V94" s="38"/>
      <c r="W94" s="8"/>
      <c r="X94" s="8"/>
      <c r="Y94" s="8"/>
      <c r="Z94" s="8"/>
      <c r="AA94" s="8"/>
      <c r="AB94" s="8"/>
    </row>
    <row r="95" spans="2:28" x14ac:dyDescent="0.25">
      <c r="B95" s="8"/>
      <c r="C95" s="27"/>
      <c r="D95" s="8"/>
      <c r="E95" s="8"/>
      <c r="F95" s="8"/>
      <c r="G95" s="8"/>
      <c r="H95" s="8"/>
      <c r="I95" s="8"/>
      <c r="J95" s="8"/>
      <c r="K95" s="8"/>
      <c r="L95" s="8"/>
      <c r="M95" s="8"/>
      <c r="N95" s="8"/>
      <c r="O95" s="7"/>
      <c r="P95" s="8"/>
      <c r="Q95" s="37"/>
      <c r="R95" s="8"/>
      <c r="S95" s="8"/>
      <c r="T95" s="8"/>
      <c r="U95" s="8"/>
      <c r="V95" s="38"/>
      <c r="W95" s="8"/>
      <c r="X95" s="8"/>
      <c r="Y95" s="8"/>
      <c r="Z95" s="8"/>
      <c r="AA95" s="8"/>
      <c r="AB95" s="8"/>
    </row>
    <row r="96" spans="2:28" x14ac:dyDescent="0.25">
      <c r="B96" s="8"/>
      <c r="C96" s="27"/>
      <c r="D96" s="8"/>
      <c r="E96" s="8"/>
      <c r="F96" s="8"/>
      <c r="G96" s="8"/>
      <c r="H96" s="8"/>
      <c r="I96" s="8"/>
      <c r="J96" s="8"/>
      <c r="K96" s="8"/>
      <c r="L96" s="8"/>
      <c r="M96" s="8"/>
      <c r="N96" s="8"/>
      <c r="O96" s="7"/>
      <c r="P96" s="8"/>
      <c r="Q96" s="37"/>
      <c r="R96" s="8"/>
      <c r="S96" s="8"/>
      <c r="T96" s="8"/>
      <c r="U96" s="8"/>
      <c r="V96" s="38"/>
      <c r="W96" s="8"/>
      <c r="X96" s="8"/>
      <c r="Y96" s="8"/>
      <c r="Z96" s="8"/>
      <c r="AA96" s="8"/>
      <c r="AB96" s="8"/>
    </row>
    <row r="97" spans="2:28" x14ac:dyDescent="0.25">
      <c r="B97" s="8"/>
      <c r="C97" s="27"/>
      <c r="D97" s="8"/>
      <c r="E97" s="8"/>
      <c r="F97" s="8"/>
      <c r="G97" s="8"/>
      <c r="H97" s="8"/>
      <c r="I97" s="8"/>
      <c r="J97" s="8"/>
      <c r="K97" s="8"/>
      <c r="L97" s="8"/>
      <c r="M97" s="8"/>
      <c r="N97" s="8"/>
      <c r="O97" s="7"/>
      <c r="P97" s="8"/>
      <c r="Q97" s="37"/>
      <c r="R97" s="8"/>
      <c r="S97" s="8"/>
      <c r="T97" s="8"/>
      <c r="U97" s="8"/>
      <c r="V97" s="38"/>
      <c r="W97" s="8"/>
      <c r="X97" s="8"/>
      <c r="Y97" s="8"/>
      <c r="Z97" s="8"/>
      <c r="AA97" s="8"/>
      <c r="AB97" s="8"/>
    </row>
    <row r="98" spans="2:28" x14ac:dyDescent="0.25">
      <c r="B98" s="8"/>
      <c r="C98" s="27"/>
      <c r="D98" s="8"/>
      <c r="E98" s="8"/>
      <c r="F98" s="8"/>
      <c r="G98" s="8"/>
      <c r="H98" s="8"/>
      <c r="I98" s="8"/>
      <c r="J98" s="8"/>
      <c r="K98" s="8"/>
      <c r="L98" s="8"/>
      <c r="M98" s="8"/>
      <c r="N98" s="8"/>
      <c r="O98" s="7"/>
      <c r="P98" s="8"/>
      <c r="Q98" s="37"/>
      <c r="R98" s="8"/>
      <c r="S98" s="8"/>
      <c r="T98" s="8"/>
      <c r="U98" s="8"/>
      <c r="V98" s="38"/>
      <c r="W98" s="8"/>
      <c r="X98" s="8"/>
      <c r="Y98" s="8"/>
      <c r="Z98" s="8"/>
      <c r="AA98" s="8"/>
      <c r="AB98" s="8"/>
    </row>
    <row r="99" spans="2:28" x14ac:dyDescent="0.25">
      <c r="B99" s="8"/>
      <c r="C99" s="27"/>
      <c r="D99" s="8"/>
      <c r="E99" s="8"/>
      <c r="F99" s="8"/>
      <c r="G99" s="8"/>
      <c r="H99" s="8"/>
      <c r="I99" s="8"/>
      <c r="J99" s="8"/>
      <c r="K99" s="8"/>
      <c r="L99" s="8"/>
      <c r="M99" s="8"/>
      <c r="N99" s="8"/>
      <c r="O99" s="7"/>
      <c r="P99" s="8"/>
      <c r="Q99" s="37"/>
      <c r="R99" s="8"/>
      <c r="S99" s="8"/>
      <c r="T99" s="8"/>
      <c r="U99" s="8"/>
      <c r="V99" s="38"/>
      <c r="W99" s="8"/>
      <c r="X99" s="8"/>
      <c r="Y99" s="8"/>
    </row>
    <row r="100" spans="2:28" x14ac:dyDescent="0.25">
      <c r="B100" s="8"/>
      <c r="C100" s="27"/>
      <c r="D100" s="8"/>
      <c r="E100" s="8"/>
      <c r="F100" s="8"/>
      <c r="G100" s="8"/>
      <c r="H100" s="8"/>
      <c r="I100" s="8"/>
      <c r="J100" s="8"/>
      <c r="K100" s="8"/>
      <c r="L100" s="8"/>
      <c r="M100" s="8"/>
      <c r="N100" s="8"/>
      <c r="O100" s="7"/>
      <c r="P100" s="8"/>
      <c r="Q100" s="37"/>
      <c r="R100" s="8"/>
      <c r="S100" s="8"/>
      <c r="T100" s="8"/>
      <c r="U100" s="8"/>
      <c r="V100" s="38"/>
      <c r="W100" s="8"/>
      <c r="X100" s="8"/>
      <c r="Y100" s="8"/>
    </row>
    <row r="101" spans="2:28" x14ac:dyDescent="0.25">
      <c r="B101" s="8"/>
      <c r="C101" s="27"/>
      <c r="D101" s="8"/>
      <c r="E101" s="8"/>
      <c r="F101" s="8"/>
      <c r="G101" s="8"/>
      <c r="H101" s="8"/>
      <c r="I101" s="8"/>
      <c r="J101" s="8"/>
      <c r="K101" s="8"/>
      <c r="L101" s="8"/>
      <c r="M101" s="8"/>
      <c r="N101" s="8"/>
      <c r="O101" s="7"/>
      <c r="P101" s="8"/>
      <c r="Q101" s="37"/>
      <c r="R101" s="8"/>
      <c r="S101" s="8"/>
      <c r="T101" s="8"/>
      <c r="U101" s="8"/>
      <c r="V101" s="38"/>
      <c r="W101" s="8"/>
      <c r="X101" s="8"/>
      <c r="Y101" s="8"/>
    </row>
    <row r="102" spans="2:28" x14ac:dyDescent="0.25">
      <c r="B102" s="8"/>
      <c r="C102" s="27"/>
      <c r="D102" s="8"/>
      <c r="E102" s="8"/>
      <c r="F102" s="8"/>
      <c r="G102" s="8"/>
      <c r="H102" s="8"/>
      <c r="I102" s="8"/>
      <c r="J102" s="8"/>
      <c r="K102" s="8"/>
      <c r="L102" s="8"/>
      <c r="M102" s="8"/>
      <c r="N102" s="8"/>
      <c r="O102" s="7"/>
      <c r="P102" s="8"/>
      <c r="Q102" s="37"/>
      <c r="R102" s="8"/>
      <c r="S102" s="8"/>
      <c r="T102" s="8"/>
      <c r="U102" s="8"/>
      <c r="V102" s="38"/>
      <c r="W102" s="8"/>
      <c r="X102" s="8"/>
      <c r="Y102" s="8"/>
    </row>
    <row r="103" spans="2:28" x14ac:dyDescent="0.25">
      <c r="B103" s="8"/>
      <c r="C103" s="27"/>
      <c r="D103" s="8"/>
      <c r="E103" s="8"/>
      <c r="F103" s="8"/>
      <c r="G103" s="8"/>
      <c r="H103" s="8"/>
      <c r="I103" s="8"/>
      <c r="J103" s="8"/>
      <c r="K103" s="8"/>
      <c r="L103" s="8"/>
      <c r="M103" s="8"/>
      <c r="N103" s="8"/>
      <c r="O103" s="7"/>
      <c r="P103" s="8"/>
      <c r="Q103" s="37"/>
      <c r="R103" s="8"/>
      <c r="S103" s="8"/>
      <c r="T103" s="8"/>
      <c r="U103" s="8"/>
      <c r="V103" s="38"/>
      <c r="W103" s="8"/>
      <c r="X103" s="8"/>
      <c r="Y103" s="8"/>
    </row>
    <row r="104" spans="2:28" x14ac:dyDescent="0.25">
      <c r="B104" s="8"/>
      <c r="C104" s="27"/>
      <c r="D104" s="8"/>
      <c r="E104" s="8"/>
      <c r="F104" s="8"/>
      <c r="G104" s="8"/>
      <c r="H104" s="8"/>
      <c r="I104" s="8"/>
      <c r="J104" s="8"/>
      <c r="K104" s="8"/>
      <c r="L104" s="8"/>
      <c r="M104" s="8"/>
      <c r="N104" s="8"/>
      <c r="O104" s="7"/>
      <c r="P104" s="8"/>
      <c r="Q104" s="37"/>
      <c r="R104" s="8"/>
      <c r="S104" s="8"/>
      <c r="T104" s="8"/>
      <c r="U104" s="8"/>
      <c r="V104" s="38"/>
      <c r="W104" s="8"/>
      <c r="X104" s="8"/>
      <c r="Y104" s="8"/>
    </row>
    <row r="105" spans="2:28" x14ac:dyDescent="0.25">
      <c r="B105" s="8"/>
      <c r="C105" s="27"/>
      <c r="D105" s="8"/>
      <c r="E105" s="8"/>
      <c r="F105" s="8"/>
      <c r="G105" s="8"/>
      <c r="H105" s="8"/>
      <c r="I105" s="8"/>
      <c r="J105" s="8"/>
      <c r="K105" s="8"/>
      <c r="L105" s="8"/>
      <c r="M105" s="8"/>
      <c r="N105" s="8"/>
      <c r="O105" s="7"/>
      <c r="P105" s="8"/>
      <c r="Q105" s="37"/>
      <c r="R105" s="8"/>
      <c r="S105" s="8"/>
      <c r="T105" s="8"/>
      <c r="U105" s="8"/>
      <c r="V105" s="38"/>
      <c r="W105" s="8"/>
      <c r="X105" s="8"/>
      <c r="Y105" s="8"/>
    </row>
    <row r="106" spans="2:28" x14ac:dyDescent="0.25">
      <c r="B106" s="8"/>
      <c r="C106" s="27"/>
      <c r="D106" s="8"/>
      <c r="E106" s="8"/>
      <c r="F106" s="8"/>
      <c r="G106" s="8"/>
      <c r="H106" s="8"/>
      <c r="I106" s="8"/>
      <c r="J106" s="8"/>
      <c r="K106" s="8"/>
      <c r="L106" s="8"/>
      <c r="M106" s="8"/>
      <c r="N106" s="8"/>
      <c r="O106" s="7"/>
      <c r="P106" s="8"/>
      <c r="Q106" s="37"/>
      <c r="R106" s="8"/>
      <c r="S106" s="8"/>
      <c r="T106" s="8"/>
      <c r="U106" s="8"/>
      <c r="V106" s="38"/>
      <c r="W106" s="8"/>
      <c r="X106" s="8"/>
      <c r="Y106" s="8"/>
    </row>
    <row r="107" spans="2:28" x14ac:dyDescent="0.25">
      <c r="B107" s="8"/>
      <c r="C107" s="28"/>
      <c r="D107" s="30"/>
      <c r="E107" s="30"/>
      <c r="F107" s="30"/>
      <c r="G107" s="30"/>
      <c r="H107" s="30"/>
      <c r="I107" s="30"/>
      <c r="J107" s="30"/>
      <c r="K107" s="30"/>
      <c r="L107" s="30"/>
      <c r="M107" s="30"/>
      <c r="N107" s="30"/>
      <c r="O107" s="29"/>
      <c r="P107" s="8"/>
      <c r="Q107" s="39"/>
      <c r="R107" s="40"/>
      <c r="S107" s="40"/>
      <c r="T107" s="40"/>
      <c r="U107" s="40"/>
      <c r="V107" s="41"/>
      <c r="W107" s="8"/>
      <c r="X107" s="8"/>
      <c r="Y107" s="8"/>
    </row>
    <row r="108" spans="2:28" x14ac:dyDescent="0.25">
      <c r="B108" s="8"/>
      <c r="C108" s="8"/>
      <c r="D108" s="8"/>
      <c r="E108" s="8"/>
      <c r="F108" s="8"/>
      <c r="G108" s="8"/>
      <c r="H108" s="8"/>
      <c r="I108" s="8"/>
      <c r="J108" s="8"/>
      <c r="K108" s="8"/>
      <c r="L108" s="8"/>
      <c r="M108" s="8"/>
      <c r="N108" s="8"/>
      <c r="O108" s="8"/>
      <c r="P108" s="8"/>
      <c r="Q108" s="8"/>
      <c r="R108" s="8"/>
      <c r="S108" s="8"/>
      <c r="T108" s="8"/>
      <c r="U108" s="8"/>
      <c r="V108" s="8"/>
      <c r="W108" s="8"/>
      <c r="X108" s="8"/>
      <c r="Y108" s="8"/>
    </row>
    <row r="109" spans="2:28" x14ac:dyDescent="0.25">
      <c r="B109" s="8"/>
      <c r="C109" s="8"/>
      <c r="D109" s="8"/>
      <c r="E109" s="8"/>
      <c r="F109" s="8"/>
      <c r="G109" s="8"/>
      <c r="H109" s="8"/>
      <c r="I109" s="8"/>
      <c r="J109" s="8"/>
      <c r="K109" s="8"/>
      <c r="L109" s="8"/>
      <c r="M109" s="8"/>
      <c r="N109" s="8"/>
      <c r="O109" s="8"/>
      <c r="P109" s="8"/>
      <c r="Q109" s="8"/>
      <c r="R109" s="8"/>
      <c r="S109" s="8"/>
      <c r="T109" s="8"/>
      <c r="U109" s="8"/>
      <c r="V109" s="8"/>
      <c r="W109" s="8"/>
      <c r="X109" s="8"/>
      <c r="Y109" s="8"/>
    </row>
    <row r="110" spans="2:28" x14ac:dyDescent="0.25">
      <c r="B110" s="8"/>
      <c r="C110" s="8"/>
      <c r="D110" s="8"/>
      <c r="E110" s="8"/>
      <c r="F110" s="8"/>
      <c r="G110" s="8"/>
      <c r="H110" s="8"/>
      <c r="I110" s="8"/>
      <c r="J110" s="8"/>
      <c r="K110" s="8"/>
      <c r="L110" s="8"/>
      <c r="M110" s="8"/>
      <c r="N110" s="8"/>
      <c r="O110" s="8"/>
      <c r="P110" s="8"/>
      <c r="Q110" s="8"/>
      <c r="R110" s="8"/>
      <c r="S110" s="8"/>
      <c r="T110" s="8"/>
      <c r="U110" s="8"/>
      <c r="V110" s="8"/>
      <c r="W110" s="8"/>
      <c r="X110" s="8"/>
      <c r="Y110" s="8"/>
    </row>
  </sheetData>
  <mergeCells count="31">
    <mergeCell ref="G60:H60"/>
    <mergeCell ref="G61:H62"/>
    <mergeCell ref="I60:J60"/>
    <mergeCell ref="I61:J62"/>
    <mergeCell ref="L2:O2"/>
    <mergeCell ref="L13:M14"/>
    <mergeCell ref="J5:M5"/>
    <mergeCell ref="K60:L60"/>
    <mergeCell ref="K61:L62"/>
    <mergeCell ref="U7:U8"/>
    <mergeCell ref="R10:S10"/>
    <mergeCell ref="R11:S11"/>
    <mergeCell ref="R12:S12"/>
    <mergeCell ref="L9:M9"/>
    <mergeCell ref="L12:M12"/>
    <mergeCell ref="R13:S13"/>
    <mergeCell ref="D2:G2"/>
    <mergeCell ref="D4:G17"/>
    <mergeCell ref="S1:T1"/>
    <mergeCell ref="H1:K1"/>
    <mergeCell ref="K16:L16"/>
    <mergeCell ref="K17:L17"/>
    <mergeCell ref="R7:R8"/>
    <mergeCell ref="S7:S8"/>
    <mergeCell ref="T7:T8"/>
    <mergeCell ref="R14:S14"/>
    <mergeCell ref="S16:T17"/>
    <mergeCell ref="R2:S2"/>
    <mergeCell ref="L8:M8"/>
    <mergeCell ref="J13:K14"/>
    <mergeCell ref="J12:K12"/>
  </mergeCell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displayEmptyCellsAs="gap" xr2:uid="{241835A0-2E04-4194-B0FA-B9A90B7A317C}">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X55</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Financials!E53:N53</xm:f>
              <xm:sqref>X53</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Financials!E55:N55</xm:f>
              <xm:sqref>X54</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Financials!E52:N52</xm:f>
              <xm:sqref>X52</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Financials!E51:N51</xm:f>
              <xm:sqref>X51</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Financials!E50:N50</xm:f>
              <xm:sqref>X50</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Financials!E47:N47</xm:f>
              <xm:sqref>X47</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Financials!E38:N38</xm:f>
              <xm:sqref>X38</xm:sqref>
            </x14:sparkline>
            <x14:sparkline>
              <xm:f>Financials!E40:N40</xm:f>
              <xm:sqref>X40</xm:sqref>
            </x14:sparkline>
            <x14:sparkline>
              <xm:f>Financials!E42:N42</xm:f>
              <xm:sqref>X42</xm:sqref>
            </x14:sparkline>
            <x14:sparkline>
              <xm:f>Financials!E44:N44</xm:f>
              <xm:sqref>X44</xm:sqref>
            </x14:sparkline>
            <x14:sparkline>
              <xm:f>Financials!E46:N46</xm:f>
              <xm:sqref>X46</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Financials!E37:N37</xm:f>
              <xm:sqref>X37</xm:sqref>
            </x14:sparkline>
            <x14:sparkline>
              <xm:f>Financials!E39:N39</xm:f>
              <xm:sqref>X39</xm:sqref>
            </x14:sparkline>
            <x14:sparkline>
              <xm:f>Financials!E41:N41</xm:f>
              <xm:sqref>X41</xm:sqref>
            </x14:sparkline>
            <x14:sparkline>
              <xm:f>Financials!E43:N43</xm:f>
              <xm:sqref>X43</xm:sqref>
            </x14:sparkline>
            <x14:sparkline>
              <xm:f>Financials!E45:N45</xm:f>
              <xm:sqref>X45</xm:sqref>
            </x14:sparkline>
          </x14:sparklines>
        </x14:sparklineGroup>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Financials!E26:N26</xm:f>
              <xm:sqref>X26</xm:sqref>
            </x14:sparkline>
            <x14:sparkline>
              <xm:f>Financials!E27:N27</xm:f>
              <xm:sqref>X27</xm:sqref>
            </x14:sparkline>
            <x14:sparkline>
              <xm:f>Financials!E28:N28</xm:f>
              <xm:sqref>X28</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s>
        </x14:sparklineGroup>
        <x14:sparklineGroup type="column" displayEmptyCellsAs="gap" negative="1" xr2:uid="{8867D16F-86C9-4C32-93AC-D1DD61E3F2A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Financials!E34:N34</xm:f>
              <xm:sqref>X34</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1C8AE-366C-4A74-88B6-4B2D778D62CF}">
  <sheetPr codeName="Hoja7"/>
  <dimension ref="A1:AE110"/>
  <sheetViews>
    <sheetView topLeftCell="A11" zoomScaleNormal="100" workbookViewId="0">
      <selection activeCell="K22" sqref="K22"/>
    </sheetView>
  </sheetViews>
  <sheetFormatPr baseColWidth="10" defaultColWidth="9.140625" defaultRowHeight="15" x14ac:dyDescent="0.25"/>
  <cols>
    <col min="1" max="1" width="14" style="8" customWidth="1"/>
    <col min="2" max="2" width="11.28515625" style="19" customWidth="1"/>
    <col min="3" max="3" width="3.28515625" style="19" customWidth="1"/>
    <col min="4" max="4" width="35.7109375" style="19" bestFit="1" customWidth="1"/>
    <col min="5" max="8" width="10.7109375" style="19" customWidth="1"/>
    <col min="9" max="9" width="9" style="19" bestFit="1" customWidth="1"/>
    <col min="10" max="14" width="10.7109375" style="19" customWidth="1"/>
    <col min="15" max="15" width="3.5703125" style="19" customWidth="1"/>
    <col min="16" max="16" width="10.7109375" style="19" customWidth="1"/>
    <col min="17" max="17" width="3.28515625" style="19" customWidth="1"/>
    <col min="18" max="21" width="10.7109375" style="19" customWidth="1"/>
    <col min="22" max="22" width="3.42578125" style="19" customWidth="1"/>
    <col min="23" max="29" width="9.140625" style="19"/>
    <col min="30" max="31" width="10.140625" style="19" bestFit="1" customWidth="1"/>
    <col min="32" max="16384" width="9.140625" style="19"/>
  </cols>
  <sheetData>
    <row r="1" spans="1:31" ht="37.5" customHeight="1" x14ac:dyDescent="0.25">
      <c r="B1" s="8" t="s">
        <v>0</v>
      </c>
      <c r="C1" s="8"/>
      <c r="E1" s="8"/>
      <c r="F1" s="8"/>
      <c r="G1" s="8"/>
      <c r="H1" s="230"/>
      <c r="I1" s="230"/>
      <c r="J1" s="230"/>
      <c r="K1" s="230"/>
      <c r="L1" s="8"/>
      <c r="M1" s="8"/>
      <c r="N1" s="8"/>
      <c r="O1" s="8"/>
      <c r="P1" s="8"/>
      <c r="Q1" s="8"/>
      <c r="R1" s="8"/>
      <c r="S1" s="230"/>
      <c r="T1" s="230"/>
      <c r="U1" s="8"/>
      <c r="V1" s="8"/>
      <c r="W1" s="8"/>
      <c r="X1" s="8"/>
      <c r="Y1" s="8"/>
      <c r="Z1" s="8"/>
      <c r="AA1" s="8"/>
      <c r="AB1" s="8"/>
      <c r="AC1" s="8"/>
    </row>
    <row r="2" spans="1:31" ht="37.5" customHeight="1" x14ac:dyDescent="0.25">
      <c r="B2" s="8"/>
      <c r="C2" s="62"/>
      <c r="D2" s="227" t="e" vm="1">
        <v>#VALUE!</v>
      </c>
      <c r="E2" s="227"/>
      <c r="F2" s="227"/>
      <c r="G2" s="228"/>
      <c r="H2" s="70" t="s">
        <v>41</v>
      </c>
      <c r="I2" s="134" cm="1">
        <f t="array" ref="I2">(_FV(D2,"Shares outstanding",TRUE)*J5)/1000000000</f>
        <v>24.363483186</v>
      </c>
      <c r="J2" s="69" t="s">
        <v>38</v>
      </c>
      <c r="K2" s="42" t="s">
        <v>36</v>
      </c>
      <c r="L2" s="242" t="str" cm="1">
        <f t="array" ref="L2">_FV(D2,"Industry")</f>
        <v>Hotels &amp; Entertainment Services</v>
      </c>
      <c r="M2" s="242"/>
      <c r="N2" s="242"/>
      <c r="O2" s="243"/>
      <c r="P2" s="50"/>
      <c r="Q2" s="57"/>
      <c r="R2" s="235" t="s">
        <v>42</v>
      </c>
      <c r="S2" s="235"/>
      <c r="T2" s="58"/>
      <c r="U2" s="57"/>
      <c r="V2" s="59"/>
      <c r="W2" s="8"/>
      <c r="X2" s="8"/>
      <c r="Y2" s="8"/>
      <c r="Z2" s="8"/>
      <c r="AA2" s="8"/>
      <c r="AB2" s="8"/>
      <c r="AC2" s="8"/>
    </row>
    <row r="3" spans="1:31" ht="12.75" customHeight="1" x14ac:dyDescent="0.25">
      <c r="B3" s="8"/>
      <c r="C3" s="37"/>
      <c r="D3" s="63"/>
      <c r="E3" s="57"/>
      <c r="F3" s="57"/>
      <c r="G3" s="57"/>
      <c r="H3" s="56"/>
      <c r="I3" s="64"/>
      <c r="J3" s="8"/>
      <c r="K3" s="57"/>
      <c r="L3" s="8"/>
      <c r="M3" s="8"/>
      <c r="N3" s="8"/>
      <c r="O3" s="38"/>
      <c r="P3" s="50"/>
      <c r="Q3" s="8"/>
      <c r="R3" s="8"/>
      <c r="S3" s="55"/>
      <c r="T3" s="55"/>
      <c r="U3" s="8"/>
      <c r="V3" s="38"/>
      <c r="W3" s="8"/>
      <c r="X3" s="8"/>
      <c r="Y3" s="8"/>
      <c r="Z3" s="8"/>
      <c r="AA3" s="8"/>
      <c r="AB3" s="8"/>
      <c r="AC3" s="8"/>
    </row>
    <row r="4" spans="1:31" ht="14.25" customHeight="1" x14ac:dyDescent="0.25">
      <c r="B4" s="8"/>
      <c r="C4" s="37"/>
      <c r="D4" s="229" t="str" cm="1">
        <f t="array" ref="D4">_FV(D2,"Description")</f>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c>
      <c r="E4" s="229"/>
      <c r="F4" s="229"/>
      <c r="G4" s="229"/>
      <c r="H4" s="55"/>
      <c r="I4" s="8"/>
      <c r="J4" s="8" t="s">
        <v>35</v>
      </c>
      <c r="K4" s="8"/>
      <c r="L4" s="8"/>
      <c r="M4" s="8"/>
      <c r="N4" s="8"/>
      <c r="O4" s="38"/>
      <c r="P4" s="50"/>
      <c r="Q4" s="8"/>
      <c r="R4" s="8" t="s">
        <v>47</v>
      </c>
      <c r="S4" s="76" t="s">
        <v>48</v>
      </c>
      <c r="T4" s="76" t="s">
        <v>49</v>
      </c>
      <c r="U4" s="76" t="s">
        <v>50</v>
      </c>
      <c r="V4" s="38"/>
      <c r="W4" s="8"/>
      <c r="X4" s="8"/>
      <c r="Y4" s="8"/>
      <c r="Z4" s="8"/>
      <c r="AA4" s="8"/>
      <c r="AB4" s="8"/>
      <c r="AC4" s="8"/>
      <c r="AD4" s="88">
        <f>T14</f>
        <v>776</v>
      </c>
      <c r="AE4" s="19">
        <v>0</v>
      </c>
    </row>
    <row r="5" spans="1:31" ht="37.5" customHeight="1" x14ac:dyDescent="0.25">
      <c r="A5" s="96" t="s">
        <v>88</v>
      </c>
      <c r="B5" s="8"/>
      <c r="C5" s="37"/>
      <c r="D5" s="229"/>
      <c r="E5" s="229"/>
      <c r="F5" s="229"/>
      <c r="G5" s="229"/>
      <c r="H5" s="65"/>
      <c r="I5" s="55"/>
      <c r="J5" s="234" cm="1">
        <f t="array" ref="J5">_FV(D2,"Price")</f>
        <v>113.26</v>
      </c>
      <c r="K5" s="234"/>
      <c r="L5" s="234"/>
      <c r="M5" s="234"/>
      <c r="O5" s="38"/>
      <c r="P5" s="50"/>
      <c r="Q5" s="8"/>
      <c r="R5" s="133">
        <f>J5/N29</f>
        <v>12.15236051502146</v>
      </c>
      <c r="S5" s="77">
        <f>J5/N30</f>
        <v>34.27708917745354</v>
      </c>
      <c r="T5" s="75">
        <f>(R5)/(S29*100)</f>
        <v>9.8058129620937531E-2</v>
      </c>
      <c r="U5" s="78">
        <f>1/R5</f>
        <v>8.2288539643298603E-2</v>
      </c>
      <c r="V5" s="38"/>
      <c r="W5" s="8"/>
      <c r="X5" s="8"/>
      <c r="Y5" s="8"/>
      <c r="Z5" s="8"/>
      <c r="AA5" s="8"/>
      <c r="AB5" s="8"/>
      <c r="AC5" s="8"/>
      <c r="AD5" s="19">
        <f>AD4+(AD4*$T$10)</f>
        <v>1008.8</v>
      </c>
      <c r="AE5" s="19">
        <v>1</v>
      </c>
    </row>
    <row r="6" spans="1:31" ht="15" customHeight="1" x14ac:dyDescent="0.25">
      <c r="A6" s="99">
        <f>(N53/100)</f>
        <v>0.20723009769062029</v>
      </c>
      <c r="B6" s="8"/>
      <c r="C6" s="37"/>
      <c r="D6" s="229"/>
      <c r="E6" s="229"/>
      <c r="F6" s="229"/>
      <c r="G6" s="229"/>
      <c r="H6" s="65"/>
      <c r="I6" s="55"/>
      <c r="J6" s="8"/>
      <c r="K6" s="79" t="s">
        <v>37</v>
      </c>
      <c r="L6" s="67" cm="1">
        <f t="array" ref="L6">_FV(D2,"change")</f>
        <v>1.21</v>
      </c>
      <c r="M6" s="66" cm="1">
        <f t="array" ref="M6">_FV(D2,"Change (%)",TRUE)</f>
        <v>1.0799000000000001E-2</v>
      </c>
      <c r="N6" s="8"/>
      <c r="O6" s="38"/>
      <c r="P6" s="50"/>
      <c r="Q6" s="8"/>
      <c r="R6" s="76" t="s">
        <v>59</v>
      </c>
      <c r="S6" s="76" t="s">
        <v>58</v>
      </c>
      <c r="T6" s="76" t="s">
        <v>60</v>
      </c>
      <c r="U6" s="8" t="s">
        <v>61</v>
      </c>
      <c r="V6" s="38"/>
      <c r="W6" s="8"/>
      <c r="X6" s="8"/>
      <c r="Y6" s="8"/>
      <c r="Z6" s="8"/>
      <c r="AA6" s="8"/>
      <c r="AB6" s="8"/>
      <c r="AC6" s="8"/>
      <c r="AD6" s="19">
        <f>AD5+(AD5*$T$10)</f>
        <v>1311.44</v>
      </c>
      <c r="AE6" s="19">
        <v>2</v>
      </c>
    </row>
    <row r="7" spans="1:31" ht="15" customHeight="1" x14ac:dyDescent="0.25">
      <c r="A7" s="97"/>
      <c r="B7" s="8"/>
      <c r="C7" s="37"/>
      <c r="D7" s="229"/>
      <c r="E7" s="229"/>
      <c r="F7" s="229"/>
      <c r="G7" s="229"/>
      <c r="H7" s="65"/>
      <c r="I7" s="55"/>
      <c r="J7" s="8"/>
      <c r="K7" s="8"/>
      <c r="L7" s="8"/>
      <c r="M7" s="8"/>
      <c r="N7" s="8"/>
      <c r="O7" s="38"/>
      <c r="P7" s="50"/>
      <c r="Q7" s="8"/>
      <c r="R7" s="233">
        <f>(K17*1000)/N32/N29</f>
        <v>12.144510058823053</v>
      </c>
      <c r="S7" s="233">
        <f>(K17*1000)/N26</f>
        <v>34.254946089543679</v>
      </c>
      <c r="T7" s="233">
        <f>S7/(S30*100)</f>
        <v>0.5704877595841471</v>
      </c>
      <c r="U7" s="240">
        <f>1/S7</f>
        <v>2.9192864510309356E-2</v>
      </c>
      <c r="V7" s="38"/>
      <c r="W7" s="8"/>
      <c r="X7" s="8"/>
      <c r="Y7" s="8"/>
      <c r="Z7" s="8"/>
      <c r="AA7" s="8"/>
      <c r="AB7" s="8"/>
      <c r="AC7" s="8"/>
      <c r="AD7" s="19">
        <f>AD6+(AD6*$T$10)</f>
        <v>1704.8720000000001</v>
      </c>
      <c r="AE7" s="19">
        <v>3</v>
      </c>
    </row>
    <row r="8" spans="1:31" ht="15" customHeight="1" x14ac:dyDescent="0.25">
      <c r="A8" s="97" t="s">
        <v>89</v>
      </c>
      <c r="B8" s="8"/>
      <c r="C8" s="37"/>
      <c r="D8" s="229"/>
      <c r="E8" s="229"/>
      <c r="F8" s="229"/>
      <c r="G8" s="229"/>
      <c r="H8" s="65"/>
      <c r="I8" s="55"/>
      <c r="J8" s="68" t="s">
        <v>39</v>
      </c>
      <c r="K8" s="103" cm="1">
        <f t="array" ref="K8">_FV(D2,"52 week high",TRUE)</f>
        <v>141.33000000000001</v>
      </c>
      <c r="L8" s="236" t="s">
        <v>43</v>
      </c>
      <c r="M8" s="236"/>
      <c r="N8" s="74">
        <f>-N31/J5</f>
        <v>1.2554732803913699E-2</v>
      </c>
      <c r="O8" s="38"/>
      <c r="P8" s="50"/>
      <c r="Q8" s="8"/>
      <c r="R8" s="233"/>
      <c r="S8" s="233"/>
      <c r="T8" s="233"/>
      <c r="U8" s="240"/>
      <c r="V8" s="38"/>
      <c r="W8" s="8"/>
      <c r="X8" s="8"/>
      <c r="Y8" s="8"/>
      <c r="Z8" s="8"/>
      <c r="AA8" s="8"/>
      <c r="AB8" s="8"/>
      <c r="AC8" s="8"/>
      <c r="AD8" s="19">
        <f>AD7+(AD7*$T$10)</f>
        <v>2216.3335999999999</v>
      </c>
      <c r="AE8" s="19">
        <v>4</v>
      </c>
    </row>
    <row r="9" spans="1:31" ht="15" customHeight="1" x14ac:dyDescent="0.25">
      <c r="A9" s="100">
        <f>T30</f>
        <v>0.70260804211983108</v>
      </c>
      <c r="B9" s="8"/>
      <c r="C9" s="37"/>
      <c r="D9" s="229"/>
      <c r="E9" s="229"/>
      <c r="F9" s="229"/>
      <c r="G9" s="229"/>
      <c r="H9" s="65"/>
      <c r="I9" s="55"/>
      <c r="J9" s="71" t="s">
        <v>40</v>
      </c>
      <c r="K9" s="103" cm="1">
        <f t="array" ref="K9">_FV(D2,"52 week low",TRUE)</f>
        <v>69.569999999999993</v>
      </c>
      <c r="L9" s="236" t="s">
        <v>44</v>
      </c>
      <c r="M9" s="236"/>
      <c r="N9" s="74">
        <f>-N31/N29</f>
        <v>0.15256963920292549</v>
      </c>
      <c r="O9" s="38"/>
      <c r="P9" s="50"/>
      <c r="Q9" s="8"/>
      <c r="R9" s="8"/>
      <c r="S9" s="55"/>
      <c r="T9" s="55"/>
      <c r="U9" s="8"/>
      <c r="V9" s="38"/>
      <c r="W9" s="8"/>
      <c r="X9" s="8"/>
      <c r="Y9" s="8"/>
      <c r="Z9" s="8"/>
      <c r="AA9" s="8"/>
      <c r="AB9" s="8"/>
      <c r="AC9" s="8"/>
      <c r="AD9" s="19">
        <f>AD8+(AD8*$T$10)</f>
        <v>2881.2336799999998</v>
      </c>
      <c r="AE9" s="19">
        <v>5</v>
      </c>
    </row>
    <row r="10" spans="1:31" ht="15" customHeight="1" x14ac:dyDescent="0.25">
      <c r="A10" s="97"/>
      <c r="B10" s="8"/>
      <c r="C10" s="37"/>
      <c r="D10" s="229"/>
      <c r="E10" s="229"/>
      <c r="F10" s="229"/>
      <c r="G10" s="229"/>
      <c r="H10" s="65"/>
      <c r="I10" s="55"/>
      <c r="J10" s="71"/>
      <c r="K10" s="68"/>
      <c r="L10" s="8"/>
      <c r="M10" s="8"/>
      <c r="N10" s="8"/>
      <c r="O10" s="38"/>
      <c r="P10" s="102"/>
      <c r="Q10" s="8"/>
      <c r="R10" s="226" t="s">
        <v>62</v>
      </c>
      <c r="S10" s="226"/>
      <c r="T10" s="85">
        <v>0.3</v>
      </c>
      <c r="U10" s="8"/>
      <c r="V10" s="38"/>
      <c r="W10" s="8"/>
      <c r="X10" s="8"/>
      <c r="Y10" s="8"/>
      <c r="Z10" s="8"/>
      <c r="AA10" s="8"/>
      <c r="AB10" s="8"/>
      <c r="AC10" s="8"/>
      <c r="AD10" s="19">
        <f>AD9+(AD9*$T$11)</f>
        <v>3313.4187319999996</v>
      </c>
      <c r="AE10" s="19">
        <v>6</v>
      </c>
    </row>
    <row r="11" spans="1:31" ht="15" customHeight="1" x14ac:dyDescent="0.25">
      <c r="A11" s="97" t="s">
        <v>90</v>
      </c>
      <c r="B11" s="8"/>
      <c r="C11" s="37"/>
      <c r="D11" s="229"/>
      <c r="E11" s="229"/>
      <c r="F11" s="229"/>
      <c r="G11" s="229"/>
      <c r="H11" s="65"/>
      <c r="I11" s="55"/>
      <c r="J11" s="71"/>
      <c r="K11" s="68"/>
      <c r="L11" s="8"/>
      <c r="M11" s="8"/>
      <c r="N11" s="8"/>
      <c r="O11" s="38"/>
      <c r="P11" s="50"/>
      <c r="Q11" s="8"/>
      <c r="R11" s="226" t="s">
        <v>63</v>
      </c>
      <c r="S11" s="226"/>
      <c r="T11" s="86">
        <v>0.15</v>
      </c>
      <c r="U11" s="8"/>
      <c r="V11" s="38"/>
      <c r="W11" s="8"/>
      <c r="X11" s="8"/>
      <c r="Y11" s="8"/>
      <c r="Z11" s="8"/>
      <c r="AA11" s="8"/>
      <c r="AB11" s="8"/>
      <c r="AC11" s="8"/>
      <c r="AD11" s="19">
        <f>AD10+(AD10*$T$11)</f>
        <v>3810.4315417999996</v>
      </c>
      <c r="AE11" s="19">
        <v>7</v>
      </c>
    </row>
    <row r="12" spans="1:31" ht="15" customHeight="1" x14ac:dyDescent="0.25">
      <c r="A12" s="99">
        <f>(N38/100)</f>
        <v>0</v>
      </c>
      <c r="B12" s="8"/>
      <c r="C12" s="37"/>
      <c r="D12" s="229"/>
      <c r="E12" s="229"/>
      <c r="F12" s="229"/>
      <c r="G12" s="229"/>
      <c r="H12" s="65"/>
      <c r="I12" s="55"/>
      <c r="J12" s="239" t="s">
        <v>46</v>
      </c>
      <c r="K12" s="239"/>
      <c r="L12" s="239" t="s">
        <v>45</v>
      </c>
      <c r="M12" s="239"/>
      <c r="N12" s="8"/>
      <c r="O12" s="38"/>
      <c r="P12" s="50"/>
      <c r="Q12" s="8"/>
      <c r="R12" s="226" t="s">
        <v>64</v>
      </c>
      <c r="S12" s="226"/>
      <c r="T12" s="86">
        <v>0.1</v>
      </c>
      <c r="U12" s="8"/>
      <c r="V12" s="38"/>
      <c r="W12" s="8"/>
      <c r="X12" s="8"/>
      <c r="Y12" s="8"/>
      <c r="Z12" s="8"/>
      <c r="AA12" s="8"/>
      <c r="AB12" s="8"/>
      <c r="AC12" s="8"/>
      <c r="AD12" s="19">
        <f>AD11+(AD11*$T$11)</f>
        <v>4381.9962730699999</v>
      </c>
      <c r="AE12" s="19">
        <v>8</v>
      </c>
    </row>
    <row r="13" spans="1:31" ht="15" customHeight="1" x14ac:dyDescent="0.25">
      <c r="A13" s="97"/>
      <c r="B13" s="8"/>
      <c r="C13" s="37"/>
      <c r="D13" s="229"/>
      <c r="E13" s="229"/>
      <c r="F13" s="229"/>
      <c r="G13" s="229"/>
      <c r="H13" s="65"/>
      <c r="I13" s="55"/>
      <c r="J13" s="237" t="s">
        <v>92</v>
      </c>
      <c r="K13" s="238"/>
      <c r="L13" s="244" t="s">
        <v>92</v>
      </c>
      <c r="M13" s="244"/>
      <c r="N13" s="8"/>
      <c r="O13" s="38"/>
      <c r="P13" s="50"/>
      <c r="Q13" s="8"/>
      <c r="R13" s="226" t="s">
        <v>65</v>
      </c>
      <c r="S13" s="226"/>
      <c r="T13" s="32">
        <v>25</v>
      </c>
      <c r="U13" s="8"/>
      <c r="V13" s="38"/>
      <c r="W13" s="8"/>
      <c r="X13" s="8"/>
      <c r="Y13" s="8"/>
      <c r="Z13" s="8"/>
      <c r="AA13" s="8"/>
      <c r="AB13" s="8"/>
      <c r="AC13" s="8"/>
      <c r="AD13" s="19">
        <f>AD12+(AD12*$T$11)</f>
        <v>5039.2957140304998</v>
      </c>
      <c r="AE13" s="19">
        <v>9</v>
      </c>
    </row>
    <row r="14" spans="1:31" ht="15" customHeight="1" x14ac:dyDescent="0.25">
      <c r="A14" s="97" t="s">
        <v>61</v>
      </c>
      <c r="B14" s="8"/>
      <c r="C14" s="37"/>
      <c r="D14" s="229"/>
      <c r="E14" s="229"/>
      <c r="F14" s="229"/>
      <c r="G14" s="229"/>
      <c r="H14" s="65"/>
      <c r="I14" s="55"/>
      <c r="J14" s="238"/>
      <c r="K14" s="238"/>
      <c r="L14" s="244"/>
      <c r="M14" s="244"/>
      <c r="N14" s="8"/>
      <c r="O14" s="38"/>
      <c r="P14" s="50"/>
      <c r="Q14" s="8"/>
      <c r="R14" s="226" t="s">
        <v>66</v>
      </c>
      <c r="S14" s="226"/>
      <c r="T14" s="87">
        <v>776</v>
      </c>
      <c r="U14" s="8"/>
      <c r="V14" s="38"/>
      <c r="W14" s="8"/>
      <c r="X14" s="8"/>
      <c r="Y14" s="8"/>
      <c r="Z14" s="8"/>
      <c r="AA14" s="8"/>
      <c r="AB14" s="8"/>
      <c r="AC14" s="8"/>
      <c r="AD14" s="19">
        <f>AD13+(AD13*$T$11)</f>
        <v>5795.1900711350745</v>
      </c>
      <c r="AE14" s="19">
        <v>10</v>
      </c>
    </row>
    <row r="15" spans="1:31" ht="15" customHeight="1" x14ac:dyDescent="0.25">
      <c r="A15" s="100">
        <f>U7</f>
        <v>2.9192864510309356E-2</v>
      </c>
      <c r="B15" s="8"/>
      <c r="C15" s="37"/>
      <c r="D15" s="229"/>
      <c r="E15" s="229"/>
      <c r="F15" s="229"/>
      <c r="G15" s="229"/>
      <c r="H15" s="55"/>
      <c r="I15" s="55"/>
      <c r="J15" s="71"/>
      <c r="K15" s="68"/>
      <c r="L15" s="8"/>
      <c r="M15" s="8"/>
      <c r="N15" s="8"/>
      <c r="O15" s="38"/>
      <c r="P15" s="50"/>
      <c r="Q15" s="8"/>
      <c r="R15" s="8"/>
      <c r="S15" s="55"/>
      <c r="T15" s="55"/>
      <c r="U15" s="8"/>
      <c r="V15" s="38"/>
      <c r="W15" s="8"/>
      <c r="X15" s="8"/>
      <c r="Y15" s="8"/>
      <c r="Z15" s="8"/>
      <c r="AA15" s="8"/>
      <c r="AB15" s="8"/>
      <c r="AC15" s="8"/>
      <c r="AD15" s="19" t="s">
        <v>67</v>
      </c>
      <c r="AE15" s="19">
        <f>AD14*T13</f>
        <v>144879.75177837687</v>
      </c>
    </row>
    <row r="16" spans="1:31" ht="15" customHeight="1" x14ac:dyDescent="0.25">
      <c r="A16" s="98"/>
      <c r="B16" s="8"/>
      <c r="C16" s="37"/>
      <c r="D16" s="229"/>
      <c r="E16" s="229"/>
      <c r="F16" s="229"/>
      <c r="G16" s="229"/>
      <c r="H16" s="55"/>
      <c r="I16" s="55"/>
      <c r="J16" s="71"/>
      <c r="K16" s="231" t="s">
        <v>51</v>
      </c>
      <c r="L16" s="231"/>
      <c r="M16" s="8"/>
      <c r="N16" s="8"/>
      <c r="O16" s="38"/>
      <c r="P16" s="50"/>
      <c r="Q16" s="8"/>
      <c r="R16" s="194" t="s">
        <v>131</v>
      </c>
      <c r="S16" s="234">
        <f>((NPV(T12,AD5:AD13,AE15) - AE16)/N32)*R17</f>
        <v>331.51424574999572</v>
      </c>
      <c r="T16" s="234"/>
      <c r="U16" s="8" t="s">
        <v>91</v>
      </c>
      <c r="V16" s="38"/>
      <c r="W16" s="8"/>
      <c r="X16" s="8"/>
      <c r="Y16" s="8"/>
      <c r="Z16" s="8"/>
      <c r="AA16" s="8"/>
      <c r="AB16" s="8"/>
      <c r="AC16" s="8"/>
      <c r="AD16" s="19" t="s">
        <v>15</v>
      </c>
      <c r="AE16" s="88">
        <f>E70</f>
        <v>-231.45599999999999</v>
      </c>
    </row>
    <row r="17" spans="1:31" ht="19.5" customHeight="1" x14ac:dyDescent="0.25">
      <c r="B17" s="8"/>
      <c r="C17" s="37"/>
      <c r="D17" s="229"/>
      <c r="E17" s="229"/>
      <c r="F17" s="229"/>
      <c r="G17" s="229"/>
      <c r="H17" s="55"/>
      <c r="I17" s="55"/>
      <c r="J17" s="8"/>
      <c r="K17" s="232">
        <f>I2+(E70/1000)</f>
        <v>24.132027185999998</v>
      </c>
      <c r="L17" s="232"/>
      <c r="M17" s="84" t="s">
        <v>57</v>
      </c>
      <c r="N17" s="8"/>
      <c r="O17" s="38"/>
      <c r="P17" s="50"/>
      <c r="Q17" s="8"/>
      <c r="R17" s="195">
        <v>1</v>
      </c>
      <c r="S17" s="234"/>
      <c r="T17" s="234"/>
      <c r="U17" s="101">
        <f>S16/J5 -1</f>
        <v>1.9270196516863476</v>
      </c>
      <c r="V17" s="38"/>
      <c r="W17" s="8"/>
      <c r="X17" s="8"/>
      <c r="Y17" s="8"/>
      <c r="Z17" s="8"/>
      <c r="AA17" s="8"/>
      <c r="AB17" s="8"/>
      <c r="AC17" s="8"/>
      <c r="AE17" s="88"/>
    </row>
    <row r="18" spans="1:31" ht="14.25" customHeight="1" x14ac:dyDescent="0.25">
      <c r="B18" s="8"/>
      <c r="C18" s="39"/>
      <c r="D18" s="60"/>
      <c r="E18" s="40"/>
      <c r="F18" s="40"/>
      <c r="G18" s="40"/>
      <c r="H18" s="61"/>
      <c r="I18" s="61"/>
      <c r="J18" s="61"/>
      <c r="K18" s="61"/>
      <c r="L18" s="40"/>
      <c r="M18" s="40"/>
      <c r="N18" s="40"/>
      <c r="O18" s="41"/>
      <c r="P18" s="50"/>
      <c r="Q18" s="40"/>
      <c r="R18" s="40"/>
      <c r="S18" s="61"/>
      <c r="T18" s="61"/>
      <c r="U18" s="40"/>
      <c r="V18" s="41"/>
      <c r="W18" s="8"/>
      <c r="X18" s="8"/>
      <c r="Y18" s="8"/>
      <c r="Z18" s="8"/>
      <c r="AA18" s="8"/>
      <c r="AB18" s="8"/>
      <c r="AC18" s="8"/>
    </row>
    <row r="19" spans="1:31" ht="37.5" customHeight="1" x14ac:dyDescent="0.25">
      <c r="B19" s="8"/>
      <c r="C19" s="8"/>
      <c r="D19" s="113"/>
      <c r="E19" s="8"/>
      <c r="F19" s="8"/>
      <c r="G19" s="8"/>
      <c r="H19" s="46"/>
      <c r="I19" s="46"/>
      <c r="J19" s="46"/>
      <c r="K19" s="46"/>
      <c r="L19" s="8"/>
      <c r="M19" s="8"/>
      <c r="N19" s="8"/>
      <c r="O19" s="8"/>
      <c r="P19" s="8"/>
      <c r="Q19" s="8"/>
      <c r="R19" s="8"/>
      <c r="S19" s="55"/>
      <c r="T19" s="55"/>
      <c r="U19" s="8"/>
      <c r="V19" s="8"/>
      <c r="W19" s="8"/>
      <c r="X19" s="8"/>
      <c r="Y19" s="8"/>
      <c r="Z19" s="8"/>
      <c r="AA19" s="8"/>
      <c r="AB19" s="8"/>
      <c r="AC19" s="8"/>
    </row>
    <row r="20" spans="1:31" s="24" customFormat="1" ht="18.95" customHeight="1" x14ac:dyDescent="0.25">
      <c r="A20" s="23"/>
      <c r="B20" s="20"/>
      <c r="C20" s="21"/>
      <c r="D20" s="2"/>
      <c r="E20" s="14">
        <v>2013</v>
      </c>
      <c r="F20" s="14">
        <v>2014</v>
      </c>
      <c r="G20" s="14">
        <v>2015</v>
      </c>
      <c r="H20" s="14">
        <v>2016</v>
      </c>
      <c r="I20" s="14">
        <v>2017</v>
      </c>
      <c r="J20" s="14">
        <v>2018</v>
      </c>
      <c r="K20" s="14">
        <v>2019</v>
      </c>
      <c r="L20" s="14">
        <v>2020</v>
      </c>
      <c r="M20" s="14">
        <v>2021</v>
      </c>
      <c r="N20" s="192" t="s">
        <v>130</v>
      </c>
      <c r="O20" s="22"/>
      <c r="P20" s="23"/>
      <c r="Q20" s="33"/>
      <c r="R20" s="42" t="s">
        <v>25</v>
      </c>
      <c r="S20" s="42" t="s">
        <v>26</v>
      </c>
      <c r="T20" s="42" t="s">
        <v>27</v>
      </c>
      <c r="U20" s="42" t="s">
        <v>28</v>
      </c>
      <c r="V20" s="34"/>
      <c r="W20" s="23"/>
      <c r="Y20" s="23"/>
      <c r="Z20" s="23"/>
      <c r="AA20" s="23"/>
      <c r="AB20" s="23"/>
      <c r="AC20" s="23"/>
    </row>
    <row r="21" spans="1:31" s="24" customFormat="1" ht="20.100000000000001" customHeight="1" x14ac:dyDescent="0.25">
      <c r="A21" s="23"/>
      <c r="B21" s="23"/>
      <c r="C21" s="25"/>
      <c r="D21" s="4" t="s">
        <v>1</v>
      </c>
      <c r="E21" s="5">
        <f>IncomeStatement!C4</f>
        <v>0</v>
      </c>
      <c r="F21" s="5">
        <f>IncomeStatement!D4</f>
        <v>0</v>
      </c>
      <c r="G21" s="5">
        <f>IncomeStatement!E4</f>
        <v>0</v>
      </c>
      <c r="H21" s="5">
        <f>IncomeStatement!F4</f>
        <v>0</v>
      </c>
      <c r="I21" s="222" t="str">
        <f>IncomeStatement!G4</f>
        <v>213,82</v>
      </c>
      <c r="J21" s="6" t="str">
        <f>IncomeStatement!H4</f>
        <v>281,07</v>
      </c>
      <c r="K21" s="222" t="str">
        <f>IncomeStatement!I4</f>
        <v>410,19</v>
      </c>
      <c r="L21" s="222" t="str">
        <f>IncomeStatement!J4</f>
        <v>685,48</v>
      </c>
      <c r="M21" s="222" t="str">
        <f>IncomeStatement!K4</f>
        <v>1216,45</v>
      </c>
      <c r="N21" s="222" t="str">
        <f>IncomeStatement!L4</f>
        <v>1322,38</v>
      </c>
      <c r="O21" s="26"/>
      <c r="P21" s="23"/>
      <c r="Q21" s="35"/>
      <c r="R21" s="43" t="str">
        <f t="shared" ref="R21:R34" si="0">IFERROR((N21/M21-1),"")</f>
        <v/>
      </c>
      <c r="S21" s="43" t="str">
        <f t="shared" ref="S21:S34" si="1">IFERROR(((N21/K21)^(1/3) -1),"")</f>
        <v/>
      </c>
      <c r="T21" s="43" t="str">
        <f t="shared" ref="T21:T34" si="2">IFERROR(((N21/I21)^(1/5) -1),"")</f>
        <v/>
      </c>
      <c r="U21" s="43" t="str">
        <f t="shared" ref="U21:U34" si="3">IFERROR(((N21/E21)^(1/9) -1),"")</f>
        <v/>
      </c>
      <c r="V21" s="36"/>
      <c r="W21" s="23"/>
      <c r="X21" s="49"/>
      <c r="Y21" s="23"/>
      <c r="Z21" s="23"/>
      <c r="AA21" s="23"/>
      <c r="AB21" s="23"/>
      <c r="AC21" s="23"/>
    </row>
    <row r="22" spans="1:31" s="24" customFormat="1" ht="20.100000000000001" customHeight="1" x14ac:dyDescent="0.25">
      <c r="A22" s="23"/>
      <c r="B22" s="23"/>
      <c r="C22" s="25"/>
      <c r="D22" s="4" t="s">
        <v>2</v>
      </c>
      <c r="E22" s="5">
        <f>IncomeStatement!C17</f>
        <v>0</v>
      </c>
      <c r="F22" s="5">
        <f>IncomeStatement!D17</f>
        <v>0</v>
      </c>
      <c r="G22" s="5">
        <f>IncomeStatement!E17</f>
        <v>0</v>
      </c>
      <c r="H22" s="5">
        <f>IncomeStatement!F17</f>
        <v>0</v>
      </c>
      <c r="I22" s="5" t="str">
        <f>IncomeStatement!G17</f>
        <v>214,02</v>
      </c>
      <c r="J22" s="5" t="str">
        <f>IncomeStatement!H17</f>
        <v>281,15</v>
      </c>
      <c r="K22" s="5" t="str">
        <f>IncomeStatement!I17</f>
        <v>410,27</v>
      </c>
      <c r="L22" s="5" t="str">
        <f>IncomeStatement!J17</f>
        <v>685,48</v>
      </c>
      <c r="M22" s="5" t="str">
        <f>IncomeStatement!K17</f>
        <v>1216,45</v>
      </c>
      <c r="N22" s="5" t="str">
        <f>IncomeStatement!L17</f>
        <v>1322,38</v>
      </c>
      <c r="O22" s="26"/>
      <c r="P22" s="23"/>
      <c r="Q22" s="35"/>
      <c r="R22" s="43" t="str">
        <f t="shared" si="0"/>
        <v/>
      </c>
      <c r="S22" s="43" t="str">
        <f t="shared" si="1"/>
        <v/>
      </c>
      <c r="T22" s="43" t="str">
        <f t="shared" si="2"/>
        <v/>
      </c>
      <c r="U22" s="43" t="str">
        <f t="shared" si="3"/>
        <v/>
      </c>
      <c r="V22" s="36"/>
      <c r="W22" s="23"/>
      <c r="X22" s="49"/>
      <c r="Y22" s="23"/>
      <c r="Z22" s="23"/>
      <c r="AA22" s="23"/>
      <c r="AB22" s="23"/>
      <c r="AC22" s="23"/>
    </row>
    <row r="23" spans="1:31" s="24" customFormat="1" ht="20.100000000000001" customHeight="1" x14ac:dyDescent="0.25">
      <c r="A23" s="23"/>
      <c r="B23" s="23"/>
      <c r="C23" s="25"/>
      <c r="D23" s="4" t="s">
        <v>3</v>
      </c>
      <c r="E23" s="5">
        <v>11.344391</v>
      </c>
      <c r="F23" s="5">
        <v>16.993368</v>
      </c>
      <c r="G23" s="5">
        <v>27.021000000000001</v>
      </c>
      <c r="H23" s="5">
        <v>44.616999999999997</v>
      </c>
      <c r="I23" s="5">
        <v>80.599999999999994</v>
      </c>
      <c r="J23" s="5">
        <v>107.682</v>
      </c>
      <c r="K23" s="5">
        <v>182.96600000000001</v>
      </c>
      <c r="L23" s="5">
        <v>332.26</v>
      </c>
      <c r="M23" s="5">
        <v>730.93700000000001</v>
      </c>
      <c r="N23" s="5">
        <v>951.66399999999999</v>
      </c>
      <c r="O23" s="26"/>
      <c r="P23" s="23"/>
      <c r="Q23" s="35"/>
      <c r="R23" s="43">
        <f t="shared" si="0"/>
        <v>0.30197814585935578</v>
      </c>
      <c r="S23" s="43">
        <f t="shared" si="1"/>
        <v>0.73262435860094111</v>
      </c>
      <c r="T23" s="43">
        <f t="shared" si="2"/>
        <v>0.63843689799896275</v>
      </c>
      <c r="U23" s="43">
        <f t="shared" si="3"/>
        <v>0.63585466620361619</v>
      </c>
      <c r="V23" s="36"/>
      <c r="W23" s="23"/>
      <c r="X23" s="49"/>
      <c r="Y23" s="23"/>
      <c r="Z23" s="23"/>
      <c r="AA23" s="23"/>
      <c r="AB23" s="23"/>
      <c r="AC23" s="23"/>
    </row>
    <row r="24" spans="1:31" s="24" customFormat="1" ht="20.100000000000001" customHeight="1" x14ac:dyDescent="0.25">
      <c r="A24" s="23"/>
      <c r="B24" s="23"/>
      <c r="C24" s="25"/>
      <c r="D24" s="4" t="s">
        <v>4</v>
      </c>
      <c r="E24" s="5">
        <v>8.6309280000000008</v>
      </c>
      <c r="F24" s="5">
        <v>13.091184999999999</v>
      </c>
      <c r="G24" s="5">
        <v>21.082999999999998</v>
      </c>
      <c r="H24" s="5">
        <v>34.863999999999997</v>
      </c>
      <c r="I24" s="5">
        <v>66.881</v>
      </c>
      <c r="J24" s="5">
        <v>89.483999999999995</v>
      </c>
      <c r="K24" s="5">
        <v>157.47200000000001</v>
      </c>
      <c r="L24" s="5">
        <v>299.7</v>
      </c>
      <c r="M24" s="5">
        <v>654.00400000000002</v>
      </c>
      <c r="N24" s="5">
        <v>842.59900000000005</v>
      </c>
      <c r="O24" s="26"/>
      <c r="P24" s="23"/>
      <c r="Q24" s="35"/>
      <c r="R24" s="43">
        <f t="shared" si="0"/>
        <v>0.28836979590338907</v>
      </c>
      <c r="S24" s="43">
        <f t="shared" si="1"/>
        <v>0.74906466169523656</v>
      </c>
      <c r="T24" s="43">
        <f t="shared" si="2"/>
        <v>0.65983010108209705</v>
      </c>
      <c r="U24" s="43">
        <f t="shared" si="3"/>
        <v>0.66365245442738607</v>
      </c>
      <c r="V24" s="36"/>
      <c r="W24" s="23"/>
      <c r="X24" s="49"/>
      <c r="Y24" s="23"/>
      <c r="Z24" s="23"/>
      <c r="AA24" s="23"/>
      <c r="AB24" s="23"/>
      <c r="AC24" s="23"/>
    </row>
    <row r="25" spans="1:31" s="24" customFormat="1" ht="20.100000000000001" customHeight="1" x14ac:dyDescent="0.25">
      <c r="A25" s="23"/>
      <c r="B25" s="23"/>
      <c r="C25" s="25"/>
      <c r="D25" s="4" t="s">
        <v>5</v>
      </c>
      <c r="E25" s="5">
        <v>7.1677879999999998</v>
      </c>
      <c r="F25" s="5">
        <v>12.097384999999999</v>
      </c>
      <c r="G25" s="5">
        <v>20.027999999999999</v>
      </c>
      <c r="H25" s="5">
        <v>31.74</v>
      </c>
      <c r="I25" s="5">
        <v>62.128999999999998</v>
      </c>
      <c r="J25" s="5">
        <v>83.46</v>
      </c>
      <c r="K25" s="5">
        <v>149.726</v>
      </c>
      <c r="L25" s="5">
        <v>284.62200000000001</v>
      </c>
      <c r="M25" s="5">
        <v>605.43499999999995</v>
      </c>
      <c r="N25" s="5">
        <v>791.41600000000005</v>
      </c>
      <c r="O25" s="26"/>
      <c r="P25" s="23"/>
      <c r="Q25" s="35"/>
      <c r="R25" s="43">
        <f t="shared" si="0"/>
        <v>0.30718574248267805</v>
      </c>
      <c r="S25" s="43">
        <f t="shared" si="1"/>
        <v>0.74195073330916173</v>
      </c>
      <c r="T25" s="43">
        <f t="shared" si="2"/>
        <v>0.66349727021183491</v>
      </c>
      <c r="U25" s="43">
        <f t="shared" si="3"/>
        <v>0.68656151472237514</v>
      </c>
      <c r="V25" s="36"/>
      <c r="W25" s="23"/>
      <c r="X25" s="49"/>
      <c r="Y25" s="23"/>
      <c r="Z25" s="23"/>
      <c r="AA25" s="23"/>
      <c r="AB25" s="23"/>
      <c r="AC25" s="23"/>
    </row>
    <row r="26" spans="1:31" s="24" customFormat="1" ht="20.100000000000001" customHeight="1" x14ac:dyDescent="0.25">
      <c r="A26" s="23"/>
      <c r="B26" s="23"/>
      <c r="C26" s="25"/>
      <c r="D26" s="17" t="s">
        <v>11</v>
      </c>
      <c r="E26" s="18">
        <v>3.8394509999999999</v>
      </c>
      <c r="F26" s="18">
        <v>8.2511080000000003</v>
      </c>
      <c r="G26" s="18">
        <v>11.952</v>
      </c>
      <c r="H26" s="18">
        <v>8.8450000000000006</v>
      </c>
      <c r="I26" s="18">
        <v>41.534999999999997</v>
      </c>
      <c r="J26" s="18">
        <v>66.906000000000006</v>
      </c>
      <c r="K26" s="18">
        <v>145.678</v>
      </c>
      <c r="L26" s="18">
        <v>279.16500000000002</v>
      </c>
      <c r="M26" s="18">
        <v>537.303</v>
      </c>
      <c r="N26" s="18">
        <v>704.48299999999995</v>
      </c>
      <c r="O26" s="26"/>
      <c r="P26" s="23"/>
      <c r="Q26" s="35"/>
      <c r="R26" s="43">
        <f t="shared" si="0"/>
        <v>0.31114659698531355</v>
      </c>
      <c r="S26" s="43">
        <f t="shared" si="1"/>
        <v>0.69105934618163145</v>
      </c>
      <c r="T26" s="43">
        <f t="shared" si="2"/>
        <v>0.76153493482720869</v>
      </c>
      <c r="U26" s="43">
        <f t="shared" si="3"/>
        <v>0.78447827628298716</v>
      </c>
      <c r="V26" s="36"/>
      <c r="W26" s="23"/>
      <c r="X26" s="49"/>
      <c r="Y26" s="23"/>
      <c r="Z26" s="23"/>
      <c r="AA26" s="23"/>
      <c r="AB26" s="23"/>
      <c r="AC26" s="23"/>
    </row>
    <row r="27" spans="1:31" s="24" customFormat="1" ht="20.100000000000001" customHeight="1" x14ac:dyDescent="0.25">
      <c r="A27" s="23"/>
      <c r="B27" s="23"/>
      <c r="C27" s="25"/>
      <c r="D27" s="15" t="s">
        <v>16</v>
      </c>
      <c r="E27" s="16">
        <v>0.21556784350633856</v>
      </c>
      <c r="F27" s="16">
        <v>0.2698417811967887</v>
      </c>
      <c r="G27" s="16">
        <v>0.42534366195943507</v>
      </c>
      <c r="H27" s="16">
        <v>0.64197825894346339</v>
      </c>
      <c r="I27" s="16">
        <v>0.99184392757407014</v>
      </c>
      <c r="J27" s="16">
        <v>1.3645561735424681</v>
      </c>
      <c r="K27" s="16">
        <v>2.0236663371737231</v>
      </c>
      <c r="L27" s="16">
        <v>3.0508365192961602</v>
      </c>
      <c r="M27" s="16">
        <v>5.8108471462855436</v>
      </c>
      <c r="N27" s="16">
        <v>6.3295345682153696</v>
      </c>
      <c r="O27" s="26"/>
      <c r="P27" s="23"/>
      <c r="Q27" s="35"/>
      <c r="R27" s="43">
        <f t="shared" si="0"/>
        <v>8.9261928402536883E-2</v>
      </c>
      <c r="S27" s="43">
        <f t="shared" si="1"/>
        <v>0.46243853753171971</v>
      </c>
      <c r="T27" s="43">
        <f t="shared" si="2"/>
        <v>0.44872410884219094</v>
      </c>
      <c r="U27" s="43">
        <f t="shared" si="3"/>
        <v>0.45575246181078133</v>
      </c>
      <c r="V27" s="36"/>
      <c r="W27" s="23"/>
      <c r="X27" s="49"/>
      <c r="Y27" s="23"/>
      <c r="Z27" s="23"/>
      <c r="AA27" s="23"/>
      <c r="AB27" s="23"/>
      <c r="AC27" s="23"/>
    </row>
    <row r="28" spans="1:31" s="24" customFormat="1" ht="20.100000000000001" customHeight="1" x14ac:dyDescent="0.25">
      <c r="A28" s="23"/>
      <c r="B28" s="23"/>
      <c r="C28" s="25"/>
      <c r="D28" s="4" t="s">
        <v>17</v>
      </c>
      <c r="E28" s="6">
        <v>4.7989088354564648E-2</v>
      </c>
      <c r="F28" s="6">
        <v>7.2788700546563639E-2</v>
      </c>
      <c r="G28" s="6">
        <v>0.11743894531215403</v>
      </c>
      <c r="H28" s="6">
        <v>0.19384839919804009</v>
      </c>
      <c r="I28" s="6">
        <v>0.37186710609121498</v>
      </c>
      <c r="J28" s="6">
        <v>0.49754274190676401</v>
      </c>
      <c r="K28" s="6">
        <v>0.87127557866374072</v>
      </c>
      <c r="L28" s="6">
        <v>1.6294427085741716</v>
      </c>
      <c r="M28" s="6">
        <v>3.5557625931876626</v>
      </c>
      <c r="N28" s="6">
        <v>3.9520555896254899</v>
      </c>
      <c r="O28" s="26"/>
      <c r="P28" s="23"/>
      <c r="Q28" s="35"/>
      <c r="R28" s="43">
        <f t="shared" si="0"/>
        <v>0.11145091553555031</v>
      </c>
      <c r="S28" s="43">
        <f t="shared" si="1"/>
        <v>0.65534746414178402</v>
      </c>
      <c r="T28" s="43">
        <f t="shared" si="2"/>
        <v>0.60430543997820907</v>
      </c>
      <c r="U28" s="43">
        <f t="shared" si="3"/>
        <v>0.63250076661033683</v>
      </c>
      <c r="V28" s="36"/>
      <c r="W28" s="23"/>
      <c r="X28" s="49"/>
      <c r="Y28" s="23"/>
      <c r="Z28" s="23"/>
      <c r="AA28" s="23"/>
      <c r="AB28" s="23"/>
      <c r="AC28" s="23"/>
    </row>
    <row r="29" spans="1:31" s="24" customFormat="1" ht="20.100000000000001" customHeight="1" x14ac:dyDescent="0.25">
      <c r="A29" s="23"/>
      <c r="B29" s="23"/>
      <c r="C29" s="25"/>
      <c r="D29" s="4" t="s">
        <v>6</v>
      </c>
      <c r="E29" s="6">
        <v>0.04</v>
      </c>
      <c r="F29" s="6">
        <v>7.0000000000000007E-2</v>
      </c>
      <c r="G29" s="6">
        <v>0.11</v>
      </c>
      <c r="H29" s="6">
        <v>0.18</v>
      </c>
      <c r="I29" s="6">
        <v>0.35</v>
      </c>
      <c r="J29" s="6">
        <v>0.46</v>
      </c>
      <c r="K29" s="6">
        <v>0.83</v>
      </c>
      <c r="L29" s="6">
        <v>1.55</v>
      </c>
      <c r="M29" s="6">
        <v>3.29</v>
      </c>
      <c r="N29" s="6">
        <v>9.32</v>
      </c>
      <c r="O29" s="26"/>
      <c r="P29" s="23"/>
      <c r="Q29" s="35"/>
      <c r="R29" s="43">
        <f t="shared" si="0"/>
        <v>1.8328267477203646</v>
      </c>
      <c r="S29" s="43">
        <f t="shared" si="1"/>
        <v>1.2393016838072208</v>
      </c>
      <c r="T29" s="43">
        <f t="shared" si="2"/>
        <v>0.92783372575160983</v>
      </c>
      <c r="U29" s="43">
        <f t="shared" si="3"/>
        <v>0.83248128020360923</v>
      </c>
      <c r="V29" s="36"/>
      <c r="W29" s="23"/>
      <c r="X29" s="49"/>
      <c r="Y29" s="23"/>
      <c r="Z29" s="23"/>
      <c r="AA29" s="23"/>
      <c r="AB29" s="23"/>
      <c r="AC29" s="23"/>
    </row>
    <row r="30" spans="1:31" s="24" customFormat="1" ht="20.100000000000001" customHeight="1" x14ac:dyDescent="0.25">
      <c r="A30" s="23"/>
      <c r="B30" s="23"/>
      <c r="C30" s="25"/>
      <c r="D30" s="4" t="s">
        <v>12</v>
      </c>
      <c r="E30" s="6">
        <v>2.1347849648615025E-2</v>
      </c>
      <c r="F30" s="6">
        <v>4.5877239485146347E-2</v>
      </c>
      <c r="G30" s="6">
        <v>6.657640157334653E-2</v>
      </c>
      <c r="H30" s="6">
        <v>4.9179356668961241E-2</v>
      </c>
      <c r="I30" s="6">
        <v>0.23094003157097853</v>
      </c>
      <c r="J30" s="6">
        <v>0.3720061093604885</v>
      </c>
      <c r="K30" s="6">
        <v>0.80602064969376408</v>
      </c>
      <c r="L30" s="6">
        <v>1.5177957081718672</v>
      </c>
      <c r="M30" s="6">
        <v>2.9212694549383653</v>
      </c>
      <c r="N30" s="6">
        <v>3.3042479019630147</v>
      </c>
      <c r="O30" s="26"/>
      <c r="P30" s="23"/>
      <c r="Q30" s="35"/>
      <c r="R30" s="43">
        <f t="shared" si="0"/>
        <v>0.13110000735373095</v>
      </c>
      <c r="S30" s="43">
        <f t="shared" si="1"/>
        <v>0.60045015014018133</v>
      </c>
      <c r="T30" s="43">
        <f t="shared" si="2"/>
        <v>0.70260804211983108</v>
      </c>
      <c r="U30" s="43">
        <f t="shared" si="3"/>
        <v>0.75106413979604447</v>
      </c>
      <c r="V30" s="36"/>
      <c r="W30" s="23"/>
      <c r="X30" s="49"/>
      <c r="Y30" s="23"/>
      <c r="Z30" s="23"/>
      <c r="AA30" s="23"/>
      <c r="AB30" s="23"/>
      <c r="AC30" s="23"/>
    </row>
    <row r="31" spans="1:31" s="24" customFormat="1" ht="20.100000000000001" customHeight="1" x14ac:dyDescent="0.25">
      <c r="A31" s="23"/>
      <c r="B31" s="23"/>
      <c r="C31" s="25"/>
      <c r="D31" s="4" t="s">
        <v>18</v>
      </c>
      <c r="E31" s="6">
        <v>-1.9460457698288788E-2</v>
      </c>
      <c r="F31" s="6">
        <v>-3.0580719240168096E-2</v>
      </c>
      <c r="G31" s="6">
        <v>0</v>
      </c>
      <c r="H31" s="6">
        <v>-6.3997105173515423E-2</v>
      </c>
      <c r="I31" s="6">
        <v>-9.0001836789200179E-2</v>
      </c>
      <c r="J31" s="6">
        <v>-0.17999811344762942</v>
      </c>
      <c r="K31" s="6">
        <v>-0.23882175293030955</v>
      </c>
      <c r="L31" s="6">
        <v>-0.41396652596208683</v>
      </c>
      <c r="M31" s="6">
        <v>-0.78499231614733411</v>
      </c>
      <c r="N31" s="6">
        <v>-1.4219490373712655</v>
      </c>
      <c r="O31" s="26"/>
      <c r="P31" s="23"/>
      <c r="Q31" s="35"/>
      <c r="R31" s="43">
        <f t="shared" si="0"/>
        <v>0.81141777839310958</v>
      </c>
      <c r="S31" s="43">
        <f t="shared" si="1"/>
        <v>0.81246675768943555</v>
      </c>
      <c r="T31" s="43">
        <f t="shared" si="2"/>
        <v>0.73670690800796979</v>
      </c>
      <c r="U31" s="43">
        <f t="shared" si="3"/>
        <v>0.61094688026922106</v>
      </c>
      <c r="V31" s="36"/>
      <c r="W31" s="23"/>
      <c r="X31" s="49"/>
      <c r="Y31" s="23"/>
      <c r="Z31" s="23"/>
      <c r="AA31" s="23"/>
      <c r="AB31" s="23"/>
      <c r="AC31" s="23"/>
    </row>
    <row r="32" spans="1:31" s="24" customFormat="1" ht="20.100000000000001" customHeight="1" x14ac:dyDescent="0.25">
      <c r="A32" s="23"/>
      <c r="B32" s="23"/>
      <c r="C32" s="25"/>
      <c r="D32" s="4" t="s">
        <v>29</v>
      </c>
      <c r="E32" s="6">
        <v>179.85188500000001</v>
      </c>
      <c r="F32" s="6">
        <v>179.85188500000001</v>
      </c>
      <c r="G32" s="6">
        <v>179.52306999999999</v>
      </c>
      <c r="H32" s="6">
        <v>179.85188500000001</v>
      </c>
      <c r="I32" s="6">
        <v>179.85188500000001</v>
      </c>
      <c r="J32" s="6">
        <v>179.85188500000001</v>
      </c>
      <c r="K32" s="6">
        <v>180.73730499999999</v>
      </c>
      <c r="L32" s="6">
        <v>183.92791500000001</v>
      </c>
      <c r="M32" s="6">
        <v>183.92791500000001</v>
      </c>
      <c r="N32" s="6">
        <v>213.20525000000001</v>
      </c>
      <c r="O32" s="26"/>
      <c r="P32" s="23"/>
      <c r="Q32" s="35"/>
      <c r="R32" s="43">
        <f t="shared" si="0"/>
        <v>0.15917831178589714</v>
      </c>
      <c r="S32" s="43">
        <f t="shared" si="1"/>
        <v>5.6614819295379926E-2</v>
      </c>
      <c r="T32" s="43">
        <f t="shared" si="2"/>
        <v>3.4609781728747624E-2</v>
      </c>
      <c r="U32" s="43">
        <f t="shared" si="3"/>
        <v>1.9082188783121623E-2</v>
      </c>
      <c r="V32" s="36"/>
      <c r="W32" s="23"/>
      <c r="X32" s="49"/>
      <c r="Y32" s="23"/>
      <c r="Z32" s="23"/>
      <c r="AA32" s="23"/>
      <c r="AB32" s="23"/>
      <c r="AC32" s="23"/>
    </row>
    <row r="33" spans="1:29" s="24" customFormat="1" ht="20.100000000000001" customHeight="1" x14ac:dyDescent="0.25">
      <c r="A33" s="23"/>
      <c r="B33" s="23"/>
      <c r="C33" s="25"/>
      <c r="D33" s="4" t="s">
        <v>30</v>
      </c>
      <c r="E33" s="6">
        <v>179.85188500000001</v>
      </c>
      <c r="F33" s="6">
        <v>179.85188500000001</v>
      </c>
      <c r="G33" s="6">
        <v>179.52306999999999</v>
      </c>
      <c r="H33" s="6">
        <v>180.76459500000001</v>
      </c>
      <c r="I33" s="6">
        <v>181.68522999999999</v>
      </c>
      <c r="J33" s="6">
        <v>182.62524500000001</v>
      </c>
      <c r="K33" s="6">
        <v>183.38734099999999</v>
      </c>
      <c r="L33" s="6">
        <v>189.02134599999999</v>
      </c>
      <c r="M33" s="6">
        <v>189.02134599999999</v>
      </c>
      <c r="N33" s="6">
        <v>217.12530000000001</v>
      </c>
      <c r="O33" s="26"/>
      <c r="P33" s="23"/>
      <c r="Q33" s="35"/>
      <c r="R33" s="43">
        <f t="shared" si="0"/>
        <v>0.14868137696998529</v>
      </c>
      <c r="S33" s="43">
        <f t="shared" si="1"/>
        <v>5.7905867754641349E-2</v>
      </c>
      <c r="T33" s="43">
        <f t="shared" si="2"/>
        <v>3.6282494129215248E-2</v>
      </c>
      <c r="U33" s="43">
        <f t="shared" si="3"/>
        <v>2.1147273145167178E-2</v>
      </c>
      <c r="V33" s="36"/>
      <c r="W33" s="23"/>
      <c r="X33" s="51"/>
      <c r="Y33" s="23"/>
      <c r="Z33" s="23"/>
      <c r="AA33" s="23"/>
      <c r="AB33" s="23"/>
      <c r="AC33" s="23"/>
    </row>
    <row r="34" spans="1:29" ht="20.100000000000001" customHeight="1" x14ac:dyDescent="0.25">
      <c r="B34" s="8"/>
      <c r="C34" s="27"/>
      <c r="D34" s="4" t="s">
        <v>13</v>
      </c>
      <c r="E34" s="6">
        <v>7.8144168463955777E-2</v>
      </c>
      <c r="F34" s="6">
        <v>0.13185868471714934</v>
      </c>
      <c r="G34" s="6">
        <v>0.2440466286589239</v>
      </c>
      <c r="H34" s="6">
        <v>0.35527011573996015</v>
      </c>
      <c r="I34" s="6">
        <v>0.61095272924162014</v>
      </c>
      <c r="J34" s="6">
        <v>0.9022424202003777</v>
      </c>
      <c r="K34" s="6">
        <v>1.5541727813192745</v>
      </c>
      <c r="L34" s="6">
        <v>14.821953481068929</v>
      </c>
      <c r="M34" s="6">
        <v>17.348916286035212</v>
      </c>
      <c r="N34" s="6">
        <v>15.507718501303321</v>
      </c>
      <c r="O34" s="7"/>
      <c r="P34" s="8"/>
      <c r="Q34" s="37"/>
      <c r="R34" s="43">
        <f t="shared" si="0"/>
        <v>-0.10612753871052683</v>
      </c>
      <c r="S34" s="43">
        <f t="shared" si="1"/>
        <v>1.152862055971307</v>
      </c>
      <c r="T34" s="43">
        <f t="shared" si="2"/>
        <v>0.90944898587198586</v>
      </c>
      <c r="U34" s="43">
        <f t="shared" si="3"/>
        <v>0.80009154800182669</v>
      </c>
      <c r="V34" s="38"/>
      <c r="W34" s="8"/>
      <c r="X34" s="51"/>
      <c r="Y34" s="8"/>
      <c r="Z34" s="8"/>
      <c r="AA34" s="8"/>
      <c r="AB34" s="8"/>
      <c r="AC34" s="8"/>
    </row>
    <row r="35" spans="1:29" ht="20.100000000000001" customHeight="1" x14ac:dyDescent="0.25">
      <c r="B35" s="8"/>
      <c r="C35" s="27"/>
      <c r="D35" s="94"/>
      <c r="E35" s="95"/>
      <c r="F35" s="95"/>
      <c r="G35" s="95"/>
      <c r="H35" s="95"/>
      <c r="I35" s="95"/>
      <c r="J35" s="95"/>
      <c r="K35" s="95"/>
      <c r="L35" s="95"/>
      <c r="M35" s="95"/>
      <c r="N35" s="95"/>
      <c r="O35" s="7"/>
      <c r="P35" s="8"/>
      <c r="Q35" s="37"/>
      <c r="R35" s="8"/>
      <c r="S35" s="8"/>
      <c r="T35" s="8"/>
      <c r="U35" s="8"/>
      <c r="V35" s="38"/>
      <c r="W35" s="8"/>
      <c r="X35" s="8"/>
      <c r="Y35" s="8"/>
      <c r="Z35" s="8"/>
      <c r="AA35" s="8"/>
      <c r="AB35" s="8"/>
      <c r="AC35" s="8"/>
    </row>
    <row r="36" spans="1:29" ht="20.100000000000001" customHeight="1" x14ac:dyDescent="0.25">
      <c r="B36" s="8"/>
      <c r="C36" s="27"/>
      <c r="D36" s="9"/>
      <c r="E36" s="8">
        <v>2013</v>
      </c>
      <c r="F36" s="8">
        <v>2014</v>
      </c>
      <c r="G36" s="8">
        <v>2015</v>
      </c>
      <c r="H36" s="47">
        <v>2016</v>
      </c>
      <c r="I36" s="8">
        <v>2017</v>
      </c>
      <c r="J36" s="8">
        <v>2018</v>
      </c>
      <c r="K36" s="8">
        <v>2019</v>
      </c>
      <c r="L36" s="8">
        <v>2020</v>
      </c>
      <c r="M36" s="47">
        <v>2021</v>
      </c>
      <c r="N36" s="193" t="s">
        <v>130</v>
      </c>
      <c r="O36" s="7"/>
      <c r="P36" s="8"/>
      <c r="Q36" s="37"/>
      <c r="R36" s="8"/>
      <c r="S36" s="8"/>
      <c r="T36" s="8"/>
      <c r="U36" s="8"/>
      <c r="V36" s="38"/>
      <c r="W36" s="8"/>
      <c r="X36" s="8"/>
      <c r="Y36" s="8"/>
      <c r="Z36" s="8"/>
      <c r="AA36" s="8"/>
      <c r="AB36" s="8"/>
      <c r="AC36" s="8"/>
    </row>
    <row r="37" spans="1:29" ht="20.100000000000001" customHeight="1" x14ac:dyDescent="0.25">
      <c r="B37" s="8"/>
      <c r="C37" s="27"/>
      <c r="D37" s="2" t="s">
        <v>31</v>
      </c>
      <c r="E37" s="3">
        <v>100</v>
      </c>
      <c r="F37" s="3">
        <v>100</v>
      </c>
      <c r="G37" s="3">
        <v>100</v>
      </c>
      <c r="H37" s="3">
        <v>100</v>
      </c>
      <c r="I37" s="3">
        <v>100</v>
      </c>
      <c r="J37" s="3">
        <v>100</v>
      </c>
      <c r="K37" s="3">
        <v>100</v>
      </c>
      <c r="L37" s="3">
        <v>100</v>
      </c>
      <c r="M37" s="3">
        <v>100</v>
      </c>
      <c r="N37" s="3">
        <v>100</v>
      </c>
      <c r="O37" s="7"/>
      <c r="P37" s="8"/>
      <c r="Q37" s="37"/>
      <c r="R37" s="43">
        <f t="shared" ref="R37:R47" si="4">IFERROR((N37/M37-1),"")</f>
        <v>0</v>
      </c>
      <c r="S37" s="43">
        <f t="shared" ref="S37:S47" si="5">IFERROR(((N37/K37)^(1/3) -1),"")</f>
        <v>0</v>
      </c>
      <c r="T37" s="43">
        <f t="shared" ref="T37:T47" si="6">IFERROR(((N37/I37)^(1/5) -1),"")</f>
        <v>0</v>
      </c>
      <c r="U37" s="43">
        <f t="shared" ref="U37:U47" si="7">IFERROR(((N37/E37)^(1/9) -1),"")</f>
        <v>0</v>
      </c>
      <c r="V37" s="38"/>
      <c r="W37" s="8"/>
      <c r="X37" s="52"/>
      <c r="Y37" s="8"/>
      <c r="Z37" s="8"/>
      <c r="AA37" s="8"/>
      <c r="AB37" s="8"/>
      <c r="AC37" s="8"/>
    </row>
    <row r="38" spans="1:29" ht="20.100000000000001" customHeight="1" x14ac:dyDescent="0.25">
      <c r="B38" s="8"/>
      <c r="C38" s="27"/>
      <c r="D38" s="11" t="s">
        <v>83</v>
      </c>
      <c r="E38" s="12">
        <v>57.91</v>
      </c>
      <c r="F38" s="12">
        <v>61.5</v>
      </c>
      <c r="G38" s="12"/>
      <c r="H38" s="12"/>
      <c r="I38" s="12"/>
      <c r="J38" s="12"/>
      <c r="K38" s="12"/>
      <c r="L38" s="12"/>
      <c r="M38" s="12">
        <v>84.7</v>
      </c>
      <c r="N38" s="12">
        <v>0</v>
      </c>
      <c r="O38" s="7"/>
      <c r="P38" s="8"/>
      <c r="Q38" s="37"/>
      <c r="R38" s="43">
        <f t="shared" si="4"/>
        <v>-1</v>
      </c>
      <c r="S38" s="43" t="str">
        <f t="shared" si="5"/>
        <v/>
      </c>
      <c r="T38" s="43" t="str">
        <f t="shared" si="6"/>
        <v/>
      </c>
      <c r="U38" s="43">
        <f t="shared" si="7"/>
        <v>-1</v>
      </c>
      <c r="V38" s="38"/>
      <c r="W38" s="8"/>
      <c r="X38" s="52"/>
      <c r="Y38" s="8"/>
      <c r="Z38" s="8"/>
      <c r="AA38" s="8"/>
      <c r="AB38" s="8"/>
      <c r="AC38" s="8"/>
    </row>
    <row r="39" spans="1:29" ht="20.100000000000001" customHeight="1" x14ac:dyDescent="0.25">
      <c r="B39" s="8"/>
      <c r="C39" s="27"/>
      <c r="D39" s="4" t="s">
        <v>20</v>
      </c>
      <c r="E39" s="10">
        <v>0</v>
      </c>
      <c r="F39" s="10">
        <v>0</v>
      </c>
      <c r="G39" s="10">
        <v>0</v>
      </c>
      <c r="H39" s="10">
        <v>0</v>
      </c>
      <c r="I39" s="10">
        <v>0</v>
      </c>
      <c r="J39" s="10">
        <v>0</v>
      </c>
      <c r="K39" s="10">
        <v>0</v>
      </c>
      <c r="L39" s="10">
        <v>0</v>
      </c>
      <c r="M39" s="10">
        <v>0</v>
      </c>
      <c r="N39" s="10">
        <v>0</v>
      </c>
      <c r="O39" s="7"/>
      <c r="P39" s="8"/>
      <c r="Q39" s="37"/>
      <c r="R39" s="43" t="str">
        <f t="shared" si="4"/>
        <v/>
      </c>
      <c r="S39" s="43" t="str">
        <f t="shared" si="5"/>
        <v/>
      </c>
      <c r="T39" s="43" t="str">
        <f t="shared" si="6"/>
        <v/>
      </c>
      <c r="U39" s="43" t="str">
        <f t="shared" si="7"/>
        <v/>
      </c>
      <c r="V39" s="38"/>
      <c r="W39" s="8"/>
      <c r="X39" s="52"/>
      <c r="Y39" s="8"/>
      <c r="Z39" s="8"/>
      <c r="AA39" s="8"/>
      <c r="AB39" s="8"/>
      <c r="AC39" s="8"/>
    </row>
    <row r="40" spans="1:29" ht="20.100000000000001" customHeight="1" x14ac:dyDescent="0.25">
      <c r="B40" s="8"/>
      <c r="C40" s="27"/>
      <c r="D40" s="4" t="s">
        <v>21</v>
      </c>
      <c r="E40" s="10">
        <v>0</v>
      </c>
      <c r="F40" s="10">
        <v>0</v>
      </c>
      <c r="G40" s="10">
        <v>0</v>
      </c>
      <c r="H40" s="10">
        <v>0</v>
      </c>
      <c r="I40" s="10">
        <v>0</v>
      </c>
      <c r="J40" s="10">
        <v>0</v>
      </c>
      <c r="K40" s="10">
        <v>0</v>
      </c>
      <c r="L40" s="10">
        <v>0</v>
      </c>
      <c r="M40" s="10">
        <v>0</v>
      </c>
      <c r="N40" s="10">
        <v>0</v>
      </c>
      <c r="O40" s="7"/>
      <c r="P40" s="8"/>
      <c r="Q40" s="37"/>
      <c r="R40" s="43" t="str">
        <f t="shared" si="4"/>
        <v/>
      </c>
      <c r="S40" s="43" t="str">
        <f t="shared" si="5"/>
        <v/>
      </c>
      <c r="T40" s="43" t="str">
        <f t="shared" si="6"/>
        <v/>
      </c>
      <c r="U40" s="43" t="str">
        <f t="shared" si="7"/>
        <v/>
      </c>
      <c r="V40" s="38"/>
      <c r="W40" s="8"/>
      <c r="X40" s="52"/>
      <c r="Y40" s="8"/>
      <c r="Z40" s="8"/>
      <c r="AA40" s="8"/>
      <c r="AB40" s="8"/>
      <c r="AC40" s="8"/>
    </row>
    <row r="41" spans="1:29" ht="20.100000000000001" customHeight="1" x14ac:dyDescent="0.25">
      <c r="B41" s="8"/>
      <c r="C41" s="27"/>
      <c r="D41" s="4" t="s">
        <v>22</v>
      </c>
      <c r="E41" s="10">
        <v>35.648690003113984</v>
      </c>
      <c r="F41" s="10">
        <v>34.528171806082533</v>
      </c>
      <c r="G41" s="10">
        <v>72.38963318010974</v>
      </c>
      <c r="H41" s="10">
        <v>69.804522739279932</v>
      </c>
      <c r="I41" s="10">
        <v>62.507497827732152</v>
      </c>
      <c r="J41" s="10">
        <v>63.538126787766181</v>
      </c>
      <c r="K41" s="10">
        <v>56.945689975721258</v>
      </c>
      <c r="L41" s="10">
        <v>46.590297504695847</v>
      </c>
      <c r="M41" s="10">
        <v>23.504248313726812</v>
      </c>
      <c r="N41" s="10">
        <v>25.44116666296156</v>
      </c>
      <c r="O41" s="7"/>
      <c r="P41" s="8"/>
      <c r="Q41" s="37"/>
      <c r="R41" s="43">
        <f t="shared" si="4"/>
        <v>8.2407159904942073E-2</v>
      </c>
      <c r="S41" s="43">
        <f t="shared" si="5"/>
        <v>-0.23553303805288639</v>
      </c>
      <c r="T41" s="43">
        <f t="shared" si="6"/>
        <v>-0.16454900285095442</v>
      </c>
      <c r="U41" s="43">
        <f t="shared" si="7"/>
        <v>-3.6788865714763253E-2</v>
      </c>
      <c r="V41" s="38"/>
      <c r="W41" s="8"/>
      <c r="X41" s="52"/>
      <c r="Y41" s="8"/>
      <c r="Z41" s="8"/>
      <c r="AA41" s="8"/>
      <c r="AB41" s="8"/>
      <c r="AC41" s="8"/>
    </row>
    <row r="42" spans="1:29" ht="20.100000000000001" customHeight="1" x14ac:dyDescent="0.25">
      <c r="B42" s="8"/>
      <c r="C42" s="27"/>
      <c r="D42" s="11" t="s">
        <v>84</v>
      </c>
      <c r="E42" s="13">
        <v>29.26</v>
      </c>
      <c r="F42" s="13">
        <v>35.020000000000003</v>
      </c>
      <c r="G42" s="13">
        <v>35.39</v>
      </c>
      <c r="H42" s="13">
        <v>38.64</v>
      </c>
      <c r="I42" s="13">
        <v>45.18</v>
      </c>
      <c r="J42" s="13">
        <v>43.88</v>
      </c>
      <c r="K42" s="13">
        <v>50.019999999999996</v>
      </c>
      <c r="L42" s="13">
        <v>59.209999999999994</v>
      </c>
      <c r="M42" s="13">
        <v>68.39</v>
      </c>
      <c r="N42" s="13">
        <v>70.517499999999998</v>
      </c>
      <c r="O42" s="7"/>
      <c r="P42" s="8"/>
      <c r="Q42" s="37"/>
      <c r="R42" s="43">
        <f t="shared" si="4"/>
        <v>3.1108349173855743E-2</v>
      </c>
      <c r="S42" s="43">
        <f t="shared" si="5"/>
        <v>0.12128946022640008</v>
      </c>
      <c r="T42" s="43">
        <f t="shared" si="6"/>
        <v>9.3125778517750391E-2</v>
      </c>
      <c r="U42" s="43">
        <f t="shared" si="7"/>
        <v>0.10267354168408382</v>
      </c>
      <c r="V42" s="38"/>
      <c r="W42" s="8"/>
      <c r="X42" s="52"/>
      <c r="Y42" s="8"/>
      <c r="Z42" s="8"/>
      <c r="AA42" s="8"/>
      <c r="AB42" s="8"/>
      <c r="AC42" s="8"/>
    </row>
    <row r="43" spans="1:29" ht="20.100000000000001" customHeight="1" x14ac:dyDescent="0.25">
      <c r="B43" s="8"/>
      <c r="C43" s="27"/>
      <c r="D43" s="4" t="s">
        <v>23</v>
      </c>
      <c r="E43" s="6">
        <v>8.9441467321762911</v>
      </c>
      <c r="F43" s="6">
        <v>8.0212681428101007</v>
      </c>
      <c r="G43" s="6">
        <v>7.785591744260663</v>
      </c>
      <c r="H43" s="6">
        <v>8.4530707338408639</v>
      </c>
      <c r="I43" s="6">
        <v>7.7102895422821422</v>
      </c>
      <c r="J43" s="6">
        <v>7.41469655852464</v>
      </c>
      <c r="K43" s="6">
        <v>6.965375445657167</v>
      </c>
      <c r="L43" s="6">
        <v>5.7941596837831959</v>
      </c>
      <c r="M43" s="6">
        <v>7.5456339348619963</v>
      </c>
      <c r="N43" s="6">
        <v>6.9083135110300926</v>
      </c>
      <c r="O43" s="7"/>
      <c r="P43" s="8"/>
      <c r="Q43" s="37"/>
      <c r="R43" s="43">
        <f t="shared" si="4"/>
        <v>-8.4462144510799142E-2</v>
      </c>
      <c r="S43" s="43">
        <f t="shared" si="5"/>
        <v>-2.7382333077359267E-3</v>
      </c>
      <c r="T43" s="43">
        <f t="shared" si="6"/>
        <v>-2.1726542950177397E-2</v>
      </c>
      <c r="U43" s="43">
        <f t="shared" si="7"/>
        <v>-2.8289235845670668E-2</v>
      </c>
      <c r="V43" s="38"/>
      <c r="W43" s="8"/>
      <c r="X43" s="52"/>
      <c r="Y43" s="8"/>
      <c r="Z43" s="8"/>
      <c r="AA43" s="8"/>
      <c r="AB43" s="8"/>
      <c r="AC43" s="8"/>
    </row>
    <row r="44" spans="1:29" ht="20.100000000000001" customHeight="1" x14ac:dyDescent="0.25">
      <c r="B44" s="8"/>
      <c r="C44" s="27"/>
      <c r="D44" s="11" t="s">
        <v>85</v>
      </c>
      <c r="E44" s="13">
        <v>22.259999999999998</v>
      </c>
      <c r="F44" s="13">
        <v>26.97</v>
      </c>
      <c r="G44" s="13">
        <v>27.61</v>
      </c>
      <c r="H44" s="13">
        <v>30.2</v>
      </c>
      <c r="I44" s="13">
        <v>37.49</v>
      </c>
      <c r="J44" s="13">
        <v>36.46</v>
      </c>
      <c r="K44" s="13">
        <v>43.05</v>
      </c>
      <c r="L44" s="13">
        <v>53.410000000000004</v>
      </c>
      <c r="M44" s="13">
        <v>61.19</v>
      </c>
      <c r="N44" s="13">
        <v>62.420000000000009</v>
      </c>
      <c r="O44" s="7"/>
      <c r="P44" s="8"/>
      <c r="Q44" s="37"/>
      <c r="R44" s="43">
        <f t="shared" si="4"/>
        <v>2.0101323745710165E-2</v>
      </c>
      <c r="S44" s="43">
        <f t="shared" si="5"/>
        <v>0.13183608567544258</v>
      </c>
      <c r="T44" s="43">
        <f t="shared" si="6"/>
        <v>0.10734172550780396</v>
      </c>
      <c r="U44" s="43">
        <f t="shared" si="7"/>
        <v>0.12138669885797282</v>
      </c>
      <c r="V44" s="38"/>
      <c r="W44" s="8"/>
      <c r="X44" s="52"/>
      <c r="Y44" s="8"/>
      <c r="Z44" s="8"/>
      <c r="AA44" s="8"/>
      <c r="AB44" s="8"/>
      <c r="AC44" s="8"/>
    </row>
    <row r="45" spans="1:29" ht="20.100000000000001" customHeight="1" x14ac:dyDescent="0.25">
      <c r="B45" s="8"/>
      <c r="C45" s="27"/>
      <c r="D45" s="4" t="s">
        <v>24</v>
      </c>
      <c r="E45" s="6">
        <v>4.9509568965488332E-2</v>
      </c>
      <c r="F45" s="6">
        <v>1.9659375004958117E-2</v>
      </c>
      <c r="G45" s="6">
        <v>6.5480166057701123E-3</v>
      </c>
      <c r="H45" s="6">
        <v>-0.18794224889789626</v>
      </c>
      <c r="I45" s="6">
        <v>-9.8663004176360106E-2</v>
      </c>
      <c r="J45" s="6">
        <v>-5.9490338931944685E-2</v>
      </c>
      <c r="K45" s="6">
        <v>-4.7299809707123955E-2</v>
      </c>
      <c r="L45" s="6">
        <v>-0.18141834214287494</v>
      </c>
      <c r="M45" s="6">
        <v>-0.24046176143386319</v>
      </c>
      <c r="N45" s="6">
        <v>-0.59763317994205212</v>
      </c>
      <c r="O45" s="7"/>
      <c r="P45" s="8"/>
      <c r="Q45" s="37"/>
      <c r="R45" s="43">
        <f t="shared" si="4"/>
        <v>1.4853564091787028</v>
      </c>
      <c r="S45" s="43">
        <f t="shared" si="5"/>
        <v>1.32911948788982</v>
      </c>
      <c r="T45" s="43">
        <f t="shared" si="6"/>
        <v>0.43369269754950435</v>
      </c>
      <c r="U45" s="43">
        <f t="shared" si="7"/>
        <v>-2.318845587454939</v>
      </c>
      <c r="V45" s="38"/>
      <c r="W45" s="8"/>
      <c r="X45" s="52"/>
      <c r="Y45" s="8"/>
      <c r="Z45" s="8"/>
      <c r="AA45" s="8"/>
      <c r="AB45" s="8"/>
      <c r="AC45" s="8"/>
    </row>
    <row r="46" spans="1:29" ht="20.100000000000001" customHeight="1" x14ac:dyDescent="0.25">
      <c r="B46" s="8"/>
      <c r="C46" s="27"/>
      <c r="D46" s="11" t="s">
        <v>86</v>
      </c>
      <c r="E46" s="13">
        <v>18.490000000000002</v>
      </c>
      <c r="F46" s="13">
        <v>24.93</v>
      </c>
      <c r="G46" s="13">
        <v>26.229999999999997</v>
      </c>
      <c r="H46" s="13">
        <v>27.49</v>
      </c>
      <c r="I46" s="13">
        <v>34.83</v>
      </c>
      <c r="J46" s="13">
        <v>34.01</v>
      </c>
      <c r="K46" s="13">
        <v>40.94</v>
      </c>
      <c r="L46" s="13">
        <v>50.72</v>
      </c>
      <c r="M46" s="13">
        <v>56.65</v>
      </c>
      <c r="N46" s="13">
        <v>58.625000000000007</v>
      </c>
      <c r="O46" s="7"/>
      <c r="P46" s="8"/>
      <c r="Q46" s="37"/>
      <c r="R46" s="43">
        <f t="shared" si="4"/>
        <v>3.48631950573699E-2</v>
      </c>
      <c r="S46" s="43">
        <f t="shared" si="5"/>
        <v>0.12714123748703443</v>
      </c>
      <c r="T46" s="43">
        <f t="shared" si="6"/>
        <v>0.10975184634332558</v>
      </c>
      <c r="U46" s="43">
        <f t="shared" si="7"/>
        <v>0.13679690552858936</v>
      </c>
      <c r="V46" s="38"/>
      <c r="W46" s="8"/>
      <c r="X46" s="52"/>
      <c r="Y46" s="8"/>
      <c r="Z46" s="8"/>
      <c r="AA46" s="8"/>
      <c r="AB46" s="8"/>
      <c r="AC46" s="8"/>
    </row>
    <row r="47" spans="1:29" ht="20.100000000000001" customHeight="1" x14ac:dyDescent="0.25">
      <c r="B47" s="8"/>
      <c r="C47" s="27"/>
      <c r="D47" s="11" t="s">
        <v>87</v>
      </c>
      <c r="E47" s="13">
        <v>9.9030770551765119</v>
      </c>
      <c r="F47" s="13">
        <v>17.001533002663237</v>
      </c>
      <c r="G47" s="13">
        <v>15.652378894432875</v>
      </c>
      <c r="H47" s="13">
        <v>7.6605953525432824</v>
      </c>
      <c r="I47" s="13">
        <v>23.283908400369988</v>
      </c>
      <c r="J47" s="13">
        <v>27.262059017675966</v>
      </c>
      <c r="K47" s="13">
        <v>39.829720685054355</v>
      </c>
      <c r="L47" s="13">
        <v>49.750148805811087</v>
      </c>
      <c r="M47" s="13">
        <v>50.272694865252532</v>
      </c>
      <c r="N47" s="13">
        <v>52.203647303796252</v>
      </c>
      <c r="O47" s="7"/>
      <c r="P47" s="8"/>
      <c r="Q47" s="37"/>
      <c r="R47" s="43">
        <f t="shared" si="4"/>
        <v>3.8409566937267048E-2</v>
      </c>
      <c r="S47" s="43">
        <f t="shared" si="5"/>
        <v>9.4370880598780849E-2</v>
      </c>
      <c r="T47" s="43">
        <f t="shared" si="6"/>
        <v>0.17524657160606116</v>
      </c>
      <c r="U47" s="43">
        <f t="shared" si="7"/>
        <v>0.20285844312976886</v>
      </c>
      <c r="V47" s="38"/>
      <c r="W47" s="8"/>
      <c r="X47" s="54"/>
      <c r="Y47" s="8"/>
      <c r="Z47" s="8"/>
      <c r="AA47" s="8"/>
      <c r="AB47" s="8"/>
      <c r="AC47" s="8"/>
    </row>
    <row r="48" spans="1:29" ht="20.100000000000001" customHeight="1" x14ac:dyDescent="0.25">
      <c r="B48" s="8"/>
      <c r="C48" s="27"/>
      <c r="D48" s="7"/>
      <c r="E48" s="8"/>
      <c r="F48" s="8"/>
      <c r="G48" s="8"/>
      <c r="H48" s="89"/>
      <c r="I48" s="8"/>
      <c r="J48" s="8"/>
      <c r="K48" s="8"/>
      <c r="L48" s="8"/>
      <c r="M48" s="89"/>
      <c r="N48" s="8"/>
      <c r="O48" s="7"/>
      <c r="P48" s="8"/>
      <c r="Q48" s="37"/>
      <c r="R48" s="8"/>
      <c r="S48" s="8"/>
      <c r="T48" s="8"/>
      <c r="U48" s="8"/>
      <c r="V48" s="38"/>
      <c r="W48" s="8"/>
      <c r="X48" s="8"/>
      <c r="Y48" s="8"/>
      <c r="Z48" s="8"/>
      <c r="AA48" s="8"/>
      <c r="AB48" s="8"/>
      <c r="AC48" s="8"/>
    </row>
    <row r="49" spans="2:29" ht="18.95" customHeight="1" x14ac:dyDescent="0.25">
      <c r="B49" s="8"/>
      <c r="C49" s="27"/>
      <c r="D49" s="7"/>
      <c r="E49" s="8">
        <v>2013</v>
      </c>
      <c r="F49" s="8">
        <v>2014</v>
      </c>
      <c r="G49" s="8">
        <v>2015</v>
      </c>
      <c r="H49" s="8">
        <v>2016</v>
      </c>
      <c r="I49" s="8">
        <v>2017</v>
      </c>
      <c r="J49" s="8">
        <v>2018</v>
      </c>
      <c r="K49" s="8">
        <v>2019</v>
      </c>
      <c r="L49" s="8">
        <v>2020</v>
      </c>
      <c r="M49" s="8">
        <v>2021</v>
      </c>
      <c r="N49" s="193" t="s">
        <v>130</v>
      </c>
      <c r="O49" s="7"/>
      <c r="P49" s="8"/>
      <c r="Q49" s="37"/>
      <c r="R49" s="8"/>
      <c r="S49" s="8"/>
      <c r="T49" s="8"/>
      <c r="U49" s="8"/>
      <c r="V49" s="38"/>
      <c r="W49" s="8"/>
      <c r="X49" s="8"/>
      <c r="Y49" s="8"/>
      <c r="Z49" s="8"/>
      <c r="AA49" s="8"/>
      <c r="AB49" s="8"/>
      <c r="AC49" s="8"/>
    </row>
    <row r="50" spans="2:29" ht="18.95" customHeight="1" x14ac:dyDescent="0.25">
      <c r="B50" s="8"/>
      <c r="C50" s="27"/>
      <c r="D50" s="4" t="s">
        <v>32</v>
      </c>
      <c r="E50" s="48">
        <v>31.077938169289677</v>
      </c>
      <c r="F50" s="48">
        <v>38.043589011743485</v>
      </c>
      <c r="G50" s="48">
        <v>33.597825904614922</v>
      </c>
      <c r="H50" s="48">
        <v>30.720687585899842</v>
      </c>
      <c r="I50" s="48">
        <v>37.128070898844847</v>
      </c>
      <c r="J50" s="48">
        <v>34.680063326643314</v>
      </c>
      <c r="K50" s="48">
        <v>34.486364473926663</v>
      </c>
      <c r="L50" s="48">
        <v>8.9811278364412495</v>
      </c>
      <c r="M50" s="48">
        <v>15.511775739437731</v>
      </c>
      <c r="N50" s="48">
        <v>18.833278878002847</v>
      </c>
      <c r="O50" s="7"/>
      <c r="P50" s="8"/>
      <c r="Q50" s="37"/>
      <c r="R50" s="43">
        <f>IFERROR((N50/M50-1),"")</f>
        <v>0.21412784676356567</v>
      </c>
      <c r="S50" s="43">
        <f>IFERROR(((N50/K50)^(1/3) -1),"")</f>
        <v>-0.18261592052730646</v>
      </c>
      <c r="T50" s="43">
        <f>IFERROR(((N50/I50)^(1/5) -1),"")</f>
        <v>-0.12693875476408178</v>
      </c>
      <c r="U50" s="43">
        <f>IFERROR(((N50/E50)^(1/9) -1),"")</f>
        <v>-5.4132255892353043E-2</v>
      </c>
      <c r="V50" s="38"/>
      <c r="W50" s="8"/>
      <c r="X50" s="52"/>
      <c r="Y50" s="8"/>
      <c r="Z50" s="8"/>
      <c r="AA50" s="8"/>
      <c r="AB50" s="8"/>
      <c r="AC50" s="8"/>
    </row>
    <row r="51" spans="2:29" ht="18.95" customHeight="1" x14ac:dyDescent="0.25">
      <c r="B51" s="8"/>
      <c r="C51" s="27"/>
      <c r="D51" s="4" t="s">
        <v>33</v>
      </c>
      <c r="E51" s="48">
        <v>51.000400160064032</v>
      </c>
      <c r="F51" s="48">
        <v>51.011461801465764</v>
      </c>
      <c r="G51" s="48">
        <v>45.713503149821967</v>
      </c>
      <c r="H51" s="48">
        <v>49.674471015400023</v>
      </c>
      <c r="I51" s="48">
        <v>56.542077338211335</v>
      </c>
      <c r="J51" s="48">
        <v>51.432797189868737</v>
      </c>
      <c r="K51" s="48">
        <v>53.302812062784575</v>
      </c>
      <c r="L51" s="48">
        <v>10.440357556440883</v>
      </c>
      <c r="M51" s="48">
        <v>18.973503188705557</v>
      </c>
      <c r="N51" s="48">
        <v>23.936410403447692</v>
      </c>
      <c r="O51" s="7"/>
      <c r="P51" s="8"/>
      <c r="Q51" s="37"/>
      <c r="R51" s="43">
        <f>IFERROR((N51/M51-1),"")</f>
        <v>0.26157042088550231</v>
      </c>
      <c r="S51" s="43">
        <f>IFERROR(((N51/K51)^(1/3) -1),"")</f>
        <v>-0.23422185602952794</v>
      </c>
      <c r="T51" s="43">
        <f>IFERROR(((N51/I51)^(1/5) -1),"")</f>
        <v>-0.15795082937096838</v>
      </c>
      <c r="U51" s="43">
        <f>IFERROR(((N51/E51)^(1/9) -1),"")</f>
        <v>-8.061295026747628E-2</v>
      </c>
      <c r="V51" s="38"/>
      <c r="W51" s="8"/>
      <c r="X51" s="52"/>
      <c r="Y51" s="8"/>
      <c r="Z51" s="8"/>
      <c r="AA51" s="8"/>
      <c r="AB51" s="8"/>
      <c r="AC51" s="8"/>
    </row>
    <row r="52" spans="2:29" ht="18.95" customHeight="1" x14ac:dyDescent="0.25">
      <c r="B52" s="8"/>
      <c r="C52" s="27"/>
      <c r="D52" s="4" t="s">
        <v>81</v>
      </c>
      <c r="E52" s="48">
        <v>60.657211718416072</v>
      </c>
      <c r="F52" s="48">
        <v>54.758421147670269</v>
      </c>
      <c r="G52" s="48">
        <v>47.770426428603798</v>
      </c>
      <c r="H52" s="48">
        <v>48.377204545769906</v>
      </c>
      <c r="I52" s="48">
        <v>57.095416556398803</v>
      </c>
      <c r="J52" s="48">
        <v>53.299501456319355</v>
      </c>
      <c r="K52" s="48">
        <v>53.119423577073967</v>
      </c>
      <c r="L52" s="48">
        <v>10.700074796985986</v>
      </c>
      <c r="M52" s="48">
        <v>18.51162361513947</v>
      </c>
      <c r="N52" s="48">
        <v>22.26675637507558</v>
      </c>
      <c r="O52" s="7"/>
      <c r="P52" s="8"/>
      <c r="Q52" s="37"/>
      <c r="R52" s="43">
        <f>IFERROR((N52/M52-1),"")</f>
        <v>0.202852696122507</v>
      </c>
      <c r="S52" s="43">
        <f>IFERROR(((N52/K52)^(1/3) -1),"")</f>
        <v>-0.25159869761830767</v>
      </c>
      <c r="T52" s="43">
        <f>IFERROR(((N52/I52)^(1/5) -1),"")</f>
        <v>-0.171655215159075</v>
      </c>
      <c r="U52" s="43">
        <f>IFERROR(((N52/E52)^(1/9) -1),"")</f>
        <v>-0.10537380005556485</v>
      </c>
      <c r="V52" s="38"/>
      <c r="W52" s="8"/>
      <c r="X52" s="54"/>
      <c r="Y52" s="8"/>
      <c r="Z52" s="8"/>
      <c r="AA52" s="8"/>
      <c r="AB52" s="8"/>
      <c r="AC52" s="8"/>
    </row>
    <row r="53" spans="2:29" ht="20.100000000000001" customHeight="1" x14ac:dyDescent="0.25">
      <c r="B53" s="8"/>
      <c r="C53" s="27"/>
      <c r="D53" s="4" t="s">
        <v>34</v>
      </c>
      <c r="E53" s="48">
        <v>55.197853201424209</v>
      </c>
      <c r="F53" s="48">
        <v>50.565445432181789</v>
      </c>
      <c r="G53" s="48">
        <v>45.395260690803589</v>
      </c>
      <c r="H53" s="48">
        <v>44.339950109232944</v>
      </c>
      <c r="I53" s="48">
        <v>53.211345482306818</v>
      </c>
      <c r="J53" s="48">
        <v>49.79934612032794</v>
      </c>
      <c r="K53" s="48">
        <v>50.570723425027829</v>
      </c>
      <c r="L53" s="48">
        <v>10.196385081349883</v>
      </c>
      <c r="M53" s="48">
        <v>17.309251933126433</v>
      </c>
      <c r="N53" s="48">
        <v>20.723009769062028</v>
      </c>
      <c r="O53" s="7"/>
      <c r="P53" s="8"/>
      <c r="Q53" s="37"/>
      <c r="R53" s="43">
        <f>IFERROR((N53/M53-1),"")</f>
        <v>0.19722156966254256</v>
      </c>
      <c r="S53" s="43">
        <f>IFERROR(((N53/K53)^(1/3) -1),"")</f>
        <v>-0.25723535790690166</v>
      </c>
      <c r="T53" s="43">
        <f>IFERROR(((N53/I53)^(1/5) -1),"")</f>
        <v>-0.17188677909198935</v>
      </c>
      <c r="U53" s="43">
        <f>IFERROR(((N53/E53)^(1/9) -1),"")</f>
        <v>-0.10313799213421326</v>
      </c>
      <c r="V53" s="38"/>
      <c r="W53" s="8"/>
      <c r="X53" s="54"/>
      <c r="Y53" s="8"/>
      <c r="Z53" s="8"/>
      <c r="AA53" s="8"/>
      <c r="AB53" s="8"/>
      <c r="AC53" s="8"/>
    </row>
    <row r="54" spans="2:29" ht="20.100000000000001" customHeight="1" x14ac:dyDescent="0.25">
      <c r="B54" s="8"/>
      <c r="C54" s="27"/>
      <c r="D54" s="4" t="s">
        <v>82</v>
      </c>
      <c r="E54" s="48">
        <v>80.233265504825283</v>
      </c>
      <c r="F54" s="48">
        <v>58.265754912032008</v>
      </c>
      <c r="G54" s="48">
        <v>54.150994697965281</v>
      </c>
      <c r="H54" s="48">
        <v>52.588563420150692</v>
      </c>
      <c r="I54" s="48">
        <v>52.126960277960379</v>
      </c>
      <c r="J54" s="48">
        <v>57.585071088635942</v>
      </c>
      <c r="K54" s="48">
        <v>58.201916687187335</v>
      </c>
      <c r="L54" s="48">
        <v>10.113123747061229</v>
      </c>
      <c r="M54" s="48">
        <v>16.906924748445839</v>
      </c>
      <c r="N54" s="48">
        <v>20.879138883838532</v>
      </c>
      <c r="O54" s="7"/>
      <c r="P54" s="8"/>
      <c r="Q54" s="37"/>
      <c r="R54" s="43">
        <f>IFERROR((N54/M54-1),"")</f>
        <v>0.23494598778277753</v>
      </c>
      <c r="S54" s="43">
        <f>IFERROR(((N54/K54)^(1/3) -1),"")</f>
        <v>-0.28945470931163075</v>
      </c>
      <c r="T54" s="43">
        <f>IFERROR(((N54/I54)^(1/5) -1),"")</f>
        <v>-0.167220479513987</v>
      </c>
      <c r="U54" s="43">
        <f>IFERROR(((N54/E54)^(1/9) -1),"")</f>
        <v>-0.13892735903171149</v>
      </c>
      <c r="V54" s="38"/>
      <c r="W54" s="8"/>
      <c r="X54" s="54"/>
      <c r="Y54" s="8"/>
      <c r="Z54" s="8"/>
      <c r="AA54" s="8"/>
      <c r="AB54" s="8"/>
      <c r="AC54" s="8"/>
    </row>
    <row r="55" spans="2:29" ht="20.100000000000001" customHeight="1" x14ac:dyDescent="0.25">
      <c r="B55" s="8"/>
      <c r="C55" s="27"/>
      <c r="D55" s="7"/>
      <c r="E55" s="8"/>
      <c r="F55" s="8"/>
      <c r="G55" s="8"/>
      <c r="H55" s="8"/>
      <c r="I55" s="8"/>
      <c r="J55" s="8"/>
      <c r="K55" s="8"/>
      <c r="L55" s="8"/>
      <c r="M55" s="8"/>
      <c r="N55" s="8"/>
      <c r="O55" s="7"/>
      <c r="P55" s="8"/>
      <c r="Q55" s="37"/>
      <c r="R55" s="8" t="str">
        <f t="shared" ref="R55" si="8">IFERROR((N55/M55-1),"")</f>
        <v/>
      </c>
      <c r="S55" s="8" t="str">
        <f t="shared" ref="S55" si="9">IFERROR(((N55/K55)^(1/3) -1),"")</f>
        <v/>
      </c>
      <c r="T55" s="8" t="str">
        <f t="shared" ref="T55" si="10">IFERROR(((N55/I55)^(1/5) -1),"")</f>
        <v/>
      </c>
      <c r="U55" s="8" t="str">
        <f t="shared" ref="U55" si="11">IFERROR(((N55/E55)^(1/9) -1),"")</f>
        <v/>
      </c>
      <c r="V55" s="38"/>
      <c r="W55" s="8"/>
      <c r="X55" s="54"/>
      <c r="Y55" s="8"/>
      <c r="Z55" s="8"/>
      <c r="AA55" s="8"/>
      <c r="AB55" s="8"/>
      <c r="AC55" s="8"/>
    </row>
    <row r="56" spans="2:29" ht="20.100000000000001" customHeight="1" x14ac:dyDescent="0.25">
      <c r="B56" s="8"/>
      <c r="C56" s="27"/>
      <c r="D56" s="7"/>
      <c r="E56" s="8"/>
      <c r="F56" s="8"/>
      <c r="G56" s="8"/>
      <c r="H56" s="8"/>
      <c r="I56" s="8"/>
      <c r="J56" s="8"/>
      <c r="K56" s="8"/>
      <c r="L56" s="8"/>
      <c r="M56" s="8"/>
      <c r="N56" s="8"/>
      <c r="O56" s="7"/>
      <c r="P56" s="8"/>
      <c r="Q56" s="37"/>
      <c r="R56" s="8"/>
      <c r="S56" s="8"/>
      <c r="T56" s="8"/>
      <c r="U56" s="8"/>
      <c r="V56" s="38"/>
      <c r="W56" s="8"/>
      <c r="X56" s="8"/>
      <c r="Y56" s="8"/>
      <c r="Z56" s="8"/>
      <c r="AA56" s="8"/>
      <c r="AB56" s="8"/>
      <c r="AC56" s="8"/>
    </row>
    <row r="57" spans="2:29" ht="20.100000000000001" customHeight="1" x14ac:dyDescent="0.25">
      <c r="B57" s="8"/>
      <c r="C57" s="72"/>
      <c r="D57" s="73"/>
      <c r="E57" s="40"/>
      <c r="F57" s="40"/>
      <c r="G57" s="40"/>
      <c r="H57" s="40"/>
      <c r="I57" s="40"/>
      <c r="J57" s="40"/>
      <c r="K57" s="40"/>
      <c r="L57" s="40"/>
      <c r="M57" s="40"/>
      <c r="N57" s="40"/>
      <c r="O57" s="73"/>
      <c r="P57" s="8"/>
      <c r="Q57" s="39"/>
      <c r="R57" s="40"/>
      <c r="S57" s="40"/>
      <c r="T57" s="40"/>
      <c r="U57" s="40"/>
      <c r="V57" s="41"/>
      <c r="W57" s="8"/>
      <c r="X57" s="8"/>
      <c r="Y57" s="8"/>
      <c r="Z57" s="8"/>
      <c r="AA57" s="8"/>
      <c r="AB57" s="8"/>
      <c r="AC57" s="8"/>
    </row>
    <row r="58" spans="2:29" ht="20.100000000000001" customHeight="1" x14ac:dyDescent="0.25">
      <c r="B58" s="8"/>
      <c r="C58" s="40"/>
      <c r="D58" s="40"/>
      <c r="E58" s="40"/>
      <c r="F58" s="40"/>
      <c r="G58" s="40"/>
      <c r="H58" s="40"/>
      <c r="I58" s="40"/>
      <c r="J58" s="40"/>
      <c r="K58" s="40"/>
      <c r="L58" s="40"/>
      <c r="M58" s="40"/>
      <c r="N58" s="40"/>
      <c r="O58" s="40"/>
      <c r="P58" s="8"/>
      <c r="Q58" s="40"/>
      <c r="R58" s="40"/>
      <c r="S58" s="40"/>
      <c r="T58" s="40"/>
      <c r="U58" s="40"/>
      <c r="V58" s="40"/>
      <c r="W58" s="8"/>
      <c r="X58" s="8"/>
      <c r="Y58" s="8"/>
      <c r="Z58" s="8"/>
      <c r="AA58" s="8"/>
      <c r="AB58" s="8"/>
      <c r="AC58" s="8"/>
    </row>
    <row r="59" spans="2:29" ht="20.100000000000001" customHeight="1" x14ac:dyDescent="0.25">
      <c r="B59" s="38"/>
      <c r="C59" s="8"/>
      <c r="D59" s="8"/>
      <c r="E59" s="8"/>
      <c r="F59" s="8"/>
      <c r="G59" s="8"/>
      <c r="H59" s="8"/>
      <c r="I59" s="8"/>
      <c r="J59" s="8"/>
      <c r="K59" s="8"/>
      <c r="L59" s="8"/>
      <c r="M59" s="8"/>
      <c r="N59" s="8"/>
      <c r="O59" s="59"/>
      <c r="P59" s="53"/>
      <c r="Q59" s="37"/>
      <c r="R59" s="8"/>
      <c r="S59" s="8"/>
      <c r="T59" s="8"/>
      <c r="U59" s="8"/>
      <c r="V59" s="59"/>
      <c r="W59" s="8"/>
      <c r="X59" s="8"/>
      <c r="Y59" s="8"/>
      <c r="Z59" s="8"/>
      <c r="AA59" s="8"/>
      <c r="AB59" s="8"/>
      <c r="AC59" s="8"/>
    </row>
    <row r="60" spans="2:29" ht="20.100000000000001" customHeight="1" x14ac:dyDescent="0.25">
      <c r="B60" s="38"/>
      <c r="C60" s="8"/>
      <c r="D60" s="8"/>
      <c r="E60" s="191" t="s">
        <v>130</v>
      </c>
      <c r="F60" s="8"/>
      <c r="G60" s="239" t="s">
        <v>118</v>
      </c>
      <c r="H60" s="239"/>
      <c r="I60" s="239" t="s">
        <v>119</v>
      </c>
      <c r="J60" s="239"/>
      <c r="K60" s="239" t="s">
        <v>120</v>
      </c>
      <c r="L60" s="239"/>
      <c r="M60" s="8"/>
      <c r="N60" s="8"/>
      <c r="O60" s="38"/>
      <c r="P60" s="53"/>
      <c r="Q60" s="8"/>
      <c r="R60" s="8"/>
      <c r="S60" s="8"/>
      <c r="T60" s="8"/>
      <c r="U60" s="8"/>
      <c r="V60" s="38"/>
      <c r="W60" s="8"/>
      <c r="X60" s="8"/>
      <c r="Y60" s="8"/>
      <c r="Z60" s="8"/>
      <c r="AA60" s="8"/>
      <c r="AB60" s="8"/>
      <c r="AC60" s="8"/>
    </row>
    <row r="61" spans="2:29" ht="18.95" customHeight="1" x14ac:dyDescent="0.25">
      <c r="B61" s="38"/>
      <c r="C61" s="8"/>
      <c r="D61" s="8" t="s">
        <v>54</v>
      </c>
      <c r="E61" s="82">
        <v>300.66500000000002</v>
      </c>
      <c r="F61" s="8"/>
      <c r="G61" s="241">
        <v>2.1193205599496783</v>
      </c>
      <c r="H61" s="241"/>
      <c r="I61" s="241">
        <v>17.538509564836264</v>
      </c>
      <c r="J61" s="241"/>
      <c r="K61" s="241">
        <v>-4.1116410894511271</v>
      </c>
      <c r="L61" s="241"/>
      <c r="M61" s="8"/>
      <c r="N61" s="8"/>
      <c r="O61" s="38"/>
      <c r="P61" s="53"/>
      <c r="Q61" s="8"/>
      <c r="R61" s="8"/>
      <c r="S61" s="8"/>
      <c r="T61" s="8"/>
      <c r="U61" s="8"/>
      <c r="V61" s="38"/>
      <c r="W61" s="8"/>
      <c r="X61" s="8"/>
      <c r="Y61" s="8"/>
      <c r="Z61" s="8"/>
      <c r="AA61" s="8"/>
      <c r="AB61" s="8"/>
      <c r="AC61" s="8"/>
    </row>
    <row r="62" spans="2:29" ht="18.95" customHeight="1" x14ac:dyDescent="0.25">
      <c r="B62" s="8"/>
      <c r="C62" s="27"/>
      <c r="D62" s="8" t="s">
        <v>7</v>
      </c>
      <c r="E62" s="82">
        <v>0</v>
      </c>
      <c r="F62" s="8"/>
      <c r="G62" s="241"/>
      <c r="H62" s="241"/>
      <c r="I62" s="241"/>
      <c r="J62" s="241"/>
      <c r="K62" s="241"/>
      <c r="L62" s="241"/>
      <c r="M62" s="8"/>
      <c r="N62" s="8"/>
      <c r="O62" s="7"/>
      <c r="P62" s="8"/>
      <c r="Q62" s="37"/>
      <c r="R62" s="8"/>
      <c r="S62" s="8"/>
      <c r="T62" s="8"/>
      <c r="U62" s="8"/>
      <c r="V62" s="38"/>
      <c r="W62" s="8"/>
      <c r="X62" s="8"/>
      <c r="Y62" s="8"/>
      <c r="Z62" s="8"/>
      <c r="AA62" s="8"/>
      <c r="AB62" s="8"/>
      <c r="AC62" s="8"/>
    </row>
    <row r="63" spans="2:29" ht="18.95" customHeight="1" x14ac:dyDescent="0.25">
      <c r="B63" s="8"/>
      <c r="C63" s="27"/>
      <c r="D63" s="8" t="s">
        <v>55</v>
      </c>
      <c r="E63" s="82">
        <v>300.66500000000002</v>
      </c>
      <c r="F63" s="8"/>
      <c r="G63" s="8"/>
      <c r="H63" s="8"/>
      <c r="I63" s="8"/>
      <c r="J63" s="8"/>
      <c r="K63" s="8"/>
      <c r="L63" s="8"/>
      <c r="M63" s="8"/>
      <c r="N63" s="8"/>
      <c r="O63" s="7"/>
      <c r="P63" s="8"/>
      <c r="Q63" s="37"/>
      <c r="R63" s="8"/>
      <c r="S63" s="8"/>
      <c r="T63" s="8"/>
      <c r="U63" s="8"/>
      <c r="V63" s="38"/>
      <c r="W63" s="8"/>
      <c r="X63" s="8"/>
      <c r="Y63" s="8"/>
      <c r="Z63" s="8"/>
      <c r="AA63" s="8"/>
      <c r="AB63" s="8"/>
      <c r="AC63" s="8"/>
    </row>
    <row r="64" spans="2:29" ht="20.100000000000001" customHeight="1" x14ac:dyDescent="0.25">
      <c r="B64" s="8"/>
      <c r="C64" s="27"/>
      <c r="D64" s="8" t="s">
        <v>56</v>
      </c>
      <c r="E64" s="82">
        <v>0</v>
      </c>
      <c r="F64" s="8"/>
      <c r="G64" s="8"/>
      <c r="H64" s="8"/>
      <c r="I64" s="8"/>
      <c r="J64" s="8"/>
      <c r="K64" s="8"/>
      <c r="L64" s="8"/>
      <c r="M64" s="8"/>
      <c r="N64" s="8"/>
      <c r="O64" s="7"/>
      <c r="P64" s="8"/>
      <c r="Q64" s="37"/>
      <c r="R64" s="8"/>
      <c r="S64" s="8"/>
      <c r="T64" s="8"/>
      <c r="U64" s="8"/>
      <c r="V64" s="38"/>
      <c r="W64" s="8"/>
      <c r="X64" s="8"/>
      <c r="Y64" s="8"/>
      <c r="Z64" s="8"/>
      <c r="AA64" s="8"/>
      <c r="AB64" s="8"/>
      <c r="AC64" s="8"/>
    </row>
    <row r="65" spans="2:29" ht="20.100000000000001" customHeight="1" x14ac:dyDescent="0.25">
      <c r="B65" s="8"/>
      <c r="C65" s="27"/>
      <c r="D65" s="8" t="s">
        <v>52</v>
      </c>
      <c r="E65" s="82">
        <v>300.66500000000002</v>
      </c>
      <c r="F65" s="8"/>
      <c r="G65" s="8"/>
      <c r="H65" s="8"/>
      <c r="I65" s="8"/>
      <c r="J65" s="8"/>
      <c r="K65" s="8"/>
      <c r="L65" s="8"/>
      <c r="M65" s="8"/>
      <c r="N65" s="8"/>
      <c r="O65" s="7"/>
      <c r="P65" s="8"/>
      <c r="Q65" s="37"/>
      <c r="R65" s="8"/>
      <c r="S65" s="8"/>
      <c r="T65" s="8"/>
      <c r="U65" s="8"/>
      <c r="V65" s="38"/>
      <c r="W65" s="8"/>
      <c r="X65" s="8"/>
      <c r="Y65" s="8"/>
      <c r="Z65" s="8"/>
      <c r="AA65" s="8"/>
      <c r="AB65" s="8"/>
      <c r="AC65" s="8"/>
    </row>
    <row r="66" spans="2:29" ht="20.100000000000001" customHeight="1" x14ac:dyDescent="0.25">
      <c r="B66" s="8"/>
      <c r="C66" s="27"/>
      <c r="D66" s="8" t="s">
        <v>9</v>
      </c>
      <c r="E66" s="82">
        <v>17.172999999999998</v>
      </c>
      <c r="F66" s="8"/>
      <c r="G66" s="8"/>
      <c r="H66" s="8"/>
      <c r="I66" s="8"/>
      <c r="J66" s="8"/>
      <c r="K66" s="8"/>
      <c r="L66" s="8"/>
      <c r="M66" s="8"/>
      <c r="N66" s="8"/>
      <c r="O66" s="7"/>
      <c r="P66" s="8"/>
      <c r="Q66" s="37"/>
      <c r="R66" s="8"/>
      <c r="S66" s="8"/>
      <c r="T66" s="8"/>
      <c r="U66" s="8"/>
      <c r="V66" s="38"/>
      <c r="W66" s="8"/>
      <c r="X66" s="8"/>
      <c r="Y66" s="8"/>
      <c r="Z66" s="8"/>
      <c r="AA66" s="8"/>
      <c r="AB66" s="8"/>
      <c r="AC66" s="8"/>
    </row>
    <row r="67" spans="2:29" ht="20.100000000000001" customHeight="1" x14ac:dyDescent="0.25">
      <c r="B67" s="8"/>
      <c r="C67" s="27"/>
      <c r="D67" s="8" t="s">
        <v>10</v>
      </c>
      <c r="E67" s="82">
        <v>52.036000000000001</v>
      </c>
      <c r="F67" s="8"/>
      <c r="G67" s="8"/>
      <c r="H67" s="8"/>
      <c r="I67" s="8"/>
      <c r="J67" s="8"/>
      <c r="K67" s="8"/>
      <c r="L67" s="8"/>
      <c r="M67" s="8"/>
      <c r="N67" s="8"/>
      <c r="O67" s="7"/>
      <c r="P67" s="8"/>
      <c r="Q67" s="37"/>
      <c r="R67" s="8"/>
      <c r="S67" s="8"/>
      <c r="T67" s="8"/>
      <c r="U67" s="8"/>
      <c r="V67" s="38"/>
      <c r="W67" s="8"/>
      <c r="X67" s="8"/>
      <c r="Y67" s="8"/>
      <c r="Z67" s="8"/>
      <c r="AA67" s="8"/>
      <c r="AB67" s="8"/>
      <c r="AC67" s="8"/>
    </row>
    <row r="68" spans="2:29" ht="20.100000000000001" customHeight="1" x14ac:dyDescent="0.25">
      <c r="B68" s="8"/>
      <c r="C68" s="27"/>
      <c r="D68" s="8" t="s">
        <v>14</v>
      </c>
      <c r="E68" s="82">
        <v>69.209000000000003</v>
      </c>
      <c r="F68" s="8"/>
      <c r="G68" s="8"/>
      <c r="H68" s="8"/>
      <c r="I68" s="8"/>
      <c r="J68" s="8"/>
      <c r="K68" s="8"/>
      <c r="L68" s="8"/>
      <c r="M68" s="8"/>
      <c r="N68" s="8"/>
      <c r="O68" s="7"/>
      <c r="P68" s="8"/>
      <c r="Q68" s="37"/>
      <c r="R68" s="8"/>
      <c r="S68" s="8"/>
      <c r="T68" s="8"/>
      <c r="U68" s="8"/>
      <c r="V68" s="38"/>
      <c r="W68" s="8"/>
      <c r="X68" s="8"/>
      <c r="Y68" s="8"/>
      <c r="Z68" s="8"/>
      <c r="AA68" s="8"/>
      <c r="AB68" s="8"/>
      <c r="AC68" s="8"/>
    </row>
    <row r="69" spans="2:29" ht="20.100000000000001" customHeight="1" x14ac:dyDescent="0.25">
      <c r="B69" s="8"/>
      <c r="C69" s="27"/>
      <c r="D69" s="8" t="s">
        <v>15</v>
      </c>
      <c r="E69" s="82">
        <v>69.209000000000003</v>
      </c>
      <c r="F69" s="8"/>
      <c r="G69" s="8"/>
      <c r="H69" s="8"/>
      <c r="I69" s="8"/>
      <c r="J69" s="8"/>
      <c r="K69" s="8"/>
      <c r="L69" s="8"/>
      <c r="M69" s="8"/>
      <c r="N69" s="8"/>
      <c r="O69" s="7"/>
      <c r="P69" s="8"/>
      <c r="Q69" s="37"/>
      <c r="R69" s="8"/>
      <c r="S69" s="8"/>
      <c r="T69" s="8"/>
      <c r="U69" s="8"/>
      <c r="V69" s="38"/>
      <c r="W69" s="8"/>
      <c r="X69" s="8"/>
      <c r="Y69" s="8"/>
      <c r="Z69" s="8"/>
      <c r="AA69" s="8"/>
      <c r="AB69" s="8"/>
      <c r="AC69" s="8"/>
    </row>
    <row r="70" spans="2:29" ht="20.100000000000001" customHeight="1" x14ac:dyDescent="0.25">
      <c r="B70" s="8"/>
      <c r="C70" s="27"/>
      <c r="D70" s="81" t="s">
        <v>53</v>
      </c>
      <c r="E70" s="83">
        <v>-231.45599999999999</v>
      </c>
      <c r="F70" s="8"/>
      <c r="G70" s="8"/>
      <c r="H70" s="8"/>
      <c r="I70" s="8"/>
      <c r="J70" s="8"/>
      <c r="K70" s="8"/>
      <c r="L70" s="8"/>
      <c r="M70" s="8"/>
      <c r="N70" s="8"/>
      <c r="O70" s="7"/>
      <c r="P70" s="8"/>
      <c r="Q70" s="37"/>
      <c r="R70" s="8"/>
      <c r="S70" s="8"/>
      <c r="T70" s="8"/>
      <c r="U70" s="8"/>
      <c r="V70" s="38"/>
      <c r="W70" s="8"/>
      <c r="X70" s="8"/>
      <c r="Y70" s="8"/>
      <c r="Z70" s="8"/>
      <c r="AA70" s="8"/>
      <c r="AB70" s="8"/>
      <c r="AC70" s="8"/>
    </row>
    <row r="71" spans="2:29" ht="18.95" customHeight="1" x14ac:dyDescent="0.25">
      <c r="B71" s="8"/>
      <c r="C71" s="27"/>
      <c r="D71" s="8"/>
      <c r="E71" s="8"/>
      <c r="F71" s="8"/>
      <c r="G71" s="8"/>
      <c r="H71" s="8"/>
      <c r="I71" s="8"/>
      <c r="J71" s="8"/>
      <c r="K71" s="8"/>
      <c r="L71" s="8"/>
      <c r="M71" s="8"/>
      <c r="N71" s="8"/>
      <c r="O71" s="7"/>
      <c r="P71" s="8"/>
      <c r="Q71" s="37"/>
      <c r="R71" s="8"/>
      <c r="S71" s="8"/>
      <c r="T71" s="8"/>
      <c r="U71" s="8"/>
      <c r="V71" s="38"/>
      <c r="W71" s="8"/>
      <c r="X71" s="8"/>
      <c r="Y71" s="8"/>
      <c r="Z71" s="8"/>
      <c r="AA71" s="8"/>
      <c r="AB71" s="8"/>
      <c r="AC71" s="8"/>
    </row>
    <row r="72" spans="2:29" ht="18.95" customHeight="1" x14ac:dyDescent="0.25">
      <c r="B72" s="8"/>
      <c r="C72" s="27"/>
      <c r="D72" s="8"/>
      <c r="E72" s="8">
        <v>2013</v>
      </c>
      <c r="F72" s="8">
        <v>2014</v>
      </c>
      <c r="G72" s="8">
        <v>2015</v>
      </c>
      <c r="H72" s="8">
        <v>2016</v>
      </c>
      <c r="I72" s="8">
        <v>2017</v>
      </c>
      <c r="J72" s="8">
        <v>2018</v>
      </c>
      <c r="K72" s="8">
        <v>2019</v>
      </c>
      <c r="L72" s="8">
        <v>2020</v>
      </c>
      <c r="M72" s="8">
        <v>2021</v>
      </c>
      <c r="N72" s="191" t="s">
        <v>130</v>
      </c>
      <c r="O72" s="7"/>
      <c r="P72" s="8"/>
      <c r="Q72" s="37"/>
      <c r="R72" s="8"/>
      <c r="S72" s="8"/>
      <c r="T72" s="8"/>
      <c r="U72" s="8"/>
      <c r="V72" s="38"/>
      <c r="W72" s="8"/>
      <c r="X72" s="8"/>
      <c r="Y72" s="8"/>
      <c r="Z72" s="8"/>
      <c r="AA72" s="8"/>
      <c r="AB72" s="8"/>
      <c r="AC72" s="8"/>
    </row>
    <row r="73" spans="2:29" ht="18.95" customHeight="1" x14ac:dyDescent="0.25">
      <c r="B73" s="8"/>
      <c r="C73" s="27"/>
      <c r="D73" s="4" t="s">
        <v>76</v>
      </c>
      <c r="E73" s="48">
        <v>1.6809934360221908</v>
      </c>
      <c r="F73" s="48">
        <v>1.526209553910739</v>
      </c>
      <c r="G73" s="48">
        <v>1.2809548573249903</v>
      </c>
      <c r="H73" s="48">
        <v>1.1175303432122186</v>
      </c>
      <c r="I73" s="48">
        <v>1.0660224576752302</v>
      </c>
      <c r="J73" s="48">
        <v>1.0197833430982686</v>
      </c>
      <c r="K73" s="48">
        <v>0.84243596830661505</v>
      </c>
      <c r="L73" s="48">
        <v>0.177063480243046</v>
      </c>
      <c r="M73" s="48">
        <v>0.27383004186195115</v>
      </c>
      <c r="N73" s="48">
        <v>0.32113732238261622</v>
      </c>
      <c r="O73" s="7"/>
      <c r="P73" s="8"/>
      <c r="Q73" s="37"/>
      <c r="R73" s="8"/>
      <c r="S73" s="8"/>
      <c r="T73" s="8"/>
      <c r="U73" s="8"/>
      <c r="V73" s="38"/>
      <c r="W73" s="8"/>
      <c r="X73" s="8"/>
      <c r="Y73" s="8"/>
      <c r="Z73" s="8"/>
      <c r="AA73" s="8"/>
      <c r="AB73" s="8"/>
      <c r="AC73" s="8"/>
    </row>
    <row r="74" spans="2:29" ht="18.95" customHeight="1" x14ac:dyDescent="0.25">
      <c r="B74" s="8"/>
      <c r="C74" s="27"/>
      <c r="D74" s="4" t="s">
        <v>77</v>
      </c>
      <c r="E74" s="48">
        <v>65535</v>
      </c>
      <c r="F74" s="48">
        <v>65535</v>
      </c>
      <c r="G74" s="48"/>
      <c r="H74" s="48"/>
      <c r="I74" s="48"/>
      <c r="J74" s="48"/>
      <c r="K74" s="48"/>
      <c r="L74" s="48"/>
      <c r="M74" s="48">
        <v>46.414585698070375</v>
      </c>
      <c r="N74" s="48"/>
      <c r="O74" s="7"/>
      <c r="P74" s="8"/>
      <c r="Q74" s="37"/>
      <c r="R74" s="8"/>
      <c r="S74" s="8"/>
      <c r="T74" s="8"/>
      <c r="U74" s="8"/>
      <c r="V74" s="38"/>
      <c r="W74" s="8"/>
      <c r="X74" s="8"/>
      <c r="Y74" s="8"/>
      <c r="Z74" s="8"/>
      <c r="AA74" s="8"/>
      <c r="AB74" s="8"/>
      <c r="AC74" s="8"/>
    </row>
    <row r="75" spans="2:29" x14ac:dyDescent="0.25">
      <c r="B75" s="8"/>
      <c r="C75" s="27"/>
      <c r="D75" s="4" t="s">
        <v>80</v>
      </c>
      <c r="E75" s="48">
        <v>65535</v>
      </c>
      <c r="F75" s="48">
        <v>65535</v>
      </c>
      <c r="G75" s="48">
        <v>65535</v>
      </c>
      <c r="H75" s="48">
        <v>65535</v>
      </c>
      <c r="I75" s="48">
        <v>65535</v>
      </c>
      <c r="J75" s="48">
        <v>65535</v>
      </c>
      <c r="K75" s="48">
        <v>65535</v>
      </c>
      <c r="L75" s="48">
        <v>65535</v>
      </c>
      <c r="M75" s="48">
        <v>65535</v>
      </c>
      <c r="N75" s="48">
        <v>65535</v>
      </c>
      <c r="O75" s="7"/>
      <c r="P75" s="8"/>
      <c r="Q75" s="37"/>
      <c r="R75" s="8"/>
      <c r="S75" s="8"/>
      <c r="T75" s="8"/>
      <c r="U75" s="8"/>
      <c r="V75" s="38"/>
      <c r="W75" s="8"/>
      <c r="X75" s="8"/>
      <c r="Y75" s="8"/>
      <c r="Z75" s="8"/>
      <c r="AA75" s="8"/>
      <c r="AB75" s="8"/>
    </row>
    <row r="76" spans="2:29" x14ac:dyDescent="0.25">
      <c r="B76" s="8"/>
      <c r="C76" s="27"/>
      <c r="D76" s="8"/>
      <c r="E76" s="8"/>
      <c r="F76" s="8"/>
      <c r="G76" s="8"/>
      <c r="H76" s="8"/>
      <c r="I76" s="8"/>
      <c r="J76" s="8"/>
      <c r="K76" s="8"/>
      <c r="L76" s="8"/>
      <c r="M76" s="8"/>
      <c r="N76" s="8"/>
      <c r="O76" s="7"/>
      <c r="P76" s="8"/>
      <c r="Q76" s="37"/>
      <c r="R76" s="8"/>
      <c r="S76" s="8"/>
      <c r="T76" s="8"/>
      <c r="U76" s="8"/>
      <c r="V76" s="38"/>
      <c r="W76" s="8"/>
      <c r="X76" s="8"/>
      <c r="Y76" s="8"/>
      <c r="Z76" s="8"/>
      <c r="AA76" s="8"/>
      <c r="AB76" s="8"/>
    </row>
    <row r="77" spans="2:29" x14ac:dyDescent="0.25">
      <c r="B77" s="8"/>
      <c r="C77" s="27"/>
      <c r="D77" s="8"/>
      <c r="E77" s="8">
        <v>2013</v>
      </c>
      <c r="F77" s="8">
        <v>2014</v>
      </c>
      <c r="G77" s="8">
        <v>2015</v>
      </c>
      <c r="H77" s="8">
        <v>2016</v>
      </c>
      <c r="I77" s="8">
        <v>2017</v>
      </c>
      <c r="J77" s="8">
        <v>2018</v>
      </c>
      <c r="K77" s="8">
        <v>2019</v>
      </c>
      <c r="L77" s="8">
        <v>2020</v>
      </c>
      <c r="M77" s="8">
        <v>2021</v>
      </c>
      <c r="N77" s="191" t="s">
        <v>130</v>
      </c>
      <c r="O77" s="7"/>
      <c r="P77" s="8"/>
      <c r="Q77" s="37"/>
      <c r="R77" s="8"/>
      <c r="S77" s="8"/>
      <c r="T77" s="8"/>
      <c r="U77" s="8"/>
      <c r="V77" s="38"/>
      <c r="W77" s="8"/>
      <c r="X77" s="8"/>
      <c r="Y77" s="8"/>
      <c r="Z77" s="8"/>
      <c r="AA77" s="8"/>
      <c r="AB77" s="8"/>
    </row>
    <row r="78" spans="2:29" x14ac:dyDescent="0.25">
      <c r="B78" s="8"/>
      <c r="C78" s="27"/>
      <c r="D78" s="4" t="s">
        <v>8</v>
      </c>
      <c r="E78" s="48">
        <v>5.6021739999999998</v>
      </c>
      <c r="F78" s="48">
        <v>8.2950429999999997</v>
      </c>
      <c r="G78" s="48">
        <v>19.93</v>
      </c>
      <c r="H78" s="48">
        <v>26.187999999999999</v>
      </c>
      <c r="I78" s="48">
        <v>49.271999999999998</v>
      </c>
      <c r="J78" s="48">
        <v>84.950999999999993</v>
      </c>
      <c r="K78" s="48">
        <v>182.52</v>
      </c>
      <c r="L78" s="48">
        <v>221.67500000000001</v>
      </c>
      <c r="M78" s="48">
        <v>421.43200000000002</v>
      </c>
      <c r="N78" s="48">
        <v>300.66500000000002</v>
      </c>
      <c r="O78" s="7"/>
      <c r="P78" s="8"/>
      <c r="Q78" s="37"/>
      <c r="R78" s="8"/>
      <c r="S78" s="8"/>
      <c r="T78" s="8"/>
      <c r="U78" s="8"/>
      <c r="V78" s="38"/>
      <c r="W78" s="8"/>
      <c r="X78" s="8"/>
      <c r="Y78" s="8"/>
      <c r="Z78" s="8"/>
      <c r="AA78" s="8"/>
      <c r="AB78" s="8"/>
    </row>
    <row r="79" spans="2:29" x14ac:dyDescent="0.25">
      <c r="B79" s="8"/>
      <c r="C79" s="27"/>
      <c r="D79" s="4" t="s">
        <v>14</v>
      </c>
      <c r="E79" s="48">
        <v>2.629451</v>
      </c>
      <c r="F79" s="48">
        <v>4.5451079999999999</v>
      </c>
      <c r="G79" s="48">
        <v>7.2270000000000003</v>
      </c>
      <c r="H79" s="48">
        <v>8.5709999999999997</v>
      </c>
      <c r="I79" s="48">
        <v>7.6429999999999998</v>
      </c>
      <c r="J79" s="48">
        <v>6.569</v>
      </c>
      <c r="K79" s="48">
        <v>25.038</v>
      </c>
      <c r="L79" s="48">
        <v>49.969000000000001</v>
      </c>
      <c r="M79" s="48">
        <v>67.81</v>
      </c>
      <c r="N79" s="48">
        <v>69.209000000000003</v>
      </c>
      <c r="O79" s="7"/>
      <c r="P79" s="8"/>
      <c r="Q79" s="37"/>
      <c r="R79" s="8"/>
      <c r="S79" s="8"/>
      <c r="T79" s="8"/>
      <c r="U79" s="8"/>
      <c r="V79" s="38"/>
      <c r="W79" s="8"/>
      <c r="X79" s="8"/>
      <c r="Y79" s="8"/>
      <c r="Z79" s="8"/>
      <c r="AA79" s="8"/>
      <c r="AB79" s="8"/>
    </row>
    <row r="80" spans="2:29" x14ac:dyDescent="0.25">
      <c r="B80" s="8"/>
      <c r="C80" s="27"/>
      <c r="D80" s="8"/>
      <c r="E80" s="8"/>
      <c r="F80" s="8"/>
      <c r="G80" s="8"/>
      <c r="H80" s="8"/>
      <c r="I80" s="8"/>
      <c r="J80" s="8"/>
      <c r="K80" s="8"/>
      <c r="L80" s="8"/>
      <c r="M80" s="8"/>
      <c r="N80" s="8"/>
      <c r="O80" s="7"/>
      <c r="P80" s="8"/>
      <c r="Q80" s="37"/>
      <c r="R80" s="8"/>
      <c r="S80" s="8"/>
      <c r="T80" s="8"/>
      <c r="U80" s="8"/>
      <c r="V80" s="38"/>
      <c r="W80" s="8"/>
      <c r="X80" s="8"/>
      <c r="Y80" s="8"/>
      <c r="Z80" s="8"/>
      <c r="AA80" s="8"/>
      <c r="AB80" s="8"/>
    </row>
    <row r="81" spans="2:28" x14ac:dyDescent="0.25">
      <c r="B81" s="8"/>
      <c r="C81" s="27"/>
      <c r="D81" s="8"/>
      <c r="E81" s="8"/>
      <c r="F81" s="8"/>
      <c r="G81" s="8"/>
      <c r="H81" s="8"/>
      <c r="I81" s="8"/>
      <c r="J81" s="8"/>
      <c r="K81" s="8"/>
      <c r="L81" s="8"/>
      <c r="M81" s="8"/>
      <c r="N81" s="8"/>
      <c r="O81" s="7"/>
      <c r="P81" s="8"/>
      <c r="Q81" s="37"/>
      <c r="R81" s="8"/>
      <c r="S81" s="8"/>
      <c r="T81" s="8"/>
      <c r="U81" s="8"/>
      <c r="V81" s="38"/>
      <c r="W81" s="8"/>
      <c r="X81" s="8"/>
      <c r="Y81" s="8"/>
      <c r="Z81" s="8"/>
      <c r="AA81" s="8"/>
      <c r="AB81" s="8"/>
    </row>
    <row r="82" spans="2:28" x14ac:dyDescent="0.25">
      <c r="B82" s="8"/>
      <c r="C82" s="27"/>
      <c r="D82" s="8"/>
      <c r="E82" s="8"/>
      <c r="F82" s="8"/>
      <c r="G82" s="8"/>
      <c r="H82" s="8"/>
      <c r="I82" s="8"/>
      <c r="J82" s="8"/>
      <c r="K82" s="8"/>
      <c r="L82" s="8"/>
      <c r="M82" s="8"/>
      <c r="N82" s="8"/>
      <c r="O82" s="7"/>
      <c r="P82" s="8"/>
      <c r="Q82" s="37"/>
      <c r="R82" s="8"/>
      <c r="S82" s="8"/>
      <c r="T82" s="8"/>
      <c r="U82" s="8"/>
      <c r="V82" s="38"/>
      <c r="W82" s="8"/>
      <c r="X82" s="8"/>
      <c r="Y82" s="8"/>
      <c r="Z82" s="8"/>
      <c r="AA82" s="8"/>
      <c r="AB82" s="8"/>
    </row>
    <row r="83" spans="2:28" x14ac:dyDescent="0.25">
      <c r="B83" s="8"/>
      <c r="C83" s="27"/>
      <c r="D83" s="8"/>
      <c r="E83" s="8"/>
      <c r="F83" s="8"/>
      <c r="G83" s="8"/>
      <c r="H83" s="8"/>
      <c r="I83" s="8"/>
      <c r="J83" s="8"/>
      <c r="K83" s="8"/>
      <c r="L83" s="8"/>
      <c r="M83" s="8"/>
      <c r="N83" s="8"/>
      <c r="O83" s="7"/>
      <c r="P83" s="8"/>
      <c r="Q83" s="37"/>
      <c r="R83" s="8"/>
      <c r="S83" s="8"/>
      <c r="T83" s="8"/>
      <c r="U83" s="8"/>
      <c r="V83" s="38"/>
      <c r="W83" s="8"/>
      <c r="X83" s="8"/>
      <c r="Y83" s="8"/>
      <c r="Z83" s="8"/>
      <c r="AA83" s="8"/>
      <c r="AB83" s="8"/>
    </row>
    <row r="84" spans="2:28" x14ac:dyDescent="0.25">
      <c r="B84" s="8"/>
      <c r="C84" s="27"/>
      <c r="D84" s="8"/>
      <c r="E84" s="8"/>
      <c r="F84" s="8"/>
      <c r="G84" s="8"/>
      <c r="H84" s="8"/>
      <c r="I84" s="8"/>
      <c r="J84" s="8"/>
      <c r="K84" s="8"/>
      <c r="L84" s="8"/>
      <c r="M84" s="8"/>
      <c r="N84" s="8"/>
      <c r="O84" s="7"/>
      <c r="P84" s="8"/>
      <c r="Q84" s="37"/>
      <c r="R84" s="8"/>
      <c r="S84" s="8"/>
      <c r="T84" s="8"/>
      <c r="U84" s="8"/>
      <c r="V84" s="38"/>
      <c r="W84" s="8"/>
      <c r="X84" s="8"/>
      <c r="Y84" s="8"/>
      <c r="Z84" s="8"/>
      <c r="AA84" s="8"/>
      <c r="AB84" s="8"/>
    </row>
    <row r="85" spans="2:28" x14ac:dyDescent="0.25">
      <c r="B85" s="8"/>
      <c r="C85" s="27"/>
      <c r="D85" s="8"/>
      <c r="E85" s="8"/>
      <c r="F85" s="8"/>
      <c r="G85" s="8"/>
      <c r="H85" s="8"/>
      <c r="I85" s="8"/>
      <c r="J85" s="8"/>
      <c r="K85" s="8"/>
      <c r="L85" s="8"/>
      <c r="M85" s="8"/>
      <c r="N85" s="8"/>
      <c r="O85" s="7"/>
      <c r="P85" s="8"/>
      <c r="Q85" s="37"/>
      <c r="R85" s="8"/>
      <c r="S85" s="8"/>
      <c r="T85" s="8"/>
      <c r="U85" s="8"/>
      <c r="V85" s="38"/>
      <c r="W85" s="8"/>
      <c r="X85" s="8"/>
      <c r="Y85" s="8"/>
      <c r="Z85" s="8"/>
      <c r="AA85" s="8"/>
      <c r="AB85" s="8"/>
    </row>
    <row r="86" spans="2:28" x14ac:dyDescent="0.25">
      <c r="B86" s="8"/>
      <c r="C86" s="27"/>
      <c r="D86" s="8"/>
      <c r="E86" s="8"/>
      <c r="F86" s="8"/>
      <c r="G86" s="8"/>
      <c r="H86" s="8"/>
      <c r="I86" s="8"/>
      <c r="J86" s="8"/>
      <c r="K86" s="8"/>
      <c r="L86" s="8"/>
      <c r="M86" s="8"/>
      <c r="N86" s="8"/>
      <c r="O86" s="7"/>
      <c r="P86" s="8"/>
      <c r="Q86" s="37"/>
      <c r="R86" s="8"/>
      <c r="S86" s="8"/>
      <c r="T86" s="8"/>
      <c r="U86" s="8"/>
      <c r="V86" s="38"/>
      <c r="W86" s="8"/>
      <c r="X86" s="8"/>
      <c r="Y86" s="8"/>
      <c r="Z86" s="8"/>
      <c r="AA86" s="8"/>
      <c r="AB86" s="8"/>
    </row>
    <row r="87" spans="2:28" x14ac:dyDescent="0.25">
      <c r="B87" s="8"/>
      <c r="C87" s="27"/>
      <c r="D87" s="8"/>
      <c r="E87" s="8"/>
      <c r="F87" s="8"/>
      <c r="G87" s="8"/>
      <c r="H87" s="8"/>
      <c r="I87" s="8"/>
      <c r="J87" s="8"/>
      <c r="K87" s="8"/>
      <c r="L87" s="8"/>
      <c r="M87" s="8"/>
      <c r="N87" s="8"/>
      <c r="O87" s="7"/>
      <c r="P87" s="8"/>
      <c r="Q87" s="37"/>
      <c r="R87" s="8"/>
      <c r="S87" s="8"/>
      <c r="T87" s="8"/>
      <c r="U87" s="8"/>
      <c r="V87" s="38"/>
      <c r="W87" s="8"/>
      <c r="X87" s="8"/>
      <c r="Y87" s="8"/>
      <c r="Z87" s="8"/>
      <c r="AA87" s="8"/>
      <c r="AB87" s="8"/>
    </row>
    <row r="88" spans="2:28" x14ac:dyDescent="0.25">
      <c r="B88" s="8"/>
      <c r="C88" s="27"/>
      <c r="D88" s="8"/>
      <c r="E88" s="8"/>
      <c r="F88" s="8"/>
      <c r="G88" s="8"/>
      <c r="H88" s="8"/>
      <c r="I88" s="8"/>
      <c r="J88" s="8"/>
      <c r="K88" s="8"/>
      <c r="L88" s="8"/>
      <c r="M88" s="8"/>
      <c r="N88" s="8"/>
      <c r="O88" s="7"/>
      <c r="P88" s="8"/>
      <c r="Q88" s="37"/>
      <c r="R88" s="8"/>
      <c r="S88" s="8"/>
      <c r="T88" s="8"/>
      <c r="U88" s="8"/>
      <c r="V88" s="38"/>
      <c r="W88" s="8"/>
      <c r="X88" s="8"/>
      <c r="Y88" s="8"/>
      <c r="Z88" s="8"/>
      <c r="AA88" s="8"/>
      <c r="AB88" s="8"/>
    </row>
    <row r="89" spans="2:28" x14ac:dyDescent="0.25">
      <c r="B89" s="8"/>
      <c r="C89" s="27"/>
      <c r="D89" s="8"/>
      <c r="E89" s="8"/>
      <c r="F89" s="8"/>
      <c r="G89" s="8"/>
      <c r="H89" s="8"/>
      <c r="I89" s="8"/>
      <c r="J89" s="8"/>
      <c r="K89" s="8"/>
      <c r="L89" s="8"/>
      <c r="M89" s="8"/>
      <c r="N89" s="8"/>
      <c r="O89" s="7"/>
      <c r="P89" s="8"/>
      <c r="Q89" s="37"/>
      <c r="R89" s="8"/>
      <c r="S89" s="8"/>
      <c r="T89" s="8"/>
      <c r="U89" s="8"/>
      <c r="V89" s="38"/>
      <c r="W89" s="8"/>
      <c r="X89" s="8"/>
      <c r="Y89" s="8"/>
      <c r="Z89" s="8"/>
      <c r="AA89" s="8"/>
      <c r="AB89" s="8"/>
    </row>
    <row r="90" spans="2:28" x14ac:dyDescent="0.25">
      <c r="B90" s="8"/>
      <c r="C90" s="27"/>
      <c r="D90" s="8"/>
      <c r="E90" s="8"/>
      <c r="F90" s="8"/>
      <c r="G90" s="8"/>
      <c r="H90" s="8"/>
      <c r="I90" s="8"/>
      <c r="J90" s="8"/>
      <c r="K90" s="8"/>
      <c r="L90" s="8"/>
      <c r="M90" s="8"/>
      <c r="N90" s="8"/>
      <c r="O90" s="7"/>
      <c r="P90" s="8"/>
      <c r="Q90" s="37"/>
      <c r="R90" s="8"/>
      <c r="S90" s="8"/>
      <c r="T90" s="8"/>
      <c r="U90" s="8"/>
      <c r="V90" s="38"/>
      <c r="W90" s="8"/>
      <c r="X90" s="8"/>
      <c r="Y90" s="8"/>
      <c r="Z90" s="8"/>
      <c r="AA90" s="8"/>
      <c r="AB90" s="8"/>
    </row>
    <row r="91" spans="2:28" x14ac:dyDescent="0.25">
      <c r="B91" s="8"/>
      <c r="C91" s="27"/>
      <c r="D91" s="8"/>
      <c r="E91" s="8"/>
      <c r="F91" s="8"/>
      <c r="G91" s="8"/>
      <c r="H91" s="8"/>
      <c r="I91" s="8"/>
      <c r="J91" s="8"/>
      <c r="K91" s="8"/>
      <c r="L91" s="8"/>
      <c r="M91" s="8"/>
      <c r="N91" s="8"/>
      <c r="O91" s="7"/>
      <c r="P91" s="8"/>
      <c r="Q91" s="37"/>
      <c r="R91" s="8"/>
      <c r="S91" s="8"/>
      <c r="T91" s="8"/>
      <c r="U91" s="8"/>
      <c r="V91" s="38"/>
      <c r="W91" s="8"/>
      <c r="X91" s="8"/>
      <c r="Y91" s="8"/>
      <c r="Z91" s="8"/>
      <c r="AA91" s="8"/>
      <c r="AB91" s="8"/>
    </row>
    <row r="92" spans="2:28" x14ac:dyDescent="0.25">
      <c r="B92" s="8"/>
      <c r="C92" s="27"/>
      <c r="D92" s="8"/>
      <c r="E92" s="8"/>
      <c r="F92" s="8"/>
      <c r="G92" s="8"/>
      <c r="H92" s="8"/>
      <c r="I92" s="8"/>
      <c r="J92" s="8"/>
      <c r="K92" s="8"/>
      <c r="L92" s="8"/>
      <c r="M92" s="8"/>
      <c r="N92" s="8"/>
      <c r="O92" s="7"/>
      <c r="P92" s="8"/>
      <c r="Q92" s="37"/>
      <c r="R92" s="8"/>
      <c r="S92" s="8"/>
      <c r="T92" s="8"/>
      <c r="U92" s="8"/>
      <c r="V92" s="38"/>
      <c r="W92" s="8"/>
      <c r="X92" s="8"/>
      <c r="Y92" s="8"/>
      <c r="Z92" s="8"/>
      <c r="AA92" s="8"/>
      <c r="AB92" s="8"/>
    </row>
    <row r="93" spans="2:28" x14ac:dyDescent="0.25">
      <c r="B93" s="8"/>
      <c r="C93" s="27"/>
      <c r="D93" s="8"/>
      <c r="E93" s="8"/>
      <c r="F93" s="8"/>
      <c r="G93" s="8"/>
      <c r="H93" s="8"/>
      <c r="I93" s="8"/>
      <c r="J93" s="8"/>
      <c r="K93" s="8"/>
      <c r="L93" s="8"/>
      <c r="M93" s="8"/>
      <c r="N93" s="8"/>
      <c r="O93" s="7"/>
      <c r="P93" s="8"/>
      <c r="Q93" s="37"/>
      <c r="R93" s="8"/>
      <c r="S93" s="8"/>
      <c r="T93" s="8"/>
      <c r="U93" s="8"/>
      <c r="V93" s="38"/>
      <c r="W93" s="8"/>
      <c r="X93" s="8"/>
      <c r="Y93" s="8"/>
      <c r="Z93" s="8"/>
      <c r="AA93" s="8"/>
      <c r="AB93" s="8"/>
    </row>
    <row r="94" spans="2:28" x14ac:dyDescent="0.25">
      <c r="B94" s="8"/>
      <c r="C94" s="27"/>
      <c r="D94" s="8"/>
      <c r="E94" s="8"/>
      <c r="F94" s="8"/>
      <c r="G94" s="8"/>
      <c r="H94" s="8"/>
      <c r="I94" s="8"/>
      <c r="J94" s="8"/>
      <c r="K94" s="8"/>
      <c r="L94" s="8"/>
      <c r="M94" s="8"/>
      <c r="N94" s="8"/>
      <c r="O94" s="7"/>
      <c r="P94" s="8"/>
      <c r="Q94" s="37"/>
      <c r="R94" s="8"/>
      <c r="S94" s="8"/>
      <c r="T94" s="8"/>
      <c r="U94" s="8"/>
      <c r="V94" s="38"/>
      <c r="W94" s="8"/>
      <c r="X94" s="8"/>
      <c r="Y94" s="8"/>
      <c r="Z94" s="8"/>
      <c r="AA94" s="8"/>
      <c r="AB94" s="8"/>
    </row>
    <row r="95" spans="2:28" x14ac:dyDescent="0.25">
      <c r="B95" s="8"/>
      <c r="C95" s="27"/>
      <c r="D95" s="8"/>
      <c r="E95" s="8"/>
      <c r="F95" s="8"/>
      <c r="G95" s="8"/>
      <c r="H95" s="8"/>
      <c r="I95" s="8"/>
      <c r="J95" s="8"/>
      <c r="K95" s="8"/>
      <c r="L95" s="8"/>
      <c r="M95" s="8"/>
      <c r="N95" s="8"/>
      <c r="O95" s="7"/>
      <c r="P95" s="8"/>
      <c r="Q95" s="37"/>
      <c r="R95" s="8"/>
      <c r="S95" s="8"/>
      <c r="T95" s="8"/>
      <c r="U95" s="8"/>
      <c r="V95" s="38"/>
      <c r="W95" s="8"/>
      <c r="X95" s="8"/>
      <c r="Y95" s="8"/>
      <c r="Z95" s="8"/>
      <c r="AA95" s="8"/>
      <c r="AB95" s="8"/>
    </row>
    <row r="96" spans="2:28" x14ac:dyDescent="0.25">
      <c r="B96" s="8"/>
      <c r="C96" s="27"/>
      <c r="D96" s="8"/>
      <c r="E96" s="8"/>
      <c r="F96" s="8"/>
      <c r="G96" s="8"/>
      <c r="H96" s="8"/>
      <c r="I96" s="8"/>
      <c r="J96" s="8"/>
      <c r="K96" s="8"/>
      <c r="L96" s="8"/>
      <c r="M96" s="8"/>
      <c r="N96" s="8"/>
      <c r="O96" s="7"/>
      <c r="P96" s="8"/>
      <c r="Q96" s="37"/>
      <c r="R96" s="8"/>
      <c r="S96" s="8"/>
      <c r="T96" s="8"/>
      <c r="U96" s="8"/>
      <c r="V96" s="38"/>
      <c r="W96" s="8"/>
      <c r="X96" s="8"/>
      <c r="Y96" s="8"/>
      <c r="Z96" s="8"/>
      <c r="AA96" s="8"/>
      <c r="AB96" s="8"/>
    </row>
    <row r="97" spans="2:28" x14ac:dyDescent="0.25">
      <c r="B97" s="8"/>
      <c r="C97" s="27"/>
      <c r="D97" s="8"/>
      <c r="E97" s="8"/>
      <c r="F97" s="8"/>
      <c r="G97" s="8"/>
      <c r="H97" s="8"/>
      <c r="I97" s="8"/>
      <c r="J97" s="8"/>
      <c r="K97" s="8"/>
      <c r="L97" s="8"/>
      <c r="M97" s="8"/>
      <c r="N97" s="8"/>
      <c r="O97" s="7"/>
      <c r="P97" s="8"/>
      <c r="Q97" s="37"/>
      <c r="R97" s="8"/>
      <c r="S97" s="8"/>
      <c r="T97" s="8"/>
      <c r="U97" s="8"/>
      <c r="V97" s="38"/>
      <c r="W97" s="8"/>
      <c r="X97" s="8"/>
      <c r="Y97" s="8"/>
      <c r="Z97" s="8"/>
      <c r="AA97" s="8"/>
      <c r="AB97" s="8"/>
    </row>
    <row r="98" spans="2:28" x14ac:dyDescent="0.25">
      <c r="B98" s="8"/>
      <c r="C98" s="27"/>
      <c r="D98" s="8"/>
      <c r="E98" s="8"/>
      <c r="F98" s="8"/>
      <c r="G98" s="8"/>
      <c r="H98" s="8"/>
      <c r="I98" s="8"/>
      <c r="J98" s="8"/>
      <c r="K98" s="8"/>
      <c r="L98" s="8"/>
      <c r="M98" s="8"/>
      <c r="N98" s="8"/>
      <c r="O98" s="7"/>
      <c r="P98" s="8"/>
      <c r="Q98" s="37"/>
      <c r="R98" s="8"/>
      <c r="S98" s="8"/>
      <c r="T98" s="8"/>
      <c r="U98" s="8"/>
      <c r="V98" s="38"/>
      <c r="W98" s="8"/>
      <c r="X98" s="8"/>
      <c r="Y98" s="8"/>
      <c r="Z98" s="8"/>
      <c r="AA98" s="8"/>
      <c r="AB98" s="8"/>
    </row>
    <row r="99" spans="2:28" x14ac:dyDescent="0.25">
      <c r="B99" s="8"/>
      <c r="C99" s="27"/>
      <c r="D99" s="8"/>
      <c r="E99" s="8"/>
      <c r="F99" s="8"/>
      <c r="G99" s="8"/>
      <c r="H99" s="8"/>
      <c r="I99" s="8"/>
      <c r="J99" s="8"/>
      <c r="K99" s="8"/>
      <c r="L99" s="8"/>
      <c r="M99" s="8"/>
      <c r="N99" s="8"/>
      <c r="O99" s="7"/>
      <c r="P99" s="8"/>
      <c r="Q99" s="37"/>
      <c r="R99" s="8"/>
      <c r="S99" s="8"/>
      <c r="T99" s="8"/>
      <c r="U99" s="8"/>
      <c r="V99" s="38"/>
      <c r="W99" s="8"/>
      <c r="X99" s="8"/>
      <c r="Y99" s="8"/>
    </row>
    <row r="100" spans="2:28" x14ac:dyDescent="0.25">
      <c r="B100" s="8"/>
      <c r="C100" s="27"/>
      <c r="D100" s="8"/>
      <c r="E100" s="8"/>
      <c r="F100" s="8"/>
      <c r="G100" s="8"/>
      <c r="H100" s="8"/>
      <c r="I100" s="8"/>
      <c r="J100" s="8"/>
      <c r="K100" s="8"/>
      <c r="L100" s="8"/>
      <c r="M100" s="8"/>
      <c r="N100" s="8"/>
      <c r="O100" s="7"/>
      <c r="P100" s="8"/>
      <c r="Q100" s="37"/>
      <c r="R100" s="8"/>
      <c r="S100" s="8"/>
      <c r="T100" s="8"/>
      <c r="U100" s="8"/>
      <c r="V100" s="38"/>
      <c r="W100" s="8"/>
      <c r="X100" s="8"/>
      <c r="Y100" s="8"/>
    </row>
    <row r="101" spans="2:28" x14ac:dyDescent="0.25">
      <c r="B101" s="8"/>
      <c r="C101" s="27"/>
      <c r="D101" s="8"/>
      <c r="E101" s="8"/>
      <c r="F101" s="8"/>
      <c r="G101" s="8"/>
      <c r="H101" s="8"/>
      <c r="I101" s="8"/>
      <c r="J101" s="8"/>
      <c r="K101" s="8"/>
      <c r="L101" s="8"/>
      <c r="M101" s="8"/>
      <c r="N101" s="8"/>
      <c r="O101" s="7"/>
      <c r="P101" s="8"/>
      <c r="Q101" s="37"/>
      <c r="R101" s="8"/>
      <c r="S101" s="8"/>
      <c r="T101" s="8"/>
      <c r="U101" s="8"/>
      <c r="V101" s="38"/>
      <c r="W101" s="8"/>
      <c r="X101" s="8"/>
      <c r="Y101" s="8"/>
    </row>
    <row r="102" spans="2:28" x14ac:dyDescent="0.25">
      <c r="B102" s="8"/>
      <c r="C102" s="27"/>
      <c r="D102" s="8"/>
      <c r="E102" s="8"/>
      <c r="F102" s="8"/>
      <c r="G102" s="8"/>
      <c r="H102" s="8"/>
      <c r="I102" s="8"/>
      <c r="J102" s="8"/>
      <c r="K102" s="8"/>
      <c r="L102" s="8"/>
      <c r="M102" s="8"/>
      <c r="N102" s="8"/>
      <c r="O102" s="7"/>
      <c r="P102" s="8"/>
      <c r="Q102" s="37"/>
      <c r="R102" s="8"/>
      <c r="S102" s="8"/>
      <c r="T102" s="8"/>
      <c r="U102" s="8"/>
      <c r="V102" s="38"/>
      <c r="W102" s="8"/>
      <c r="X102" s="8"/>
      <c r="Y102" s="8"/>
    </row>
    <row r="103" spans="2:28" x14ac:dyDescent="0.25">
      <c r="B103" s="8"/>
      <c r="C103" s="27"/>
      <c r="D103" s="8"/>
      <c r="E103" s="8"/>
      <c r="F103" s="8"/>
      <c r="G103" s="8"/>
      <c r="H103" s="8"/>
      <c r="I103" s="8"/>
      <c r="J103" s="8"/>
      <c r="K103" s="8"/>
      <c r="L103" s="8"/>
      <c r="M103" s="8"/>
      <c r="N103" s="8"/>
      <c r="O103" s="7"/>
      <c r="P103" s="8"/>
      <c r="Q103" s="37"/>
      <c r="R103" s="8"/>
      <c r="S103" s="8"/>
      <c r="T103" s="8"/>
      <c r="U103" s="8"/>
      <c r="V103" s="38"/>
      <c r="W103" s="8"/>
      <c r="X103" s="8"/>
      <c r="Y103" s="8"/>
    </row>
    <row r="104" spans="2:28" x14ac:dyDescent="0.25">
      <c r="B104" s="8"/>
      <c r="C104" s="27"/>
      <c r="D104" s="8"/>
      <c r="E104" s="8"/>
      <c r="F104" s="8"/>
      <c r="G104" s="8"/>
      <c r="H104" s="8"/>
      <c r="I104" s="8"/>
      <c r="J104" s="8"/>
      <c r="K104" s="8"/>
      <c r="L104" s="8"/>
      <c r="M104" s="8"/>
      <c r="N104" s="8"/>
      <c r="O104" s="7"/>
      <c r="P104" s="8"/>
      <c r="Q104" s="37"/>
      <c r="R104" s="8"/>
      <c r="S104" s="8"/>
      <c r="T104" s="8"/>
      <c r="U104" s="8"/>
      <c r="V104" s="38"/>
      <c r="W104" s="8"/>
      <c r="X104" s="8"/>
      <c r="Y104" s="8"/>
    </row>
    <row r="105" spans="2:28" x14ac:dyDescent="0.25">
      <c r="B105" s="8"/>
      <c r="C105" s="27"/>
      <c r="D105" s="8"/>
      <c r="E105" s="8"/>
      <c r="F105" s="8"/>
      <c r="G105" s="8"/>
      <c r="H105" s="8"/>
      <c r="I105" s="8"/>
      <c r="J105" s="8"/>
      <c r="K105" s="8"/>
      <c r="L105" s="8"/>
      <c r="M105" s="8"/>
      <c r="N105" s="8"/>
      <c r="O105" s="7"/>
      <c r="P105" s="8"/>
      <c r="Q105" s="37"/>
      <c r="R105" s="8"/>
      <c r="S105" s="8"/>
      <c r="T105" s="8"/>
      <c r="U105" s="8"/>
      <c r="V105" s="38"/>
      <c r="W105" s="8"/>
      <c r="X105" s="8"/>
      <c r="Y105" s="8"/>
    </row>
    <row r="106" spans="2:28" x14ac:dyDescent="0.25">
      <c r="B106" s="8"/>
      <c r="C106" s="27"/>
      <c r="D106" s="8"/>
      <c r="E106" s="8"/>
      <c r="F106" s="8"/>
      <c r="G106" s="8"/>
      <c r="H106" s="8"/>
      <c r="I106" s="8"/>
      <c r="J106" s="8"/>
      <c r="K106" s="8"/>
      <c r="L106" s="8"/>
      <c r="M106" s="8"/>
      <c r="N106" s="8"/>
      <c r="O106" s="7"/>
      <c r="P106" s="8"/>
      <c r="Q106" s="37"/>
      <c r="R106" s="8"/>
      <c r="S106" s="8"/>
      <c r="T106" s="8"/>
      <c r="U106" s="8"/>
      <c r="V106" s="38"/>
      <c r="W106" s="8"/>
      <c r="X106" s="8"/>
      <c r="Y106" s="8"/>
    </row>
    <row r="107" spans="2:28" x14ac:dyDescent="0.25">
      <c r="B107" s="8"/>
      <c r="C107" s="28"/>
      <c r="D107" s="30"/>
      <c r="E107" s="30"/>
      <c r="F107" s="30"/>
      <c r="G107" s="30"/>
      <c r="H107" s="30"/>
      <c r="I107" s="30"/>
      <c r="J107" s="30"/>
      <c r="K107" s="30"/>
      <c r="L107" s="30"/>
      <c r="M107" s="30"/>
      <c r="N107" s="30"/>
      <c r="O107" s="29"/>
      <c r="P107" s="8"/>
      <c r="Q107" s="39"/>
      <c r="R107" s="40"/>
      <c r="S107" s="40"/>
      <c r="T107" s="40"/>
      <c r="U107" s="40"/>
      <c r="V107" s="41"/>
      <c r="W107" s="8"/>
      <c r="X107" s="8"/>
      <c r="Y107" s="8"/>
    </row>
    <row r="108" spans="2:28" x14ac:dyDescent="0.25">
      <c r="B108" s="8"/>
      <c r="C108" s="8"/>
      <c r="D108" s="8"/>
      <c r="E108" s="8"/>
      <c r="F108" s="8"/>
      <c r="G108" s="8"/>
      <c r="H108" s="8"/>
      <c r="I108" s="8"/>
      <c r="J108" s="8"/>
      <c r="K108" s="8"/>
      <c r="L108" s="8"/>
      <c r="M108" s="8"/>
      <c r="N108" s="8"/>
      <c r="O108" s="8"/>
      <c r="P108" s="8"/>
      <c r="Q108" s="8"/>
      <c r="R108" s="8"/>
      <c r="S108" s="8"/>
      <c r="T108" s="8"/>
      <c r="U108" s="8"/>
      <c r="V108" s="8"/>
      <c r="W108" s="8"/>
      <c r="X108" s="8"/>
      <c r="Y108" s="8"/>
    </row>
    <row r="109" spans="2:28" x14ac:dyDescent="0.25">
      <c r="B109" s="8"/>
      <c r="C109" s="8"/>
      <c r="D109" s="8"/>
      <c r="E109" s="8"/>
      <c r="F109" s="8"/>
      <c r="G109" s="8"/>
      <c r="H109" s="8"/>
      <c r="I109" s="8"/>
      <c r="J109" s="8"/>
      <c r="K109" s="8"/>
      <c r="L109" s="8"/>
      <c r="M109" s="8"/>
      <c r="N109" s="8"/>
      <c r="O109" s="8"/>
      <c r="P109" s="8"/>
      <c r="Q109" s="8"/>
      <c r="R109" s="8"/>
      <c r="S109" s="8"/>
      <c r="T109" s="8"/>
      <c r="U109" s="8"/>
      <c r="V109" s="8"/>
      <c r="W109" s="8"/>
      <c r="X109" s="8"/>
      <c r="Y109" s="8"/>
    </row>
    <row r="110" spans="2:28" x14ac:dyDescent="0.25">
      <c r="B110" s="8"/>
      <c r="C110" s="8"/>
      <c r="D110" s="8"/>
      <c r="E110" s="8"/>
      <c r="F110" s="8"/>
      <c r="G110" s="8"/>
      <c r="H110" s="8"/>
      <c r="I110" s="8"/>
      <c r="J110" s="8"/>
      <c r="K110" s="8"/>
      <c r="L110" s="8"/>
      <c r="M110" s="8"/>
      <c r="N110" s="8"/>
      <c r="O110" s="8"/>
      <c r="P110" s="8"/>
      <c r="Q110" s="8"/>
      <c r="R110" s="8"/>
      <c r="S110" s="8"/>
      <c r="T110" s="8"/>
      <c r="U110" s="8"/>
      <c r="V110" s="8"/>
      <c r="W110" s="8"/>
      <c r="X110" s="8"/>
      <c r="Y110" s="8"/>
    </row>
  </sheetData>
  <mergeCells count="31">
    <mergeCell ref="D2:G2"/>
    <mergeCell ref="L2:O2"/>
    <mergeCell ref="R2:S2"/>
    <mergeCell ref="D4:G17"/>
    <mergeCell ref="J5:M5"/>
    <mergeCell ref="R7:R8"/>
    <mergeCell ref="S7:S8"/>
    <mergeCell ref="J12:K12"/>
    <mergeCell ref="L12:M12"/>
    <mergeCell ref="R12:S12"/>
    <mergeCell ref="L9:M9"/>
    <mergeCell ref="R10:S10"/>
    <mergeCell ref="R11:S11"/>
    <mergeCell ref="J13:K14"/>
    <mergeCell ref="L13:M14"/>
    <mergeCell ref="R13:S13"/>
    <mergeCell ref="H1:K1"/>
    <mergeCell ref="S1:T1"/>
    <mergeCell ref="T7:T8"/>
    <mergeCell ref="U7:U8"/>
    <mergeCell ref="L8:M8"/>
    <mergeCell ref="G61:H62"/>
    <mergeCell ref="I61:J62"/>
    <mergeCell ref="K61:L62"/>
    <mergeCell ref="R14:S14"/>
    <mergeCell ref="K16:L16"/>
    <mergeCell ref="S16:T17"/>
    <mergeCell ref="K17:L17"/>
    <mergeCell ref="G60:H60"/>
    <mergeCell ref="I60:J60"/>
    <mergeCell ref="K60:L60"/>
  </mergeCell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type="column" displayEmptyCellsAs="gap" negative="1" xr2:uid="{D17E304A-4B2E-4F67-AE25-D1385B903E2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(2)'!E34:N34</xm:f>
              <xm:sqref>X34</xm:sqref>
            </x14:sparkline>
          </x14:sparklines>
        </x14:sparklineGroup>
        <x14:sparklineGroup type="column" displayEmptyCellsAs="gap" negative="1" xr2:uid="{572D41C0-9624-430D-B1F6-93E87E7F3B77}">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(2)'!E21:N21</xm:f>
              <xm:sqref>X21</xm:sqref>
            </x14:sparkline>
            <x14:sparkline>
              <xm:f>'Financials (2)'!E22:N22</xm:f>
              <xm:sqref>X22</xm:sqref>
            </x14:sparkline>
            <x14:sparkline>
              <xm:f>'Financials (2)'!E23:N23</xm:f>
              <xm:sqref>X23</xm:sqref>
            </x14:sparkline>
            <x14:sparkline>
              <xm:f>'Financials (2)'!E24:N24</xm:f>
              <xm:sqref>X24</xm:sqref>
            </x14:sparkline>
            <x14:sparkline>
              <xm:f>'Financials (2)'!E25:N25</xm:f>
              <xm:sqref>X25</xm:sqref>
            </x14:sparkline>
            <x14:sparkline>
              <xm:f>'Financials (2)'!E26:N26</xm:f>
              <xm:sqref>X26</xm:sqref>
            </x14:sparkline>
            <x14:sparkline>
              <xm:f>'Financials (2)'!E27:N27</xm:f>
              <xm:sqref>X27</xm:sqref>
            </x14:sparkline>
            <x14:sparkline>
              <xm:f>'Financials (2)'!E28:N28</xm:f>
              <xm:sqref>X28</xm:sqref>
            </x14:sparkline>
            <x14:sparkline>
              <xm:f>'Financials (2)'!E29:N29</xm:f>
              <xm:sqref>X29</xm:sqref>
            </x14:sparkline>
            <x14:sparkline>
              <xm:f>'Financials (2)'!E30:N30</xm:f>
              <xm:sqref>X30</xm:sqref>
            </x14:sparkline>
            <x14:sparkline>
              <xm:f>'Financials (2)'!E31:N31</xm:f>
              <xm:sqref>X31</xm:sqref>
            </x14:sparkline>
            <x14:sparkline>
              <xm:f>'Financials (2)'!E32:N32</xm:f>
              <xm:sqref>X32</xm:sqref>
            </x14:sparkline>
            <x14:sparkline>
              <xm:f>'Financials (2)'!E33:N33</xm:f>
              <xm:sqref>X33</xm:sqref>
            </x14:sparkline>
          </x14:sparklines>
        </x14:sparklineGroup>
        <x14:sparklineGroup displayEmptyCellsAs="gap" xr2:uid="{3A014AA0-E942-4F84-8FF5-CBF35973534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(2)'!E37:N37</xm:f>
              <xm:sqref>X37</xm:sqref>
            </x14:sparkline>
            <x14:sparkline>
              <xm:f>'Financials (2)'!E39:N39</xm:f>
              <xm:sqref>X39</xm:sqref>
            </x14:sparkline>
            <x14:sparkline>
              <xm:f>'Financials (2)'!E41:N41</xm:f>
              <xm:sqref>X41</xm:sqref>
            </x14:sparkline>
            <x14:sparkline>
              <xm:f>'Financials (2)'!E43:N43</xm:f>
              <xm:sqref>X43</xm:sqref>
            </x14:sparkline>
            <x14:sparkline>
              <xm:f>'Financials (2)'!E45:N45</xm:f>
              <xm:sqref>X45</xm:sqref>
            </x14:sparkline>
          </x14:sparklines>
        </x14:sparklineGroup>
        <x14:sparklineGroup displayEmptyCellsAs="gap" xr2:uid="{554BA321-833A-4E4C-BB41-25972BB34E15}">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(2)'!E38:N38</xm:f>
              <xm:sqref>X38</xm:sqref>
            </x14:sparkline>
            <x14:sparkline>
              <xm:f>'Financials (2)'!E40:N40</xm:f>
              <xm:sqref>X40</xm:sqref>
            </x14:sparkline>
            <x14:sparkline>
              <xm:f>'Financials (2)'!E42:N42</xm:f>
              <xm:sqref>X42</xm:sqref>
            </x14:sparkline>
            <x14:sparkline>
              <xm:f>'Financials (2)'!E44:N44</xm:f>
              <xm:sqref>X44</xm:sqref>
            </x14:sparkline>
            <x14:sparkline>
              <xm:f>'Financials (2)'!E46:N46</xm:f>
              <xm:sqref>X46</xm:sqref>
            </x14:sparkline>
          </x14:sparklines>
        </x14:sparklineGroup>
        <x14:sparklineGroup displayEmptyCellsAs="gap" xr2:uid="{F55885F1-4CBA-4123-B09D-D034BD5937E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(2)'!E47:N47</xm:f>
              <xm:sqref>X47</xm:sqref>
            </x14:sparkline>
          </x14:sparklines>
        </x14:sparklineGroup>
        <x14:sparklineGroup displayEmptyCellsAs="gap" xr2:uid="{970E2435-39B9-47D2-9A12-CCBF518A54E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(2)'!E50:N50</xm:f>
              <xm:sqref>X50</xm:sqref>
            </x14:sparkline>
          </x14:sparklines>
        </x14:sparklineGroup>
        <x14:sparklineGroup displayEmptyCellsAs="gap" xr2:uid="{7F85AF8F-E439-4836-A1C5-4D36CBDB463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(2)'!E51:N51</xm:f>
              <xm:sqref>X51</xm:sqref>
            </x14:sparkline>
          </x14:sparklines>
        </x14:sparklineGroup>
        <x14:sparklineGroup displayEmptyCellsAs="gap" xr2:uid="{1CD2FCA1-814F-437A-9290-F062C7E75E38}">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(2)'!E52:N52</xm:f>
              <xm:sqref>X52</xm:sqref>
            </x14:sparkline>
          </x14:sparklines>
        </x14:sparklineGroup>
        <x14:sparklineGroup displayEmptyCellsAs="gap" xr2:uid="{3EF7D19E-0119-4759-80FC-AC7AB86725E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(2)'!E55:N55</xm:f>
              <xm:sqref>X54</xm:sqref>
            </x14:sparkline>
          </x14:sparklines>
        </x14:sparklineGroup>
        <x14:sparklineGroup displayEmptyCellsAs="gap" xr2:uid="{A9F68A50-6EBC-477A-9F3C-CF3C1B1EB6E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(2)'!E53:N53</xm:f>
              <xm:sqref>X53</xm:sqref>
            </x14:sparkline>
          </x14:sparklines>
        </x14:sparklineGroup>
        <x14:sparklineGroup displayEmptyCellsAs="gap" xr2:uid="{B1A45E55-623F-452D-AEC4-6CF85BF1C88F}">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 (2)'!E56:N56</xm:f>
              <xm:sqref>X55</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S34"/>
  <sheetViews>
    <sheetView workbookViewId="0">
      <selection activeCell="A2" sqref="A2:XFD2"/>
    </sheetView>
  </sheetViews>
  <sheetFormatPr baseColWidth="10" defaultRowHeight="15" x14ac:dyDescent="0.25"/>
  <cols>
    <col min="2" max="2" width="30" customWidth="1"/>
    <col min="3" max="3" width="33" bestFit="1" customWidth="1"/>
    <col min="4" max="4" width="7.42578125" bestFit="1" customWidth="1"/>
    <col min="5" max="5" width="11.7109375" bestFit="1" customWidth="1"/>
    <col min="6" max="6" width="10.85546875" customWidth="1"/>
    <col min="7" max="7" width="16" bestFit="1" customWidth="1"/>
    <col min="8" max="8" width="14" bestFit="1" customWidth="1"/>
    <col min="9" max="9" width="11.85546875" bestFit="1" customWidth="1"/>
    <col min="10" max="10" width="10.85546875" bestFit="1" customWidth="1"/>
    <col min="11" max="11" width="14.28515625" bestFit="1" customWidth="1"/>
    <col min="12" max="12" width="13.5703125" bestFit="1" customWidth="1"/>
    <col min="13" max="13" width="11.5703125" bestFit="1" customWidth="1"/>
    <col min="14" max="14" width="10.5703125" bestFit="1" customWidth="1"/>
    <col min="15" max="15" width="11" bestFit="1" customWidth="1"/>
    <col min="16" max="16" width="10.140625" bestFit="1" customWidth="1"/>
    <col min="17" max="17" width="11.85546875" bestFit="1" customWidth="1"/>
    <col min="18" max="18" width="16.28515625" bestFit="1" customWidth="1"/>
    <col min="19" max="19" width="18.85546875" bestFit="1" customWidth="1"/>
  </cols>
  <sheetData>
    <row r="1" spans="1:19" s="114" customFormat="1" ht="17.100000000000001" customHeight="1" x14ac:dyDescent="0.25">
      <c r="A1" s="142" t="s">
        <v>106</v>
      </c>
      <c r="B1" s="143" t="s">
        <v>107</v>
      </c>
      <c r="C1" s="144" t="s">
        <v>108</v>
      </c>
      <c r="D1" s="144" t="s">
        <v>129</v>
      </c>
      <c r="E1" s="144" t="s">
        <v>109</v>
      </c>
      <c r="F1" s="144" t="s">
        <v>110</v>
      </c>
      <c r="G1" s="145" t="s">
        <v>111</v>
      </c>
      <c r="H1" s="145" t="s">
        <v>61</v>
      </c>
      <c r="I1" s="145" t="s">
        <v>123</v>
      </c>
      <c r="J1" s="145" t="s">
        <v>112</v>
      </c>
      <c r="K1" s="145" t="s">
        <v>121</v>
      </c>
      <c r="L1" s="145" t="s">
        <v>122</v>
      </c>
      <c r="M1" s="145" t="s">
        <v>126</v>
      </c>
      <c r="N1" s="145" t="s">
        <v>124</v>
      </c>
      <c r="O1" s="145" t="s">
        <v>125</v>
      </c>
      <c r="P1" s="145" t="s">
        <v>117</v>
      </c>
      <c r="Q1" s="145" t="s">
        <v>113</v>
      </c>
      <c r="R1" s="145" t="s">
        <v>114</v>
      </c>
      <c r="S1" s="144" t="s">
        <v>115</v>
      </c>
    </row>
    <row r="2" spans="1:19" ht="17.100000000000001" customHeight="1" x14ac:dyDescent="0.25">
      <c r="A2" s="181" t="str" cm="1">
        <f t="array" ref="A2">_FV(B2,"Ticker symbol",TRUE)</f>
        <v>GOOGL</v>
      </c>
      <c r="B2" s="182" t="e" vm="2">
        <v>#VALUE!</v>
      </c>
      <c r="C2" s="183" t="str" cm="1">
        <f t="array" ref="C2">_FV(B2,"Industry")</f>
        <v>Software &amp; IT Services</v>
      </c>
      <c r="D2" s="184"/>
      <c r="E2" s="185" cm="1">
        <f t="array" ref="E2">_FV(B2,"Price")</f>
        <v>98.02</v>
      </c>
      <c r="F2" s="186">
        <v>5808</v>
      </c>
      <c r="G2" s="178">
        <f t="shared" ref="G2:G33" si="0">F2/E2</f>
        <v>59.25321362987146</v>
      </c>
      <c r="H2" s="136"/>
      <c r="I2" s="123" t="s">
        <v>96</v>
      </c>
      <c r="J2" s="123" t="s">
        <v>98</v>
      </c>
      <c r="K2" s="123"/>
      <c r="L2" s="128">
        <v>0.29499999999999998</v>
      </c>
      <c r="M2" s="128">
        <v>0.41149999999999998</v>
      </c>
      <c r="N2" s="128"/>
      <c r="O2" s="128">
        <v>0.8881</v>
      </c>
      <c r="P2" s="128">
        <v>0.25900000000000001</v>
      </c>
      <c r="Q2" s="123" t="s">
        <v>97</v>
      </c>
      <c r="R2" s="123" t="s">
        <v>94</v>
      </c>
      <c r="S2" s="146">
        <v>44633</v>
      </c>
    </row>
    <row r="3" spans="1:19" ht="17.100000000000001" hidden="1" customHeight="1" x14ac:dyDescent="0.25">
      <c r="A3" s="187" t="str" cm="1">
        <f t="array" ref="A3">_FV(B3,"Ticker symbol",TRUE)</f>
        <v>MSTR</v>
      </c>
      <c r="B3" s="115" t="e" vm="3">
        <v>#VALUE!</v>
      </c>
      <c r="C3" s="116" t="str" cm="1">
        <f t="array" ref="C3">_FV(B3,"Industry")</f>
        <v>Software &amp; IT Services</v>
      </c>
      <c r="D3" s="175"/>
      <c r="E3" s="117" cm="1">
        <f t="array" ref="E3">_FV(B3,"Price")</f>
        <v>240.03</v>
      </c>
      <c r="F3" s="188">
        <v>8499</v>
      </c>
      <c r="G3" s="179">
        <f t="shared" si="0"/>
        <v>35.408073990751156</v>
      </c>
      <c r="H3" s="139"/>
      <c r="I3" s="121" t="s">
        <v>93</v>
      </c>
      <c r="J3" s="122"/>
      <c r="K3" s="122"/>
      <c r="L3" s="122"/>
      <c r="M3" s="122"/>
      <c r="N3" s="122"/>
      <c r="O3" s="122"/>
      <c r="P3" s="122"/>
      <c r="Q3" s="122"/>
      <c r="R3" s="123" t="s">
        <v>94</v>
      </c>
      <c r="S3" s="147">
        <v>44561</v>
      </c>
    </row>
    <row r="4" spans="1:19" ht="17.100000000000001" customHeight="1" x14ac:dyDescent="0.25">
      <c r="A4" s="187" t="str" cm="1">
        <f t="array" ref="A4">_FV(B4,"Ticker symbol",TRUE)</f>
        <v>TUEM</v>
      </c>
      <c r="B4" s="115" t="e" vm="4">
        <v>#VALUE!</v>
      </c>
      <c r="C4" s="116" t="str" cm="1">
        <f t="array" ref="C4">_FV(B4,"Industry")</f>
        <v>Diversified Retail</v>
      </c>
      <c r="D4" s="175"/>
      <c r="E4" s="117" cm="1">
        <f t="array" ref="E4">_FV(B4,"Price")</f>
        <v>0.55189999999999995</v>
      </c>
      <c r="F4" s="137">
        <v>7.9</v>
      </c>
      <c r="G4" s="178">
        <f t="shared" si="0"/>
        <v>14.314187352781303</v>
      </c>
      <c r="H4" s="176"/>
      <c r="I4" s="121" t="s">
        <v>93</v>
      </c>
      <c r="J4" s="121" t="s">
        <v>99</v>
      </c>
      <c r="K4" s="124"/>
      <c r="L4" s="125">
        <v>4.0000000000000001E-3</v>
      </c>
      <c r="M4" s="125">
        <v>-0.2104</v>
      </c>
      <c r="N4" s="125"/>
      <c r="O4" s="125">
        <v>-1.0179</v>
      </c>
      <c r="P4" s="125">
        <v>3.7999999999999999E-2</v>
      </c>
      <c r="Q4" s="121" t="s">
        <v>116</v>
      </c>
      <c r="R4" s="123" t="s">
        <v>94</v>
      </c>
      <c r="S4" s="147">
        <v>44868</v>
      </c>
    </row>
    <row r="5" spans="1:19" ht="17.100000000000001" customHeight="1" x14ac:dyDescent="0.25">
      <c r="A5" s="187" t="str" cm="1">
        <f t="array" ref="A5">_FV(B5,"Ticker symbol",TRUE)</f>
        <v>NTDOY</v>
      </c>
      <c r="B5" s="115" t="e" vm="5">
        <v>#VALUE!</v>
      </c>
      <c r="C5" s="116" t="str" cm="1">
        <f t="array" ref="C5">_FV(B5,"Industry")</f>
        <v>Leisure Products</v>
      </c>
      <c r="D5" s="175"/>
      <c r="E5" s="117" cm="1">
        <f t="array" ref="E5">_FV(B5,"Price")</f>
        <v>10.74</v>
      </c>
      <c r="F5" s="137">
        <v>89</v>
      </c>
      <c r="G5" s="178">
        <f t="shared" si="0"/>
        <v>8.2867783985102417</v>
      </c>
      <c r="H5" s="136"/>
      <c r="I5" s="123" t="s">
        <v>96</v>
      </c>
      <c r="J5" s="123" t="s">
        <v>98</v>
      </c>
      <c r="K5" s="123"/>
      <c r="L5" s="128">
        <v>0.28000000000000003</v>
      </c>
      <c r="M5" s="127">
        <v>0.1</v>
      </c>
      <c r="N5" s="127"/>
      <c r="O5" s="128">
        <v>0.2</v>
      </c>
      <c r="P5" s="128">
        <v>0.25</v>
      </c>
      <c r="Q5" s="123" t="s">
        <v>97</v>
      </c>
      <c r="R5" s="129" t="s">
        <v>103</v>
      </c>
      <c r="S5" s="147">
        <v>44622</v>
      </c>
    </row>
    <row r="6" spans="1:19" ht="17.100000000000001" customHeight="1" x14ac:dyDescent="0.25">
      <c r="A6" s="187" t="str" cm="1">
        <f t="array" ref="A6">_FV(B6,"Ticker symbol",TRUE)</f>
        <v>GBUS</v>
      </c>
      <c r="B6" s="115" t="e" vm="6">
        <v>#VALUE!</v>
      </c>
      <c r="C6" s="116" t="str" cm="1">
        <f t="array" ref="C6">_FV(B6,"Industry")</f>
        <v>Homebuilding &amp; Construction Supplies</v>
      </c>
      <c r="D6" s="175"/>
      <c r="E6" s="118" cm="1">
        <f t="array" ref="E6">_FV(B6,"Price")</f>
        <v>15.5</v>
      </c>
      <c r="F6" s="137">
        <v>87</v>
      </c>
      <c r="G6" s="178">
        <f t="shared" si="0"/>
        <v>5.612903225806452</v>
      </c>
      <c r="H6" s="136"/>
      <c r="I6" s="123" t="s">
        <v>96</v>
      </c>
      <c r="J6" s="126" t="s">
        <v>95</v>
      </c>
      <c r="K6" s="126"/>
      <c r="L6" s="127">
        <v>0.16</v>
      </c>
      <c r="M6" s="128">
        <v>0.4</v>
      </c>
      <c r="N6" s="128"/>
      <c r="O6" s="128">
        <v>1</v>
      </c>
      <c r="P6" s="128">
        <v>0.42</v>
      </c>
      <c r="Q6" s="123" t="s">
        <v>97</v>
      </c>
      <c r="R6" s="123" t="s">
        <v>94</v>
      </c>
      <c r="S6" s="147">
        <v>44670</v>
      </c>
    </row>
    <row r="7" spans="1:19" ht="17.100000000000001" hidden="1" customHeight="1" x14ac:dyDescent="0.25">
      <c r="A7" s="187" t="str" cm="1">
        <f t="array" ref="A7">_FV(B7,"Ticker symbol",TRUE)</f>
        <v>327</v>
      </c>
      <c r="B7" s="115" t="e" vm="7">
        <v>#VALUE!</v>
      </c>
      <c r="C7" s="116" t="str" cm="1">
        <f t="array" ref="C7">_FV(B7,"Industry")</f>
        <v>Office Equipment</v>
      </c>
      <c r="D7" s="175"/>
      <c r="E7" s="117" cm="1">
        <f t="array" ref="E7">_FV(B7,"Price")</f>
        <v>7.22</v>
      </c>
      <c r="F7" s="137">
        <v>36</v>
      </c>
      <c r="G7" s="178">
        <f t="shared" si="0"/>
        <v>4.986149584487535</v>
      </c>
      <c r="H7" s="135"/>
      <c r="I7" s="124" t="s">
        <v>99</v>
      </c>
      <c r="J7" s="126" t="s">
        <v>95</v>
      </c>
      <c r="K7" s="126"/>
      <c r="L7" s="127">
        <v>0.16</v>
      </c>
      <c r="M7" s="128">
        <v>0.1472</v>
      </c>
      <c r="N7" s="128"/>
      <c r="O7" s="128">
        <v>0.45150000000000001</v>
      </c>
      <c r="P7" s="127">
        <v>0.17929999999999999</v>
      </c>
      <c r="Q7" s="123" t="s">
        <v>97</v>
      </c>
      <c r="R7" s="123" t="s">
        <v>94</v>
      </c>
      <c r="S7" s="147">
        <v>44199</v>
      </c>
    </row>
    <row r="8" spans="1:19" ht="17.100000000000001" customHeight="1" x14ac:dyDescent="0.25">
      <c r="A8" s="187" t="str" cm="1">
        <f t="array" ref="A8">_FV(B8,"Ticker symbol",TRUE)</f>
        <v>HEAR</v>
      </c>
      <c r="B8" s="115" t="e" vm="8">
        <v>#VALUE!</v>
      </c>
      <c r="C8" s="116" t="str" cm="1">
        <f t="array" ref="C8">_FV(B8,"Industry")</f>
        <v>Computers, Phones &amp; Household Electronics</v>
      </c>
      <c r="D8" s="175"/>
      <c r="E8" s="117" cm="1">
        <f t="array" ref="E8">_FV(B8,"Price")</f>
        <v>8.51</v>
      </c>
      <c r="F8" s="137">
        <v>41</v>
      </c>
      <c r="G8" s="178">
        <f t="shared" si="0"/>
        <v>4.8178613396004701</v>
      </c>
      <c r="H8" s="135"/>
      <c r="I8" s="126" t="s">
        <v>95</v>
      </c>
      <c r="J8" s="126" t="s">
        <v>95</v>
      </c>
      <c r="K8" s="126"/>
      <c r="L8" s="130">
        <v>4.8000000000000001E-2</v>
      </c>
      <c r="M8" s="125">
        <v>1.7399999999999999E-2</v>
      </c>
      <c r="N8" s="125"/>
      <c r="O8" s="125">
        <v>-0.54259999999999997</v>
      </c>
      <c r="P8" s="131">
        <v>0.11899999999999999</v>
      </c>
      <c r="Q8" s="123" t="s">
        <v>97</v>
      </c>
      <c r="R8" s="126" t="s">
        <v>95</v>
      </c>
      <c r="S8" s="147">
        <v>44584</v>
      </c>
    </row>
    <row r="9" spans="1:19" ht="17.100000000000001" customHeight="1" x14ac:dyDescent="0.25">
      <c r="A9" s="187" t="str" cm="1">
        <f t="array" ref="A9">_FV(B9,"Ticker symbol",TRUE)</f>
        <v>BOTB</v>
      </c>
      <c r="B9" s="115" t="e" vm="9">
        <v>#VALUE!</v>
      </c>
      <c r="C9" s="116" t="str" cm="1">
        <f t="array" ref="C9">_FV(B9,"Industry")</f>
        <v>Hotels &amp; Entertainment Services</v>
      </c>
      <c r="D9" s="175"/>
      <c r="E9" s="117" cm="1">
        <f t="array" ref="E9">_FV(B9,"Price")/100</f>
        <v>4.0999999999999996</v>
      </c>
      <c r="F9" s="137">
        <v>16</v>
      </c>
      <c r="G9" s="178">
        <f t="shared" si="0"/>
        <v>3.9024390243902443</v>
      </c>
      <c r="H9" s="135"/>
      <c r="I9" s="126" t="s">
        <v>95</v>
      </c>
      <c r="J9" s="121" t="s">
        <v>99</v>
      </c>
      <c r="K9" s="124"/>
      <c r="L9" s="127">
        <v>0.2</v>
      </c>
      <c r="M9" s="128">
        <v>1.5</v>
      </c>
      <c r="N9" s="128"/>
      <c r="O9" s="128">
        <v>1</v>
      </c>
      <c r="P9" s="128">
        <v>1.6</v>
      </c>
      <c r="Q9" s="123" t="s">
        <v>97</v>
      </c>
      <c r="R9" s="129" t="s">
        <v>103</v>
      </c>
      <c r="S9" s="147">
        <v>44714</v>
      </c>
    </row>
    <row r="10" spans="1:19" ht="17.100000000000001" customHeight="1" x14ac:dyDescent="0.25">
      <c r="A10" s="187" t="str" cm="1">
        <f t="array" ref="A10">_FV(B10,"Ticker symbol",TRUE)</f>
        <v>AQB</v>
      </c>
      <c r="B10" s="115" t="e" vm="10">
        <v>#VALUE!</v>
      </c>
      <c r="C10" s="116" t="str" cm="1">
        <f t="array" ref="C10">_FV(B10,"Industry")</f>
        <v>Biotechnology &amp; Medical Research</v>
      </c>
      <c r="D10" s="175"/>
      <c r="E10" s="117" cm="1">
        <f t="array" ref="E10">_FV(B10,"Price")</f>
        <v>0.96870000000000001</v>
      </c>
      <c r="F10" s="137">
        <v>4</v>
      </c>
      <c r="G10" s="178">
        <f t="shared" si="0"/>
        <v>4.1292453804067311</v>
      </c>
      <c r="H10" s="139"/>
      <c r="I10" s="121" t="s">
        <v>93</v>
      </c>
      <c r="J10" s="123" t="s">
        <v>98</v>
      </c>
      <c r="K10" s="123"/>
      <c r="L10" s="125">
        <v>-19.001000000000001</v>
      </c>
      <c r="M10" s="128">
        <v>8.2026000000000003</v>
      </c>
      <c r="N10" s="128"/>
      <c r="O10" s="128">
        <v>0.36109999999999998</v>
      </c>
      <c r="P10" s="125">
        <v>-0.10199999999999999</v>
      </c>
      <c r="Q10" s="123" t="s">
        <v>97</v>
      </c>
      <c r="R10" s="126" t="s">
        <v>95</v>
      </c>
      <c r="S10" s="147">
        <v>44575</v>
      </c>
    </row>
    <row r="11" spans="1:19" ht="17.100000000000001" customHeight="1" x14ac:dyDescent="0.25">
      <c r="A11" s="187" t="str" cm="1">
        <f t="array" ref="A11">_FV(B11,"Ticker symbol",TRUE)</f>
        <v>HZO</v>
      </c>
      <c r="B11" s="115" t="e" vm="11">
        <v>#VALUE!</v>
      </c>
      <c r="C11" s="116" t="str" cm="1">
        <f t="array" ref="C11">_FV(B11,"Industry")</f>
        <v>Leisure Products</v>
      </c>
      <c r="D11" s="175"/>
      <c r="E11" s="117" cm="1">
        <f t="array" ref="E11">_FV(B11,"Price")</f>
        <v>34.01</v>
      </c>
      <c r="F11" s="137">
        <v>143</v>
      </c>
      <c r="G11" s="178">
        <f t="shared" si="0"/>
        <v>4.2046456924433988</v>
      </c>
      <c r="H11" s="140"/>
      <c r="I11" s="124" t="s">
        <v>99</v>
      </c>
      <c r="J11" s="126" t="s">
        <v>95</v>
      </c>
      <c r="K11" s="126"/>
      <c r="L11" s="130">
        <v>7.4999999999999997E-2</v>
      </c>
      <c r="M11" s="128">
        <v>0.36670000000000003</v>
      </c>
      <c r="N11" s="128"/>
      <c r="O11" s="128">
        <v>1.0765</v>
      </c>
      <c r="P11" s="127">
        <v>0.20799999999999999</v>
      </c>
      <c r="Q11" s="129" t="s">
        <v>101</v>
      </c>
      <c r="R11" s="126" t="s">
        <v>95</v>
      </c>
      <c r="S11" s="147">
        <v>44584</v>
      </c>
    </row>
    <row r="12" spans="1:19" ht="17.100000000000001" customHeight="1" x14ac:dyDescent="0.25">
      <c r="A12" s="187" t="str" cm="1">
        <f t="array" ref="A12">_FV(B12,"Ticker symbol",TRUE)</f>
        <v>FLWS</v>
      </c>
      <c r="B12" s="115" t="e" vm="12">
        <v>#VALUE!</v>
      </c>
      <c r="C12" s="116" t="str" cm="1">
        <f t="array" ref="C12">_FV(B12,"Industry")</f>
        <v>Specialty Retailers</v>
      </c>
      <c r="D12" s="175"/>
      <c r="E12" s="117" cm="1">
        <f t="array" ref="E12">_FV(B12,"Price")</f>
        <v>9.36</v>
      </c>
      <c r="F12" s="137">
        <v>40</v>
      </c>
      <c r="G12" s="178">
        <f t="shared" si="0"/>
        <v>4.2735042735042734</v>
      </c>
      <c r="H12" s="140"/>
      <c r="I12" s="124" t="s">
        <v>99</v>
      </c>
      <c r="J12" s="129" t="s">
        <v>100</v>
      </c>
      <c r="K12" s="129"/>
      <c r="L12" s="130">
        <v>5.6000000000000001E-2</v>
      </c>
      <c r="M12" s="128">
        <v>0.42470000000000002</v>
      </c>
      <c r="N12" s="128"/>
      <c r="O12" s="128">
        <v>1.0111000000000001</v>
      </c>
      <c r="P12" s="127">
        <v>0.152</v>
      </c>
      <c r="Q12" s="129" t="s">
        <v>101</v>
      </c>
      <c r="R12" s="123" t="s">
        <v>94</v>
      </c>
      <c r="S12" s="147">
        <v>44868</v>
      </c>
    </row>
    <row r="13" spans="1:19" ht="17.100000000000001" customHeight="1" x14ac:dyDescent="0.25">
      <c r="A13" s="187" t="str" cm="1">
        <f t="array" ref="A13">_FV(B13,"Ticker symbol",TRUE)</f>
        <v>NGMS</v>
      </c>
      <c r="B13" s="115" t="e" vm="13">
        <v>#VALUE!</v>
      </c>
      <c r="C13" s="116" t="str" cm="1">
        <f t="array" ref="C13">_FV(B13,"Industry")</f>
        <v>Software &amp; IT Services</v>
      </c>
      <c r="D13" s="175"/>
      <c r="E13" s="117" cm="1">
        <f t="array" ref="E13">_FV(B13,"Price")</f>
        <v>12.29</v>
      </c>
      <c r="F13" s="137">
        <v>47</v>
      </c>
      <c r="G13" s="179">
        <f t="shared" si="0"/>
        <v>3.8242473555736374</v>
      </c>
      <c r="H13" s="135">
        <v>0.06</v>
      </c>
      <c r="I13" s="124" t="s">
        <v>99</v>
      </c>
      <c r="J13" s="123" t="s">
        <v>98</v>
      </c>
      <c r="K13" s="136">
        <v>1</v>
      </c>
      <c r="L13" s="130">
        <v>0.13</v>
      </c>
      <c r="M13" s="128">
        <v>0.28999999999999998</v>
      </c>
      <c r="N13" s="128"/>
      <c r="O13" s="128"/>
      <c r="P13" s="128">
        <v>0.4</v>
      </c>
      <c r="Q13" s="123" t="s">
        <v>97</v>
      </c>
      <c r="R13" s="123" t="s">
        <v>94</v>
      </c>
      <c r="S13" s="147">
        <v>44685</v>
      </c>
    </row>
    <row r="14" spans="1:19" ht="17.100000000000001" hidden="1" customHeight="1" x14ac:dyDescent="0.25">
      <c r="A14" s="187" t="str" cm="1">
        <f t="array" ref="A14">_FV(B14,"Ticker symbol",TRUE)</f>
        <v>META</v>
      </c>
      <c r="B14" s="115" t="e" vm="14">
        <v>#VALUE!</v>
      </c>
      <c r="C14" s="116" t="str" cm="1">
        <f t="array" ref="C14">_FV(B14,"Industry")</f>
        <v>Software &amp; IT Services</v>
      </c>
      <c r="D14" s="175">
        <v>0.1</v>
      </c>
      <c r="E14" s="117" cm="1">
        <f t="array" ref="E14">_FV(B14,"Price")</f>
        <v>139.37</v>
      </c>
      <c r="F14" s="137">
        <v>454</v>
      </c>
      <c r="G14" s="178">
        <f t="shared" si="0"/>
        <v>3.257515964698285</v>
      </c>
      <c r="H14" s="196">
        <v>0.08</v>
      </c>
      <c r="I14" s="124" t="s">
        <v>99</v>
      </c>
      <c r="J14" s="173" t="s">
        <v>98</v>
      </c>
      <c r="K14" s="197">
        <v>0.8</v>
      </c>
      <c r="L14" s="132">
        <v>0.3</v>
      </c>
      <c r="M14" s="132">
        <v>0.2</v>
      </c>
      <c r="N14" s="132">
        <v>0.1</v>
      </c>
      <c r="O14" s="132">
        <v>0.14000000000000001</v>
      </c>
      <c r="P14" s="132">
        <v>0.28000000000000003</v>
      </c>
      <c r="Q14" s="173" t="s">
        <v>97</v>
      </c>
      <c r="R14" s="173" t="s">
        <v>94</v>
      </c>
      <c r="S14" s="147">
        <v>44940</v>
      </c>
    </row>
    <row r="15" spans="1:19" ht="17.100000000000001" customHeight="1" x14ac:dyDescent="0.25">
      <c r="A15" s="187" t="str" cm="1">
        <f t="array" ref="A15">_FV(B15,"Ticker symbol",TRUE)</f>
        <v>SFTBF</v>
      </c>
      <c r="B15" s="115" t="e" vm="15">
        <v>#VALUE!</v>
      </c>
      <c r="C15" s="116" t="str" cm="1">
        <f t="array" ref="C15">_FV(B15,"Industry")</f>
        <v>Telecommunications Services</v>
      </c>
      <c r="D15" s="175"/>
      <c r="E15" s="117" cm="1">
        <f t="array" ref="E15">_FV(B15,"Price")</f>
        <v>46.33</v>
      </c>
      <c r="F15" s="137">
        <v>156</v>
      </c>
      <c r="G15" s="178">
        <f t="shared" si="0"/>
        <v>3.3671487157349449</v>
      </c>
      <c r="H15" s="135"/>
      <c r="I15" s="124" t="s">
        <v>99</v>
      </c>
      <c r="J15" s="122"/>
      <c r="K15" s="122"/>
      <c r="L15" s="122"/>
      <c r="M15" s="122"/>
      <c r="N15" s="122"/>
      <c r="O15" s="122"/>
      <c r="P15" s="122"/>
      <c r="Q15" s="122"/>
      <c r="R15" s="123" t="s">
        <v>94</v>
      </c>
      <c r="S15" s="147">
        <v>44694</v>
      </c>
    </row>
    <row r="16" spans="1:19" ht="17.100000000000001" customHeight="1" x14ac:dyDescent="0.25">
      <c r="A16" s="187" t="str" cm="1">
        <f t="array" ref="A16">_FV(B16,"Ticker symbol",TRUE)</f>
        <v>CRMT</v>
      </c>
      <c r="B16" s="115" t="e" vm="16">
        <v>#VALUE!</v>
      </c>
      <c r="C16" s="116" t="str" cm="1">
        <f t="array" ref="C16">_FV(B16,"Industry")</f>
        <v>Specialty Retailers</v>
      </c>
      <c r="D16" s="175"/>
      <c r="E16" s="117" cm="1">
        <f t="array" ref="E16">_FV(B16,"Price")</f>
        <v>77.42</v>
      </c>
      <c r="F16" s="137">
        <v>227</v>
      </c>
      <c r="G16" s="178">
        <f t="shared" si="0"/>
        <v>2.9320588995091708</v>
      </c>
      <c r="H16" s="135"/>
      <c r="I16" s="126" t="s">
        <v>95</v>
      </c>
      <c r="J16" s="126" t="s">
        <v>95</v>
      </c>
      <c r="K16" s="126"/>
      <c r="L16" s="130">
        <v>0.113</v>
      </c>
      <c r="M16" s="128">
        <v>0.23369999999999999</v>
      </c>
      <c r="N16" s="128"/>
      <c r="O16" s="128">
        <v>1.0283</v>
      </c>
      <c r="P16" s="131">
        <v>0.13700000000000001</v>
      </c>
      <c r="Q16" s="126" t="s">
        <v>102</v>
      </c>
      <c r="R16" s="129" t="s">
        <v>103</v>
      </c>
      <c r="S16" s="147">
        <v>44584</v>
      </c>
    </row>
    <row r="17" spans="1:19" ht="17.100000000000001" customHeight="1" x14ac:dyDescent="0.25">
      <c r="A17" s="187">
        <v>4934</v>
      </c>
      <c r="B17" s="115" t="s">
        <v>104</v>
      </c>
      <c r="C17" s="116" t="s">
        <v>105</v>
      </c>
      <c r="D17" s="175"/>
      <c r="E17" s="119">
        <v>3770</v>
      </c>
      <c r="F17" s="188">
        <v>9800</v>
      </c>
      <c r="G17" s="178">
        <f t="shared" si="0"/>
        <v>2.5994694960212201</v>
      </c>
      <c r="H17" s="135"/>
      <c r="I17" s="126" t="s">
        <v>95</v>
      </c>
      <c r="J17" s="126" t="s">
        <v>95</v>
      </c>
      <c r="K17" s="126"/>
      <c r="L17" s="130">
        <v>7.0000000000000007E-2</v>
      </c>
      <c r="M17" s="128">
        <v>0.6</v>
      </c>
      <c r="N17" s="128"/>
      <c r="O17" s="128">
        <v>2</v>
      </c>
      <c r="P17" s="128">
        <v>0.4</v>
      </c>
      <c r="Q17" s="123" t="s">
        <v>97</v>
      </c>
      <c r="R17" s="129" t="s">
        <v>103</v>
      </c>
      <c r="S17" s="147">
        <v>44681</v>
      </c>
    </row>
    <row r="18" spans="1:19" ht="17.100000000000001" hidden="1" customHeight="1" x14ac:dyDescent="0.25">
      <c r="A18" s="187" t="str" cm="1">
        <f t="array" ref="A18">_FV(B18,"Ticker symbol",TRUE)</f>
        <v>EVVTY</v>
      </c>
      <c r="B18" s="115" t="e" vm="1">
        <v>#VALUE!</v>
      </c>
      <c r="C18" s="116" t="str" cm="1">
        <f t="array" ref="C18">_FV(B18,"Industry")</f>
        <v>Hotels &amp; Entertainment Services</v>
      </c>
      <c r="D18" s="175">
        <v>0.1</v>
      </c>
      <c r="E18" s="117" cm="1">
        <f t="array" ref="E18">_FV(B18,"Price")</f>
        <v>113.26</v>
      </c>
      <c r="F18" s="137">
        <v>331</v>
      </c>
      <c r="G18" s="178">
        <f t="shared" si="0"/>
        <v>2.9224792512802402</v>
      </c>
      <c r="H18" s="198">
        <v>0.03</v>
      </c>
      <c r="I18" s="124" t="s">
        <v>99</v>
      </c>
      <c r="J18" s="123" t="s">
        <v>98</v>
      </c>
      <c r="K18" s="123" t="s">
        <v>145</v>
      </c>
      <c r="L18" s="128">
        <v>0.57999999999999996</v>
      </c>
      <c r="M18" s="128">
        <v>0.55000000000000004</v>
      </c>
      <c r="N18" s="128">
        <v>0.6</v>
      </c>
      <c r="O18" s="128">
        <v>1.24</v>
      </c>
      <c r="P18" s="127">
        <v>0.21</v>
      </c>
      <c r="Q18" s="123" t="s">
        <v>97</v>
      </c>
      <c r="R18" s="123" t="s">
        <v>94</v>
      </c>
      <c r="S18" s="147">
        <v>44940</v>
      </c>
    </row>
    <row r="19" spans="1:19" ht="17.100000000000001" customHeight="1" x14ac:dyDescent="0.25">
      <c r="A19" s="187" t="str" cm="1">
        <f t="array" ref="A19">_FV(B19,"Ticker symbol",TRUE)</f>
        <v>NVDA</v>
      </c>
      <c r="B19" s="115" t="e" vm="17">
        <v>#VALUE!</v>
      </c>
      <c r="C19" s="116" t="str" cm="1">
        <f t="array" ref="C19">_FV(B19,"Industry")</f>
        <v>Semiconductors &amp; Semiconductor Equipment</v>
      </c>
      <c r="D19" s="175"/>
      <c r="E19" s="117" cm="1">
        <f t="array" ref="E19">_FV(B19,"Price")</f>
        <v>178.39</v>
      </c>
      <c r="F19" s="137">
        <v>310</v>
      </c>
      <c r="G19" s="179">
        <f t="shared" si="0"/>
        <v>1.7377655698189363</v>
      </c>
      <c r="H19" s="139">
        <v>0.02</v>
      </c>
      <c r="I19" s="123" t="s">
        <v>96</v>
      </c>
      <c r="J19" s="123" t="s">
        <v>98</v>
      </c>
      <c r="K19" s="168">
        <v>0.65</v>
      </c>
      <c r="L19" s="128">
        <v>0.36</v>
      </c>
      <c r="M19" s="128">
        <v>0.3</v>
      </c>
      <c r="N19" s="132">
        <v>0.4</v>
      </c>
      <c r="O19" s="128">
        <v>0.42</v>
      </c>
      <c r="P19" s="128">
        <v>0.41</v>
      </c>
      <c r="Q19" s="123" t="s">
        <v>97</v>
      </c>
      <c r="R19" s="123" t="s">
        <v>94</v>
      </c>
      <c r="S19" s="147">
        <v>44687</v>
      </c>
    </row>
    <row r="20" spans="1:19" ht="17.100000000000001" customHeight="1" x14ac:dyDescent="0.25">
      <c r="A20" s="187" t="str" cm="1">
        <f t="array" ref="A20">_FV(B20,"Ticker symbol",TRUE)</f>
        <v>CRSR</v>
      </c>
      <c r="B20" s="115" t="e" vm="18">
        <v>#VALUE!</v>
      </c>
      <c r="C20" s="116" t="str" cm="1">
        <f t="array" ref="C20">_FV(B20,"Industry")</f>
        <v>Computers, Phones &amp; Household Electronics</v>
      </c>
      <c r="D20" s="175"/>
      <c r="E20" s="117" cm="1">
        <f t="array" ref="E20">_FV(B20,"Price")</f>
        <v>14.41</v>
      </c>
      <c r="F20" s="137">
        <v>26</v>
      </c>
      <c r="G20" s="178">
        <f t="shared" si="0"/>
        <v>1.8043025676613462</v>
      </c>
      <c r="H20" s="140"/>
      <c r="I20" s="124" t="s">
        <v>99</v>
      </c>
      <c r="J20" s="129" t="s">
        <v>100</v>
      </c>
      <c r="K20" s="129"/>
      <c r="L20" s="130">
        <v>5.2999999999999999E-2</v>
      </c>
      <c r="M20" s="127">
        <v>0.11849999999999999</v>
      </c>
      <c r="N20" s="127"/>
      <c r="O20" s="125">
        <v>-2.1899999999999999E-2</v>
      </c>
      <c r="P20" s="131">
        <v>0.13100000000000001</v>
      </c>
      <c r="Q20" s="129" t="s">
        <v>101</v>
      </c>
      <c r="R20" s="129" t="s">
        <v>103</v>
      </c>
      <c r="S20" s="148">
        <v>44599</v>
      </c>
    </row>
    <row r="21" spans="1:19" ht="17.100000000000001" customHeight="1" x14ac:dyDescent="0.25">
      <c r="A21" s="187" t="str" cm="1">
        <f t="array" ref="A21">_FV(B21,"Ticker symbol",TRUE)</f>
        <v>SAND</v>
      </c>
      <c r="B21" s="115" t="e" vm="19">
        <v>#VALUE!</v>
      </c>
      <c r="C21" s="116" t="str" cm="1">
        <f t="array" ref="C21">_FV(B21,"Industry")</f>
        <v>Metals &amp; Mining</v>
      </c>
      <c r="D21" s="175"/>
      <c r="E21" s="117" cm="1">
        <f t="array" ref="E21">_FV(B21,"Price")</f>
        <v>6.05</v>
      </c>
      <c r="F21" s="137">
        <v>10</v>
      </c>
      <c r="G21" s="178">
        <f t="shared" si="0"/>
        <v>1.6528925619834711</v>
      </c>
      <c r="H21" s="140"/>
      <c r="I21" s="124" t="s">
        <v>99</v>
      </c>
      <c r="J21" s="123" t="s">
        <v>98</v>
      </c>
      <c r="K21" s="123"/>
      <c r="L21" s="127">
        <v>0.24</v>
      </c>
      <c r="M21" s="128">
        <v>0.23469999999999999</v>
      </c>
      <c r="N21" s="132"/>
      <c r="O21" s="132">
        <v>0.99909999999999999</v>
      </c>
      <c r="P21" s="125">
        <v>4.7E-2</v>
      </c>
      <c r="Q21" s="123" t="s">
        <v>97</v>
      </c>
      <c r="R21" s="123" t="s">
        <v>94</v>
      </c>
      <c r="S21" s="147">
        <v>44584</v>
      </c>
    </row>
    <row r="22" spans="1:19" ht="17.100000000000001" customHeight="1" x14ac:dyDescent="0.25">
      <c r="A22" s="187" t="str" cm="1">
        <f t="array" ref="A22">_FV(B22,"Ticker symbol",TRUE)</f>
        <v>OPRA</v>
      </c>
      <c r="B22" s="115" t="e" vm="20">
        <v>#VALUE!</v>
      </c>
      <c r="C22" s="116" t="str" cm="1">
        <f t="array" ref="C22">_FV(B22,"Industry")</f>
        <v>Software &amp; IT Services</v>
      </c>
      <c r="D22" s="175"/>
      <c r="E22" s="117" cm="1">
        <f t="array" ref="E22">_FV(B22,"Price")</f>
        <v>7.01</v>
      </c>
      <c r="F22" s="137">
        <v>10</v>
      </c>
      <c r="G22" s="178">
        <f t="shared" si="0"/>
        <v>1.4265335235378032</v>
      </c>
      <c r="H22" s="136"/>
      <c r="I22" s="126" t="s">
        <v>95</v>
      </c>
      <c r="J22" s="121" t="s">
        <v>99</v>
      </c>
      <c r="K22" s="136">
        <v>0.94</v>
      </c>
      <c r="L22" s="125">
        <v>-6.3E-2</v>
      </c>
      <c r="M22" s="128">
        <v>0.13</v>
      </c>
      <c r="N22" s="172">
        <v>-0.1</v>
      </c>
      <c r="O22" s="172">
        <v>-1.72</v>
      </c>
      <c r="P22" s="125">
        <v>2.5000000000000001E-2</v>
      </c>
      <c r="Q22" s="123" t="s">
        <v>97</v>
      </c>
      <c r="R22" s="121" t="s">
        <v>128</v>
      </c>
      <c r="S22" s="147">
        <v>44694</v>
      </c>
    </row>
    <row r="23" spans="1:19" ht="17.100000000000001" customHeight="1" x14ac:dyDescent="0.25">
      <c r="A23" s="187" t="str" cm="1">
        <f t="array" ref="A23">_FV(B23,"Ticker symbol",TRUE)</f>
        <v>CROX</v>
      </c>
      <c r="B23" s="115" t="e" vm="21">
        <v>#VALUE!</v>
      </c>
      <c r="C23" s="116" t="str" cm="1">
        <f t="array" ref="C23">_FV(B23,"Industry")</f>
        <v>Textiles &amp; Apparel</v>
      </c>
      <c r="D23" s="175"/>
      <c r="E23" s="117" cm="1">
        <f t="array" ref="E23">_FV(B23,"Price")</f>
        <v>122.4</v>
      </c>
      <c r="F23" s="137">
        <v>180</v>
      </c>
      <c r="G23" s="179">
        <f t="shared" si="0"/>
        <v>1.4705882352941175</v>
      </c>
      <c r="H23" s="136">
        <v>0.11</v>
      </c>
      <c r="I23" s="123" t="s">
        <v>96</v>
      </c>
      <c r="J23" s="123" t="s">
        <v>98</v>
      </c>
      <c r="K23" s="168">
        <v>0.6</v>
      </c>
      <c r="L23" s="128">
        <v>0.3</v>
      </c>
      <c r="M23" s="127">
        <v>0.08</v>
      </c>
      <c r="N23" s="128">
        <v>0.25</v>
      </c>
      <c r="O23" s="128">
        <v>0.2</v>
      </c>
      <c r="P23" s="128">
        <v>0.3</v>
      </c>
      <c r="Q23" s="121" t="s">
        <v>116</v>
      </c>
      <c r="R23" s="123" t="s">
        <v>94</v>
      </c>
      <c r="S23" s="147">
        <v>44689</v>
      </c>
    </row>
    <row r="24" spans="1:19" ht="17.100000000000001" customHeight="1" x14ac:dyDescent="0.25">
      <c r="A24" s="187" t="str" cm="1">
        <f t="array" ref="A24">_FV(B24,"Ticker symbol",TRUE)</f>
        <v>ATHM</v>
      </c>
      <c r="B24" s="115" t="e" vm="22">
        <v>#VALUE!</v>
      </c>
      <c r="C24" s="116" t="str" cm="1">
        <f t="array" ref="C24">_FV(B24,"Industry")</f>
        <v>Media &amp; Publishing</v>
      </c>
      <c r="D24" s="175"/>
      <c r="E24" s="117" cm="1">
        <f t="array" ref="E24">_FV(B24,"Price")</f>
        <v>37.57</v>
      </c>
      <c r="F24" s="137">
        <v>49</v>
      </c>
      <c r="G24" s="178">
        <f t="shared" si="0"/>
        <v>1.3042321000798509</v>
      </c>
      <c r="H24" s="139"/>
      <c r="I24" s="121" t="s">
        <v>93</v>
      </c>
      <c r="J24" s="126" t="s">
        <v>95</v>
      </c>
      <c r="K24" s="136">
        <v>0.85</v>
      </c>
      <c r="L24" s="128">
        <v>0.35399999999999998</v>
      </c>
      <c r="M24" s="125">
        <v>0</v>
      </c>
      <c r="N24" s="125">
        <v>0.03</v>
      </c>
      <c r="O24" s="125">
        <v>-0.04</v>
      </c>
      <c r="P24" s="131">
        <v>0.16700000000000001</v>
      </c>
      <c r="Q24" s="123" t="s">
        <v>97</v>
      </c>
      <c r="R24" s="121" t="s">
        <v>128</v>
      </c>
      <c r="S24" s="147">
        <v>44694</v>
      </c>
    </row>
    <row r="25" spans="1:19" ht="17.100000000000001" customHeight="1" x14ac:dyDescent="0.25">
      <c r="A25" s="187" t="str" cm="1">
        <f t="array" ref="A25">_FV(B25,"Ticker symbol",TRUE)</f>
        <v>DNP</v>
      </c>
      <c r="B25" s="115" t="e" vm="23">
        <v>#VALUE!</v>
      </c>
      <c r="C25" s="116" t="str" cm="1">
        <f t="array" ref="C25">_FV(B25,"Industry")</f>
        <v>Food &amp; Drug Retailing</v>
      </c>
      <c r="D25" s="175"/>
      <c r="E25" s="120" cm="1">
        <f t="array" ref="E25">_FV(B25,"Price")</f>
        <v>363.9</v>
      </c>
      <c r="F25" s="137">
        <v>492</v>
      </c>
      <c r="G25" s="178">
        <f t="shared" si="0"/>
        <v>1.3520197856553999</v>
      </c>
      <c r="H25" s="136"/>
      <c r="I25" s="123" t="s">
        <v>96</v>
      </c>
      <c r="J25" s="123" t="s">
        <v>98</v>
      </c>
      <c r="K25" s="123"/>
      <c r="L25" s="130">
        <v>0.06</v>
      </c>
      <c r="M25" s="128">
        <v>0.3</v>
      </c>
      <c r="N25" s="132"/>
      <c r="O25" s="132">
        <v>0.25</v>
      </c>
      <c r="P25" s="127">
        <v>0.22</v>
      </c>
      <c r="Q25" s="129" t="s">
        <v>101</v>
      </c>
      <c r="R25" s="129" t="s">
        <v>103</v>
      </c>
      <c r="S25" s="147">
        <v>44631</v>
      </c>
    </row>
    <row r="26" spans="1:19" ht="17.100000000000001" customHeight="1" x14ac:dyDescent="0.25">
      <c r="A26" s="187" t="str" cm="1">
        <f t="array" ref="A26">_FV(B26,"Ticker symbol",TRUE)</f>
        <v>XPEL</v>
      </c>
      <c r="B26" s="115" t="e" vm="24">
        <v>#VALUE!</v>
      </c>
      <c r="C26" s="116" t="str" cm="1">
        <f t="array" ref="C26">_FV(B26,"Industry")</f>
        <v>Automobiles &amp; Auto Parts</v>
      </c>
      <c r="D26" s="175"/>
      <c r="E26" s="117" cm="1">
        <f t="array" ref="E26">_FV(B26,"Price")</f>
        <v>71.61</v>
      </c>
      <c r="F26" s="137">
        <v>98</v>
      </c>
      <c r="G26" s="179">
        <f t="shared" si="0"/>
        <v>1.3685239491691106</v>
      </c>
      <c r="H26" s="139">
        <v>0.01</v>
      </c>
      <c r="I26" s="123" t="s">
        <v>96</v>
      </c>
      <c r="J26" s="123" t="s">
        <v>98</v>
      </c>
      <c r="K26" s="130">
        <v>0.35</v>
      </c>
      <c r="L26" s="130">
        <v>0.12</v>
      </c>
      <c r="M26" s="128">
        <v>0.3</v>
      </c>
      <c r="N26" s="128">
        <v>0.3</v>
      </c>
      <c r="O26" s="128">
        <v>0.5</v>
      </c>
      <c r="P26" s="141">
        <v>0.49</v>
      </c>
      <c r="Q26" s="129" t="s">
        <v>101</v>
      </c>
      <c r="R26" s="123" t="s">
        <v>94</v>
      </c>
      <c r="S26" s="147">
        <v>44685</v>
      </c>
    </row>
    <row r="27" spans="1:19" ht="17.100000000000001" customHeight="1" x14ac:dyDescent="0.25">
      <c r="A27" s="187" t="str" cm="1">
        <f t="array" ref="A27">_FV(B27,"Ticker symbol",TRUE)</f>
        <v>1830</v>
      </c>
      <c r="B27" s="115" t="e" vm="25">
        <v>#VALUE!</v>
      </c>
      <c r="C27" s="116" t="str" cm="1">
        <f t="array" ref="C27">_FV(B27,"Industry")</f>
        <v>Personal &amp; Household Products &amp; Services</v>
      </c>
      <c r="D27" s="175"/>
      <c r="E27" s="117" cm="1">
        <f t="array" ref="E27">_FV(B27,"Price")</f>
        <v>4.5199999999999996</v>
      </c>
      <c r="F27" s="137">
        <v>6</v>
      </c>
      <c r="G27" s="178">
        <f t="shared" si="0"/>
        <v>1.3274336283185841</v>
      </c>
      <c r="H27" s="139"/>
      <c r="I27" s="121" t="s">
        <v>93</v>
      </c>
      <c r="J27" s="121" t="s">
        <v>99</v>
      </c>
      <c r="K27" s="124"/>
      <c r="L27" s="128">
        <v>0.26</v>
      </c>
      <c r="M27" s="128">
        <v>0.3</v>
      </c>
      <c r="N27" s="128"/>
      <c r="O27" s="128">
        <v>0.25</v>
      </c>
      <c r="P27" s="128">
        <v>0.32</v>
      </c>
      <c r="Q27" s="123" t="s">
        <v>97</v>
      </c>
      <c r="R27" s="129" t="s">
        <v>103</v>
      </c>
      <c r="S27" s="147">
        <v>44671</v>
      </c>
    </row>
    <row r="28" spans="1:19" ht="17.100000000000001" customHeight="1" x14ac:dyDescent="0.25">
      <c r="A28" s="187" t="str" cm="1">
        <f t="array" ref="A28">_FV(B28,"Ticker symbol",TRUE)</f>
        <v>SPGI</v>
      </c>
      <c r="B28" s="115" t="e" vm="26">
        <v>#VALUE!</v>
      </c>
      <c r="C28" s="116" t="str" cm="1">
        <f t="array" ref="C28">_FV(B28,"Industry")</f>
        <v>Professional &amp; Commercial Services</v>
      </c>
      <c r="D28" s="175"/>
      <c r="E28" s="117" cm="1">
        <f t="array" ref="E28">_FV(B28,"Price")</f>
        <v>368.05</v>
      </c>
      <c r="F28" s="137">
        <v>471</v>
      </c>
      <c r="G28" s="179">
        <f t="shared" si="0"/>
        <v>1.2797174296970519</v>
      </c>
      <c r="H28" s="136">
        <v>0.03</v>
      </c>
      <c r="I28" s="123" t="s">
        <v>96</v>
      </c>
      <c r="J28" s="123" t="s">
        <v>98</v>
      </c>
      <c r="K28" s="168">
        <v>0.73</v>
      </c>
      <c r="L28" s="128">
        <v>0.36</v>
      </c>
      <c r="M28" s="127">
        <v>0.1</v>
      </c>
      <c r="N28" s="132">
        <v>0.24</v>
      </c>
      <c r="O28" s="132">
        <v>0.2</v>
      </c>
      <c r="P28" s="128">
        <v>0.36</v>
      </c>
      <c r="Q28" s="123" t="s">
        <v>97</v>
      </c>
      <c r="R28" s="126"/>
      <c r="S28" s="147">
        <v>44694</v>
      </c>
    </row>
    <row r="29" spans="1:19" ht="17.100000000000001" customHeight="1" x14ac:dyDescent="0.25">
      <c r="A29" s="187" t="str" cm="1">
        <f t="array" ref="A29">_FV(B29,"Ticker symbol",TRUE)</f>
        <v>FLEX</v>
      </c>
      <c r="B29" s="115" t="e" vm="27">
        <v>#VALUE!</v>
      </c>
      <c r="C29" s="116" t="str" cm="1">
        <f t="array" ref="C29">_FV(B29,"Industry")</f>
        <v>Electronic Equipment &amp; Parts</v>
      </c>
      <c r="D29" s="175"/>
      <c r="E29" s="117" cm="1">
        <f t="array" ref="E29">_FV(B29,"Price")</f>
        <v>24.24</v>
      </c>
      <c r="F29" s="137">
        <v>29</v>
      </c>
      <c r="G29" s="180">
        <f t="shared" si="0"/>
        <v>1.1963696369636965</v>
      </c>
      <c r="H29" s="135"/>
      <c r="I29" s="126" t="s">
        <v>95</v>
      </c>
      <c r="J29" s="126" t="s">
        <v>95</v>
      </c>
      <c r="K29" s="126"/>
      <c r="L29" s="174">
        <v>2.5000000000000001E-2</v>
      </c>
      <c r="M29" s="174">
        <v>-3.5000000000000001E-3</v>
      </c>
      <c r="N29" s="125"/>
      <c r="O29" s="128">
        <v>5.9993999999999996</v>
      </c>
      <c r="P29" s="171">
        <v>9.2999999999999999E-2</v>
      </c>
      <c r="Q29" s="126" t="s">
        <v>102</v>
      </c>
      <c r="R29" s="129" t="s">
        <v>103</v>
      </c>
      <c r="S29" s="149">
        <v>44584</v>
      </c>
    </row>
    <row r="30" spans="1:19" ht="17.100000000000001" customHeight="1" x14ac:dyDescent="0.25">
      <c r="A30" s="187" t="str" cm="1">
        <f t="array" ref="A30">_FV(B30,"Ticker symbol",TRUE)</f>
        <v>MTCH</v>
      </c>
      <c r="B30" s="115" t="e" vm="28">
        <v>#VALUE!</v>
      </c>
      <c r="C30" s="116" t="str" cm="1">
        <f t="array" ref="C30">_FV(B30,"Industry")</f>
        <v>Software &amp; IT Services</v>
      </c>
      <c r="D30" s="175"/>
      <c r="E30" s="117" cm="1">
        <f t="array" ref="E30">_FV(B30,"Price")</f>
        <v>50.42</v>
      </c>
      <c r="F30" s="137">
        <v>46</v>
      </c>
      <c r="G30" s="180">
        <f t="shared" si="0"/>
        <v>0.91233637445458149</v>
      </c>
      <c r="H30" s="136"/>
      <c r="I30" s="123" t="s">
        <v>96</v>
      </c>
      <c r="J30" s="123" t="s">
        <v>98</v>
      </c>
      <c r="K30" s="123"/>
      <c r="L30" s="130">
        <v>9.2999999999999999E-2</v>
      </c>
      <c r="M30" s="138">
        <v>0.24759999999999999</v>
      </c>
      <c r="N30" s="128"/>
      <c r="O30" s="132">
        <v>1.1601999999999999</v>
      </c>
      <c r="P30" s="131">
        <v>0.108</v>
      </c>
      <c r="Q30" s="129" t="s">
        <v>101</v>
      </c>
      <c r="R30" s="126" t="s">
        <v>95</v>
      </c>
      <c r="S30" s="149">
        <v>44631</v>
      </c>
    </row>
    <row r="31" spans="1:19" ht="17.100000000000001" customHeight="1" x14ac:dyDescent="0.25">
      <c r="A31" s="187" t="str" cm="1">
        <f t="array" ref="A31">_FV(B31,"Ticker symbol",TRUE)</f>
        <v>GMWKF</v>
      </c>
      <c r="B31" s="115" t="e" vm="29">
        <v>#VALUE!</v>
      </c>
      <c r="C31" s="116" t="str" cm="1">
        <f t="array" ref="C31">_FV(B31,"Industry")</f>
        <v>Leisure Products</v>
      </c>
      <c r="D31" s="175"/>
      <c r="E31" s="117" cm="1">
        <f t="array" ref="E31">_FV(B31,"Price")</f>
        <v>112.075</v>
      </c>
      <c r="F31" s="137">
        <v>101</v>
      </c>
      <c r="G31" s="180">
        <f t="shared" si="0"/>
        <v>0.90118224403301361</v>
      </c>
      <c r="H31" s="169"/>
      <c r="I31" s="123" t="s">
        <v>96</v>
      </c>
      <c r="J31" s="123" t="s">
        <v>98</v>
      </c>
      <c r="K31" s="123"/>
      <c r="L31" s="128">
        <v>0.33</v>
      </c>
      <c r="M31" s="128">
        <v>0.3</v>
      </c>
      <c r="N31" s="128"/>
      <c r="O31" s="132">
        <v>0.6</v>
      </c>
      <c r="P31" s="128">
        <v>0.52</v>
      </c>
      <c r="Q31" s="123" t="s">
        <v>97</v>
      </c>
      <c r="R31" s="123" t="s">
        <v>94</v>
      </c>
      <c r="S31" s="149">
        <v>44583</v>
      </c>
    </row>
    <row r="32" spans="1:19" ht="17.100000000000001" customHeight="1" x14ac:dyDescent="0.25">
      <c r="A32" s="187" t="str" cm="1">
        <f t="array" ref="A32">_FV(B32,"Ticker symbol",TRUE)</f>
        <v>MAD</v>
      </c>
      <c r="B32" s="115" t="e" vm="30">
        <v>#VALUE!</v>
      </c>
      <c r="C32" s="116" t="str" cm="1">
        <f t="array" ref="C32">_FV(B32,"Industry")</f>
        <v>Professional &amp; Commercial Services</v>
      </c>
      <c r="D32" s="175"/>
      <c r="E32" s="117" cm="1">
        <f t="array" ref="E32">_FV(B32,"Price")</f>
        <v>3.98</v>
      </c>
      <c r="F32" s="137">
        <v>3</v>
      </c>
      <c r="G32" s="180">
        <f t="shared" si="0"/>
        <v>0.75376884422110557</v>
      </c>
      <c r="H32" s="169"/>
      <c r="I32" s="123" t="s">
        <v>96</v>
      </c>
      <c r="J32" s="126" t="s">
        <v>95</v>
      </c>
      <c r="K32" s="126"/>
      <c r="L32" s="125">
        <v>0.03</v>
      </c>
      <c r="M32" s="128">
        <v>0.3</v>
      </c>
      <c r="N32" s="128"/>
      <c r="O32" s="132">
        <v>0.2</v>
      </c>
      <c r="P32" s="138">
        <v>0.25</v>
      </c>
      <c r="Q32" s="126" t="s">
        <v>102</v>
      </c>
      <c r="R32" s="177" t="s">
        <v>94</v>
      </c>
      <c r="S32" s="149">
        <v>44653</v>
      </c>
    </row>
    <row r="33" spans="1:19" ht="17.100000000000001" customHeight="1" x14ac:dyDescent="0.25">
      <c r="A33" s="189" t="str" cm="1">
        <f t="array" ref="A33">_FV(B33,"Ticker symbol",TRUE)</f>
        <v>DOCS</v>
      </c>
      <c r="B33" s="156" t="e" vm="31">
        <v>#VALUE!</v>
      </c>
      <c r="C33" s="156" t="str" cm="1">
        <f t="array" ref="C33">_FV(B33,"Industry")</f>
        <v>Textiles &amp; Apparel</v>
      </c>
      <c r="D33" s="190"/>
      <c r="E33" s="157" cm="1">
        <f t="array" ref="E33">_FV(B33,"Price")/100</f>
        <v>1.3959999999999999</v>
      </c>
      <c r="F33" s="158"/>
      <c r="G33" s="180">
        <f t="shared" si="0"/>
        <v>0</v>
      </c>
      <c r="H33" s="140"/>
      <c r="I33" s="124" t="s">
        <v>99</v>
      </c>
      <c r="J33" s="123" t="s">
        <v>98</v>
      </c>
      <c r="K33" s="123"/>
      <c r="L33" s="123"/>
      <c r="M33" s="159"/>
      <c r="N33" s="159"/>
      <c r="O33" s="160"/>
      <c r="P33" s="159"/>
      <c r="Q33" s="159"/>
      <c r="R33" s="161"/>
      <c r="S33" s="148">
        <v>44677</v>
      </c>
    </row>
    <row r="34" spans="1:19" ht="15.75" x14ac:dyDescent="0.25">
      <c r="A34" s="151" t="s">
        <v>127</v>
      </c>
      <c r="B34" s="152">
        <f>SUBTOTAL(103,Tabla1[Nombre])</f>
        <v>28</v>
      </c>
      <c r="C34" s="152"/>
      <c r="D34" s="199">
        <f>AVERAGE(Tabla1[IR])</f>
        <v>0.1</v>
      </c>
      <c r="E34" s="153"/>
      <c r="F34" s="154"/>
      <c r="G34" s="155">
        <f>MEDIAN(G2:G33)</f>
        <v>2.76097437365073</v>
      </c>
      <c r="H34" s="162">
        <f>SUBTOTAL(101,Tabla1[FCF Yield])</f>
        <v>4.5999999999999999E-2</v>
      </c>
      <c r="I34" s="165"/>
      <c r="J34" s="163"/>
      <c r="K34" s="170">
        <f>SUBTOTAL(101,Tabla1[M. Bruto])</f>
        <v>0.73142857142857132</v>
      </c>
      <c r="L34" s="166">
        <f>SUBTOTAL(101,Tabla1[M. Neto])</f>
        <v>-0.57876923076923092</v>
      </c>
      <c r="M34" s="164">
        <f>SUBTOTAL(101,Tabla1[Δ Rev.])</f>
        <v>0.57859615384615393</v>
      </c>
      <c r="N34" s="164">
        <f>SUBTOTAL(101,Tabla1[Δ FCF])</f>
        <v>0.18666666666666668</v>
      </c>
      <c r="O34" s="164">
        <f>SUBTOTAL(101,Tabla1[Δ EPS])</f>
        <v>0.64005599999999996</v>
      </c>
      <c r="P34" s="166">
        <f>SUBTOTAL(101,Tabla1[CFROIC])</f>
        <v>0.28161538461538466</v>
      </c>
      <c r="Q34" s="165"/>
      <c r="R34" s="167"/>
      <c r="S34" s="150">
        <f>SUBTOTAL(105,Tabla1[Last Modified])</f>
        <v>44575</v>
      </c>
    </row>
  </sheetData>
  <conditionalFormatting sqref="G35:G36 G1:G33 G38:G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P50"/>
  <sheetViews>
    <sheetView tabSelected="1" workbookViewId="0">
      <selection activeCell="K25" sqref="K25"/>
    </sheetView>
  </sheetViews>
  <sheetFormatPr baseColWidth="10" defaultColWidth="9.140625" defaultRowHeight="15" x14ac:dyDescent="0.25"/>
  <cols>
    <col min="1" max="1" width="17.7109375" bestFit="1" customWidth="1"/>
    <col min="2" max="2" width="12" bestFit="1" customWidth="1"/>
  </cols>
  <sheetData>
    <row r="1" spans="1:16" x14ac:dyDescent="0.25">
      <c r="A1" t="s">
        <v>19</v>
      </c>
      <c r="B1" s="1">
        <v>1000000</v>
      </c>
      <c r="M1" s="105"/>
      <c r="N1" s="106"/>
      <c r="O1" s="106"/>
      <c r="P1" s="107"/>
    </row>
    <row r="2" spans="1:16" x14ac:dyDescent="0.25">
      <c r="B2" s="31"/>
      <c r="M2" s="108"/>
      <c r="N2" s="104"/>
      <c r="O2" s="104"/>
      <c r="P2" s="109"/>
    </row>
    <row r="3" spans="1:16" x14ac:dyDescent="0.25">
      <c r="A3" t="s">
        <v>41</v>
      </c>
      <c r="B3">
        <v>24</v>
      </c>
      <c r="M3" s="108"/>
      <c r="N3" s="104"/>
      <c r="O3" s="104"/>
      <c r="P3" s="109"/>
    </row>
    <row r="4" spans="1:16" x14ac:dyDescent="0.25">
      <c r="B4" s="93"/>
      <c r="M4" s="108"/>
      <c r="N4" s="104"/>
      <c r="O4" s="104"/>
      <c r="P4" s="109"/>
    </row>
    <row r="5" spans="1:16" ht="15.75" thickBot="1" x14ac:dyDescent="0.3">
      <c r="M5" s="110"/>
      <c r="N5" s="111"/>
      <c r="O5" s="111"/>
      <c r="P5" s="112"/>
    </row>
    <row r="17" spans="1:1" ht="15.75" x14ac:dyDescent="0.25">
      <c r="A17" s="225" t="s">
        <v>1070</v>
      </c>
    </row>
    <row r="18" spans="1:1" x14ac:dyDescent="0.25">
      <c r="A18" s="224" t="s">
        <v>1071</v>
      </c>
    </row>
    <row r="19" spans="1:1" x14ac:dyDescent="0.25">
      <c r="A19" t="str" cm="1">
        <f t="array" ref="A19:A50">Tabla1[Ticker]</f>
        <v>GOOGL</v>
      </c>
    </row>
    <row r="20" spans="1:1" x14ac:dyDescent="0.25">
      <c r="A20" t="str">
        <v>MSTR</v>
      </c>
    </row>
    <row r="21" spans="1:1" x14ac:dyDescent="0.25">
      <c r="A21" t="str">
        <v>TUEM</v>
      </c>
    </row>
    <row r="22" spans="1:1" x14ac:dyDescent="0.25">
      <c r="A22" t="str">
        <v>NTDOY</v>
      </c>
    </row>
    <row r="23" spans="1:1" x14ac:dyDescent="0.25">
      <c r="A23" t="str">
        <v>GBUS</v>
      </c>
    </row>
    <row r="24" spans="1:1" x14ac:dyDescent="0.25">
      <c r="A24" t="str">
        <v>327</v>
      </c>
    </row>
    <row r="25" spans="1:1" x14ac:dyDescent="0.25">
      <c r="A25" t="str">
        <v>HEAR</v>
      </c>
    </row>
    <row r="26" spans="1:1" x14ac:dyDescent="0.25">
      <c r="A26" t="str">
        <v>BOTB</v>
      </c>
    </row>
    <row r="27" spans="1:1" x14ac:dyDescent="0.25">
      <c r="A27" t="str">
        <v>AQB</v>
      </c>
    </row>
    <row r="28" spans="1:1" x14ac:dyDescent="0.25">
      <c r="A28" t="str">
        <v>HZO</v>
      </c>
    </row>
    <row r="29" spans="1:1" x14ac:dyDescent="0.25">
      <c r="A29" t="str">
        <v>FLWS</v>
      </c>
    </row>
    <row r="30" spans="1:1" x14ac:dyDescent="0.25">
      <c r="A30" t="str">
        <v>NGMS</v>
      </c>
    </row>
    <row r="31" spans="1:1" x14ac:dyDescent="0.25">
      <c r="A31" t="str">
        <v>META</v>
      </c>
    </row>
    <row r="32" spans="1:1" x14ac:dyDescent="0.25">
      <c r="A32" t="str">
        <v>SFTBF</v>
      </c>
    </row>
    <row r="33" spans="1:1" x14ac:dyDescent="0.25">
      <c r="A33" t="str">
        <v>CRMT</v>
      </c>
    </row>
    <row r="34" spans="1:1" x14ac:dyDescent="0.25">
      <c r="A34">
        <v>4934</v>
      </c>
    </row>
    <row r="35" spans="1:1" x14ac:dyDescent="0.25">
      <c r="A35" t="str">
        <v>EVVTY</v>
      </c>
    </row>
    <row r="36" spans="1:1" x14ac:dyDescent="0.25">
      <c r="A36" t="str">
        <v>NVDA</v>
      </c>
    </row>
    <row r="37" spans="1:1" x14ac:dyDescent="0.25">
      <c r="A37" t="str">
        <v>CRSR</v>
      </c>
    </row>
    <row r="38" spans="1:1" x14ac:dyDescent="0.25">
      <c r="A38" t="str">
        <v>SAND</v>
      </c>
    </row>
    <row r="39" spans="1:1" x14ac:dyDescent="0.25">
      <c r="A39" t="str">
        <v>OPRA</v>
      </c>
    </row>
    <row r="40" spans="1:1" x14ac:dyDescent="0.25">
      <c r="A40" t="str">
        <v>CROX</v>
      </c>
    </row>
    <row r="41" spans="1:1" x14ac:dyDescent="0.25">
      <c r="A41" t="str">
        <v>ATHM</v>
      </c>
    </row>
    <row r="42" spans="1:1" x14ac:dyDescent="0.25">
      <c r="A42" t="str">
        <v>DNP</v>
      </c>
    </row>
    <row r="43" spans="1:1" x14ac:dyDescent="0.25">
      <c r="A43" t="str">
        <v>XPEL</v>
      </c>
    </row>
    <row r="44" spans="1:1" x14ac:dyDescent="0.25">
      <c r="A44" t="str">
        <v>1830</v>
      </c>
    </row>
    <row r="45" spans="1:1" x14ac:dyDescent="0.25">
      <c r="A45" t="str">
        <v>SPGI</v>
      </c>
    </row>
    <row r="46" spans="1:1" x14ac:dyDescent="0.25">
      <c r="A46" t="str">
        <v>FLEX</v>
      </c>
    </row>
    <row r="47" spans="1:1" x14ac:dyDescent="0.25">
      <c r="A47" t="str">
        <v>MTCH</v>
      </c>
    </row>
    <row r="48" spans="1:1" x14ac:dyDescent="0.25">
      <c r="A48" t="str">
        <v>GMWKF</v>
      </c>
    </row>
    <row r="49" spans="1:1" x14ac:dyDescent="0.25">
      <c r="A49" t="str">
        <v>MAD</v>
      </c>
    </row>
    <row r="50" spans="1:1" x14ac:dyDescent="0.25">
      <c r="A50" t="str">
        <v>DOCS</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_dump">
                <anchor moveWithCells="1" sizeWithCells="1">
                  <from>
                    <xdr:col>12</xdr:col>
                    <xdr:colOff>381000</xdr:colOff>
                    <xdr:row>1</xdr:row>
                    <xdr:rowOff>0</xdr:rowOff>
                  </from>
                  <to>
                    <xdr:col>15</xdr:col>
                    <xdr:colOff>85725</xdr:colOff>
                    <xdr:row>3</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16</xdr:col>
                    <xdr:colOff>514350</xdr:colOff>
                    <xdr:row>0</xdr:row>
                    <xdr:rowOff>104775</xdr:rowOff>
                  </from>
                  <to>
                    <xdr:col>19</xdr:col>
                    <xdr:colOff>457200</xdr:colOff>
                    <xdr:row>4</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C85A4-8D84-4CA7-BE38-47A095E79884}">
  <sheetPr codeName="Hoja9"/>
  <dimension ref="A2:L86"/>
  <sheetViews>
    <sheetView workbookViewId="0">
      <selection activeCell="L4" sqref="G4:L4"/>
    </sheetView>
  </sheetViews>
  <sheetFormatPr baseColWidth="10" defaultRowHeight="15" x14ac:dyDescent="0.25"/>
  <sheetData>
    <row r="2" spans="1:12" x14ac:dyDescent="0.25">
      <c r="A2" t="s">
        <v>146</v>
      </c>
      <c r="B2" s="223">
        <v>41274</v>
      </c>
      <c r="C2" s="223">
        <v>41639</v>
      </c>
      <c r="D2" s="223">
        <v>42004</v>
      </c>
      <c r="E2" s="223">
        <v>42369</v>
      </c>
      <c r="F2" s="223">
        <v>42735</v>
      </c>
      <c r="G2" s="223">
        <v>43100</v>
      </c>
      <c r="H2" s="223">
        <v>43465</v>
      </c>
      <c r="I2" s="223">
        <v>43830</v>
      </c>
      <c r="J2" s="223">
        <v>44196</v>
      </c>
      <c r="K2" s="223">
        <v>44561</v>
      </c>
      <c r="L2" t="s">
        <v>147</v>
      </c>
    </row>
    <row r="4" spans="1:12" x14ac:dyDescent="0.25">
      <c r="A4" t="s">
        <v>148</v>
      </c>
      <c r="G4" t="s">
        <v>385</v>
      </c>
      <c r="H4" t="s">
        <v>386</v>
      </c>
      <c r="I4" t="s">
        <v>387</v>
      </c>
      <c r="J4" t="s">
        <v>388</v>
      </c>
      <c r="K4" t="s">
        <v>389</v>
      </c>
      <c r="L4" t="s">
        <v>390</v>
      </c>
    </row>
    <row r="5" spans="1:12" x14ac:dyDescent="0.25">
      <c r="A5" t="s">
        <v>391</v>
      </c>
    </row>
    <row r="6" spans="1:12" x14ac:dyDescent="0.25">
      <c r="A6" t="s">
        <v>392</v>
      </c>
    </row>
    <row r="7" spans="1:12" x14ac:dyDescent="0.25">
      <c r="A7" t="s">
        <v>393</v>
      </c>
    </row>
    <row r="8" spans="1:12" x14ac:dyDescent="0.25">
      <c r="A8" t="s">
        <v>394</v>
      </c>
    </row>
    <row r="9" spans="1:12" x14ac:dyDescent="0.25">
      <c r="A9" t="s">
        <v>395</v>
      </c>
    </row>
    <row r="10" spans="1:12" x14ac:dyDescent="0.25">
      <c r="A10" t="s">
        <v>396</v>
      </c>
      <c r="G10" t="s">
        <v>397</v>
      </c>
      <c r="H10" t="s">
        <v>398</v>
      </c>
      <c r="I10" t="s">
        <v>399</v>
      </c>
    </row>
    <row r="11" spans="1:12" x14ac:dyDescent="0.25">
      <c r="A11" t="s">
        <v>155</v>
      </c>
      <c r="G11" t="s">
        <v>400</v>
      </c>
      <c r="H11" t="s">
        <v>401</v>
      </c>
      <c r="I11" t="s">
        <v>402</v>
      </c>
      <c r="J11" t="s">
        <v>388</v>
      </c>
      <c r="K11" t="s">
        <v>389</v>
      </c>
      <c r="L11" t="s">
        <v>390</v>
      </c>
    </row>
    <row r="12" spans="1:12" x14ac:dyDescent="0.25">
      <c r="A12" t="s">
        <v>156</v>
      </c>
      <c r="H12" t="s">
        <v>403</v>
      </c>
      <c r="I12" t="s">
        <v>404</v>
      </c>
      <c r="J12" t="s">
        <v>405</v>
      </c>
      <c r="K12" t="s">
        <v>406</v>
      </c>
    </row>
    <row r="13" spans="1:12" x14ac:dyDescent="0.25">
      <c r="A13" t="s">
        <v>161</v>
      </c>
    </row>
    <row r="14" spans="1:12" x14ac:dyDescent="0.25">
      <c r="A14" t="s">
        <v>407</v>
      </c>
    </row>
    <row r="15" spans="1:12" x14ac:dyDescent="0.25">
      <c r="A15" t="s">
        <v>408</v>
      </c>
    </row>
    <row r="16" spans="1:12" x14ac:dyDescent="0.25">
      <c r="A16" t="s">
        <v>409</v>
      </c>
    </row>
    <row r="17" spans="1:12" x14ac:dyDescent="0.25">
      <c r="A17" t="s">
        <v>2</v>
      </c>
      <c r="G17" t="s">
        <v>400</v>
      </c>
      <c r="H17" t="s">
        <v>401</v>
      </c>
      <c r="I17" t="s">
        <v>402</v>
      </c>
      <c r="J17" t="s">
        <v>388</v>
      </c>
      <c r="K17" t="s">
        <v>389</v>
      </c>
      <c r="L17" t="s">
        <v>390</v>
      </c>
    </row>
    <row r="18" spans="1:12" x14ac:dyDescent="0.25">
      <c r="A18" t="s">
        <v>156</v>
      </c>
      <c r="H18" t="s">
        <v>403</v>
      </c>
      <c r="I18" t="s">
        <v>404</v>
      </c>
      <c r="J18" t="s">
        <v>405</v>
      </c>
      <c r="K18" t="s">
        <v>406</v>
      </c>
    </row>
    <row r="19" spans="1:12" x14ac:dyDescent="0.25">
      <c r="A19" t="s">
        <v>178</v>
      </c>
      <c r="G19" t="s">
        <v>410</v>
      </c>
      <c r="H19" t="s">
        <v>410</v>
      </c>
      <c r="I19" t="s">
        <v>410</v>
      </c>
      <c r="J19" t="s">
        <v>410</v>
      </c>
      <c r="K19" t="s">
        <v>410</v>
      </c>
      <c r="L19" t="s">
        <v>410</v>
      </c>
    </row>
    <row r="20" spans="1:12" x14ac:dyDescent="0.25">
      <c r="A20" t="s">
        <v>185</v>
      </c>
      <c r="G20" t="s">
        <v>411</v>
      </c>
      <c r="H20" t="s">
        <v>412</v>
      </c>
      <c r="I20" t="s">
        <v>413</v>
      </c>
      <c r="J20" t="s">
        <v>414</v>
      </c>
      <c r="K20" t="s">
        <v>415</v>
      </c>
      <c r="L20" t="s">
        <v>416</v>
      </c>
    </row>
    <row r="21" spans="1:12" x14ac:dyDescent="0.25">
      <c r="A21" t="s">
        <v>417</v>
      </c>
    </row>
    <row r="22" spans="1:12" x14ac:dyDescent="0.25">
      <c r="A22" t="s">
        <v>418</v>
      </c>
    </row>
    <row r="23" spans="1:12" x14ac:dyDescent="0.25">
      <c r="A23" t="s">
        <v>419</v>
      </c>
    </row>
    <row r="24" spans="1:12" x14ac:dyDescent="0.25">
      <c r="A24" t="s">
        <v>420</v>
      </c>
    </row>
    <row r="25" spans="1:12" x14ac:dyDescent="0.25">
      <c r="A25" t="s">
        <v>192</v>
      </c>
    </row>
    <row r="26" spans="1:12" x14ac:dyDescent="0.25">
      <c r="A26" t="s">
        <v>421</v>
      </c>
      <c r="G26" t="s">
        <v>422</v>
      </c>
      <c r="H26" t="s">
        <v>423</v>
      </c>
      <c r="I26" t="s">
        <v>424</v>
      </c>
      <c r="J26" t="s">
        <v>425</v>
      </c>
      <c r="K26" t="s">
        <v>426</v>
      </c>
      <c r="L26" t="s">
        <v>427</v>
      </c>
    </row>
    <row r="27" spans="1:12" x14ac:dyDescent="0.25">
      <c r="A27" t="s">
        <v>428</v>
      </c>
    </row>
    <row r="28" spans="1:12" x14ac:dyDescent="0.25">
      <c r="A28" t="s">
        <v>429</v>
      </c>
    </row>
    <row r="29" spans="1:12" x14ac:dyDescent="0.25">
      <c r="A29" t="s">
        <v>430</v>
      </c>
      <c r="G29" t="s">
        <v>431</v>
      </c>
      <c r="H29" t="s">
        <v>432</v>
      </c>
      <c r="I29" t="s">
        <v>433</v>
      </c>
      <c r="J29" t="s">
        <v>434</v>
      </c>
      <c r="K29" t="s">
        <v>435</v>
      </c>
      <c r="L29" t="s">
        <v>436</v>
      </c>
    </row>
    <row r="30" spans="1:12" x14ac:dyDescent="0.25">
      <c r="A30" t="s">
        <v>199</v>
      </c>
      <c r="G30" t="s">
        <v>437</v>
      </c>
      <c r="H30" t="s">
        <v>438</v>
      </c>
      <c r="I30" t="s">
        <v>439</v>
      </c>
      <c r="J30" t="s">
        <v>440</v>
      </c>
      <c r="K30" t="s">
        <v>441</v>
      </c>
      <c r="L30" t="s">
        <v>442</v>
      </c>
    </row>
    <row r="31" spans="1:12" x14ac:dyDescent="0.25">
      <c r="A31" t="s">
        <v>4</v>
      </c>
      <c r="G31" t="s">
        <v>443</v>
      </c>
      <c r="H31" t="s">
        <v>444</v>
      </c>
      <c r="I31" t="s">
        <v>445</v>
      </c>
      <c r="J31" t="s">
        <v>446</v>
      </c>
      <c r="K31" t="s">
        <v>447</v>
      </c>
      <c r="L31" t="s">
        <v>448</v>
      </c>
    </row>
    <row r="32" spans="1:12" x14ac:dyDescent="0.25">
      <c r="A32" t="s">
        <v>156</v>
      </c>
      <c r="H32" t="s">
        <v>222</v>
      </c>
      <c r="I32" t="s">
        <v>449</v>
      </c>
      <c r="J32" t="s">
        <v>450</v>
      </c>
      <c r="K32" t="s">
        <v>451</v>
      </c>
    </row>
    <row r="33" spans="1:12" x14ac:dyDescent="0.25">
      <c r="A33" t="s">
        <v>216</v>
      </c>
      <c r="G33" t="s">
        <v>452</v>
      </c>
      <c r="H33" t="s">
        <v>453</v>
      </c>
      <c r="I33" t="s">
        <v>454</v>
      </c>
      <c r="J33" t="s">
        <v>182</v>
      </c>
      <c r="K33" t="s">
        <v>455</v>
      </c>
      <c r="L33" t="s">
        <v>456</v>
      </c>
    </row>
    <row r="34" spans="1:12" x14ac:dyDescent="0.25">
      <c r="A34" t="s">
        <v>223</v>
      </c>
      <c r="G34" t="s">
        <v>457</v>
      </c>
      <c r="H34" t="s">
        <v>458</v>
      </c>
      <c r="I34" t="s">
        <v>459</v>
      </c>
      <c r="J34" t="s">
        <v>460</v>
      </c>
      <c r="K34" t="s">
        <v>461</v>
      </c>
    </row>
    <row r="35" spans="1:12" x14ac:dyDescent="0.25">
      <c r="A35" t="s">
        <v>230</v>
      </c>
      <c r="G35" t="s">
        <v>462</v>
      </c>
      <c r="H35" t="s">
        <v>462</v>
      </c>
      <c r="I35" t="s">
        <v>463</v>
      </c>
      <c r="J35" t="s">
        <v>464</v>
      </c>
      <c r="K35" t="s">
        <v>465</v>
      </c>
      <c r="L35" t="s">
        <v>466</v>
      </c>
    </row>
    <row r="36" spans="1:12" x14ac:dyDescent="0.25">
      <c r="A36" t="s">
        <v>467</v>
      </c>
    </row>
    <row r="37" spans="1:12" x14ac:dyDescent="0.25">
      <c r="A37" t="s">
        <v>237</v>
      </c>
      <c r="K37" t="s">
        <v>468</v>
      </c>
      <c r="L37" t="s">
        <v>469</v>
      </c>
    </row>
    <row r="38" spans="1:12" x14ac:dyDescent="0.25">
      <c r="A38" t="s">
        <v>244</v>
      </c>
      <c r="G38" t="s">
        <v>470</v>
      </c>
      <c r="H38" t="s">
        <v>471</v>
      </c>
      <c r="I38" t="s">
        <v>472</v>
      </c>
      <c r="K38" t="s">
        <v>473</v>
      </c>
      <c r="L38" t="s">
        <v>474</v>
      </c>
    </row>
    <row r="39" spans="1:12" x14ac:dyDescent="0.25">
      <c r="A39" t="s">
        <v>250</v>
      </c>
      <c r="G39" t="s">
        <v>475</v>
      </c>
      <c r="H39" t="s">
        <v>476</v>
      </c>
      <c r="I39" t="s">
        <v>477</v>
      </c>
      <c r="J39" t="s">
        <v>478</v>
      </c>
      <c r="K39" t="s">
        <v>479</v>
      </c>
      <c r="L39" t="s">
        <v>480</v>
      </c>
    </row>
    <row r="40" spans="1:12" x14ac:dyDescent="0.25">
      <c r="A40" t="s">
        <v>481</v>
      </c>
      <c r="J40" t="s">
        <v>482</v>
      </c>
      <c r="K40" t="s">
        <v>483</v>
      </c>
      <c r="L40" t="s">
        <v>484</v>
      </c>
    </row>
    <row r="41" spans="1:12" x14ac:dyDescent="0.25">
      <c r="A41" t="s">
        <v>485</v>
      </c>
    </row>
    <row r="42" spans="1:12" x14ac:dyDescent="0.25">
      <c r="A42" t="s">
        <v>257</v>
      </c>
    </row>
    <row r="43" spans="1:12" x14ac:dyDescent="0.25">
      <c r="A43" t="s">
        <v>264</v>
      </c>
    </row>
    <row r="44" spans="1:12" x14ac:dyDescent="0.25">
      <c r="A44" t="s">
        <v>265</v>
      </c>
    </row>
    <row r="45" spans="1:12" x14ac:dyDescent="0.25">
      <c r="A45" t="s">
        <v>266</v>
      </c>
    </row>
    <row r="46" spans="1:12" x14ac:dyDescent="0.25">
      <c r="A46" t="s">
        <v>486</v>
      </c>
    </row>
    <row r="47" spans="1:12" x14ac:dyDescent="0.25">
      <c r="A47" t="s">
        <v>267</v>
      </c>
    </row>
    <row r="48" spans="1:12" x14ac:dyDescent="0.25">
      <c r="A48" t="s">
        <v>271</v>
      </c>
    </row>
    <row r="49" spans="1:12" x14ac:dyDescent="0.25">
      <c r="A49" t="s">
        <v>272</v>
      </c>
      <c r="G49" t="s">
        <v>475</v>
      </c>
      <c r="H49" t="s">
        <v>476</v>
      </c>
      <c r="I49" t="s">
        <v>477</v>
      </c>
      <c r="J49" t="s">
        <v>487</v>
      </c>
      <c r="K49" t="s">
        <v>488</v>
      </c>
      <c r="L49" t="s">
        <v>489</v>
      </c>
    </row>
    <row r="50" spans="1:12" x14ac:dyDescent="0.25">
      <c r="A50" t="s">
        <v>279</v>
      </c>
      <c r="G50" t="s">
        <v>490</v>
      </c>
      <c r="H50" t="s">
        <v>491</v>
      </c>
      <c r="I50" t="s">
        <v>492</v>
      </c>
      <c r="J50" t="s">
        <v>493</v>
      </c>
      <c r="K50" t="s">
        <v>494</v>
      </c>
      <c r="L50" t="s">
        <v>495</v>
      </c>
    </row>
    <row r="51" spans="1:12" x14ac:dyDescent="0.25">
      <c r="A51" t="s">
        <v>286</v>
      </c>
      <c r="G51" t="s">
        <v>496</v>
      </c>
      <c r="H51" t="s">
        <v>497</v>
      </c>
      <c r="I51" t="s">
        <v>498</v>
      </c>
      <c r="J51" t="s">
        <v>499</v>
      </c>
      <c r="K51" t="s">
        <v>500</v>
      </c>
      <c r="L51" t="s">
        <v>501</v>
      </c>
    </row>
    <row r="52" spans="1:12" x14ac:dyDescent="0.25">
      <c r="A52" t="s">
        <v>293</v>
      </c>
    </row>
    <row r="53" spans="1:12" x14ac:dyDescent="0.25">
      <c r="A53" t="s">
        <v>502</v>
      </c>
    </row>
    <row r="54" spans="1:12" x14ac:dyDescent="0.25">
      <c r="A54" t="s">
        <v>294</v>
      </c>
      <c r="G54" t="s">
        <v>496</v>
      </c>
      <c r="H54" t="s">
        <v>497</v>
      </c>
      <c r="I54" t="s">
        <v>498</v>
      </c>
      <c r="J54" t="s">
        <v>499</v>
      </c>
      <c r="K54" t="s">
        <v>500</v>
      </c>
      <c r="L54" t="s">
        <v>501</v>
      </c>
    </row>
    <row r="55" spans="1:12" x14ac:dyDescent="0.25">
      <c r="A55" t="s">
        <v>143</v>
      </c>
    </row>
    <row r="56" spans="1:12" x14ac:dyDescent="0.25">
      <c r="A56" t="s">
        <v>5</v>
      </c>
      <c r="G56" t="s">
        <v>496</v>
      </c>
      <c r="H56" t="s">
        <v>497</v>
      </c>
      <c r="I56" t="s">
        <v>498</v>
      </c>
      <c r="J56" t="s">
        <v>499</v>
      </c>
      <c r="K56" t="s">
        <v>500</v>
      </c>
      <c r="L56" t="s">
        <v>501</v>
      </c>
    </row>
    <row r="57" spans="1:12" x14ac:dyDescent="0.25">
      <c r="A57" t="s">
        <v>503</v>
      </c>
    </row>
    <row r="58" spans="1:12" x14ac:dyDescent="0.25">
      <c r="A58" t="s">
        <v>295</v>
      </c>
      <c r="G58" t="s">
        <v>496</v>
      </c>
      <c r="H58" t="s">
        <v>497</v>
      </c>
      <c r="I58" t="s">
        <v>498</v>
      </c>
      <c r="J58" t="s">
        <v>499</v>
      </c>
      <c r="K58" t="s">
        <v>500</v>
      </c>
      <c r="L58" t="s">
        <v>501</v>
      </c>
    </row>
    <row r="59" spans="1:12" x14ac:dyDescent="0.25">
      <c r="A59" t="s">
        <v>296</v>
      </c>
      <c r="G59" t="s">
        <v>504</v>
      </c>
      <c r="H59" t="s">
        <v>505</v>
      </c>
      <c r="I59" t="s">
        <v>506</v>
      </c>
      <c r="J59" t="s">
        <v>507</v>
      </c>
      <c r="K59" t="s">
        <v>508</v>
      </c>
      <c r="L59" t="s">
        <v>509</v>
      </c>
    </row>
    <row r="60" spans="1:12" x14ac:dyDescent="0.25">
      <c r="A60" t="s">
        <v>303</v>
      </c>
      <c r="G60" t="s">
        <v>496</v>
      </c>
      <c r="H60" t="s">
        <v>497</v>
      </c>
      <c r="I60" t="s">
        <v>498</v>
      </c>
      <c r="J60" t="s">
        <v>499</v>
      </c>
      <c r="K60" t="s">
        <v>500</v>
      </c>
      <c r="L60" t="s">
        <v>501</v>
      </c>
    </row>
    <row r="61" spans="1:12" x14ac:dyDescent="0.25">
      <c r="A61" t="s">
        <v>304</v>
      </c>
      <c r="G61" t="s">
        <v>504</v>
      </c>
      <c r="H61" t="s">
        <v>505</v>
      </c>
      <c r="I61" t="s">
        <v>506</v>
      </c>
      <c r="J61" t="s">
        <v>507</v>
      </c>
      <c r="K61" t="s">
        <v>508</v>
      </c>
      <c r="L61" t="s">
        <v>509</v>
      </c>
    </row>
    <row r="62" spans="1:12" x14ac:dyDescent="0.25">
      <c r="A62" t="s">
        <v>305</v>
      </c>
    </row>
    <row r="63" spans="1:12" x14ac:dyDescent="0.25">
      <c r="A63" t="s">
        <v>306</v>
      </c>
      <c r="G63" t="s">
        <v>510</v>
      </c>
      <c r="H63" t="s">
        <v>511</v>
      </c>
      <c r="I63" t="s">
        <v>512</v>
      </c>
      <c r="J63" t="s">
        <v>513</v>
      </c>
      <c r="K63" t="s">
        <v>514</v>
      </c>
      <c r="L63" t="s">
        <v>515</v>
      </c>
    </row>
    <row r="64" spans="1:12" x14ac:dyDescent="0.25">
      <c r="A64" t="s">
        <v>156</v>
      </c>
      <c r="H64" t="s">
        <v>516</v>
      </c>
      <c r="I64" t="s">
        <v>517</v>
      </c>
      <c r="J64" t="s">
        <v>518</v>
      </c>
      <c r="K64" t="s">
        <v>519</v>
      </c>
    </row>
    <row r="65" spans="1:12" x14ac:dyDescent="0.25">
      <c r="A65" t="s">
        <v>317</v>
      </c>
      <c r="G65" t="s">
        <v>520</v>
      </c>
      <c r="H65" t="s">
        <v>521</v>
      </c>
      <c r="I65" t="s">
        <v>522</v>
      </c>
      <c r="J65" t="s">
        <v>523</v>
      </c>
      <c r="K65" t="s">
        <v>524</v>
      </c>
      <c r="L65" t="s">
        <v>525</v>
      </c>
    </row>
    <row r="66" spans="1:12" x14ac:dyDescent="0.25">
      <c r="A66" t="s">
        <v>156</v>
      </c>
      <c r="H66" t="s">
        <v>526</v>
      </c>
      <c r="I66" t="s">
        <v>527</v>
      </c>
      <c r="J66" t="s">
        <v>528</v>
      </c>
      <c r="K66" t="s">
        <v>529</v>
      </c>
    </row>
    <row r="67" spans="1:12" x14ac:dyDescent="0.25">
      <c r="A67" t="s">
        <v>328</v>
      </c>
      <c r="G67" t="s">
        <v>530</v>
      </c>
      <c r="H67" t="s">
        <v>530</v>
      </c>
      <c r="I67" t="s">
        <v>531</v>
      </c>
      <c r="J67" t="s">
        <v>532</v>
      </c>
      <c r="K67" t="s">
        <v>533</v>
      </c>
      <c r="L67" t="s">
        <v>534</v>
      </c>
    </row>
    <row r="68" spans="1:12" x14ac:dyDescent="0.25">
      <c r="A68" t="s">
        <v>156</v>
      </c>
      <c r="I68" t="s">
        <v>535</v>
      </c>
      <c r="J68" t="s">
        <v>536</v>
      </c>
      <c r="K68" t="s">
        <v>537</v>
      </c>
    </row>
    <row r="69" spans="1:12" x14ac:dyDescent="0.25">
      <c r="A69" t="s">
        <v>538</v>
      </c>
      <c r="G69" t="s">
        <v>539</v>
      </c>
      <c r="H69" t="s">
        <v>540</v>
      </c>
      <c r="I69" t="s">
        <v>541</v>
      </c>
      <c r="J69" t="s">
        <v>542</v>
      </c>
      <c r="K69" t="s">
        <v>543</v>
      </c>
      <c r="L69" t="s">
        <v>544</v>
      </c>
    </row>
    <row r="70" spans="1:12" x14ac:dyDescent="0.25">
      <c r="A70" t="s">
        <v>156</v>
      </c>
      <c r="H70" t="s">
        <v>545</v>
      </c>
      <c r="I70" t="s">
        <v>546</v>
      </c>
      <c r="J70" t="s">
        <v>547</v>
      </c>
      <c r="K70" t="s">
        <v>548</v>
      </c>
    </row>
    <row r="71" spans="1:12" x14ac:dyDescent="0.25">
      <c r="A71" t="s">
        <v>549</v>
      </c>
    </row>
    <row r="72" spans="1:12" x14ac:dyDescent="0.25">
      <c r="A72" t="s">
        <v>550</v>
      </c>
      <c r="G72" t="s">
        <v>217</v>
      </c>
      <c r="H72" t="s">
        <v>551</v>
      </c>
      <c r="I72" t="s">
        <v>552</v>
      </c>
      <c r="J72" t="s">
        <v>553</v>
      </c>
      <c r="K72" t="s">
        <v>218</v>
      </c>
      <c r="L72" t="s">
        <v>554</v>
      </c>
    </row>
    <row r="73" spans="1:12" x14ac:dyDescent="0.25">
      <c r="A73" t="s">
        <v>338</v>
      </c>
      <c r="G73" t="s">
        <v>510</v>
      </c>
      <c r="H73" t="s">
        <v>511</v>
      </c>
      <c r="I73" t="s">
        <v>555</v>
      </c>
      <c r="J73" t="s">
        <v>556</v>
      </c>
      <c r="K73" t="s">
        <v>557</v>
      </c>
      <c r="L73" t="s">
        <v>558</v>
      </c>
    </row>
    <row r="74" spans="1:12" x14ac:dyDescent="0.25">
      <c r="A74" t="s">
        <v>559</v>
      </c>
    </row>
    <row r="75" spans="1:12" x14ac:dyDescent="0.25">
      <c r="A75" t="s">
        <v>560</v>
      </c>
    </row>
    <row r="76" spans="1:12" x14ac:dyDescent="0.25">
      <c r="A76" t="s">
        <v>156</v>
      </c>
    </row>
    <row r="77" spans="1:12" x14ac:dyDescent="0.25">
      <c r="A77" t="s">
        <v>3</v>
      </c>
      <c r="G77" t="s">
        <v>561</v>
      </c>
      <c r="H77" t="s">
        <v>562</v>
      </c>
      <c r="I77" t="s">
        <v>563</v>
      </c>
      <c r="J77" t="s">
        <v>564</v>
      </c>
      <c r="K77" t="s">
        <v>565</v>
      </c>
      <c r="L77" t="s">
        <v>566</v>
      </c>
    </row>
    <row r="78" spans="1:12" x14ac:dyDescent="0.25">
      <c r="A78" t="s">
        <v>156</v>
      </c>
      <c r="H78" t="s">
        <v>567</v>
      </c>
      <c r="I78" t="s">
        <v>568</v>
      </c>
      <c r="J78" t="s">
        <v>569</v>
      </c>
      <c r="K78" t="s">
        <v>570</v>
      </c>
    </row>
    <row r="79" spans="1:12" x14ac:dyDescent="0.25">
      <c r="A79" t="s">
        <v>355</v>
      </c>
      <c r="G79" t="s">
        <v>571</v>
      </c>
      <c r="I79" t="s">
        <v>572</v>
      </c>
      <c r="J79" t="s">
        <v>573</v>
      </c>
      <c r="K79" t="s">
        <v>574</v>
      </c>
    </row>
    <row r="80" spans="1:12" x14ac:dyDescent="0.25">
      <c r="A80" t="s">
        <v>359</v>
      </c>
    </row>
    <row r="81" spans="1:12" x14ac:dyDescent="0.25">
      <c r="A81" t="s">
        <v>366</v>
      </c>
    </row>
    <row r="82" spans="1:12" x14ac:dyDescent="0.25">
      <c r="A82" t="s">
        <v>373</v>
      </c>
    </row>
    <row r="83" spans="1:12" x14ac:dyDescent="0.25">
      <c r="A83" t="s">
        <v>380</v>
      </c>
      <c r="G83" t="s">
        <v>575</v>
      </c>
      <c r="H83" t="s">
        <v>576</v>
      </c>
      <c r="I83" t="s">
        <v>577</v>
      </c>
      <c r="J83" t="s">
        <v>578</v>
      </c>
      <c r="K83" t="s">
        <v>579</v>
      </c>
      <c r="L83" t="s">
        <v>580</v>
      </c>
    </row>
    <row r="84" spans="1:12" x14ac:dyDescent="0.25">
      <c r="A84" t="s">
        <v>581</v>
      </c>
    </row>
    <row r="85" spans="1:12" x14ac:dyDescent="0.25">
      <c r="A85" t="s">
        <v>582</v>
      </c>
    </row>
    <row r="86" spans="1:12" x14ac:dyDescent="0.25">
      <c r="A86" t="s">
        <v>583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0DC97-9CE4-40F0-95BD-8510166401E5}">
  <sheetPr codeName="Hoja10"/>
  <dimension ref="A1:L82"/>
  <sheetViews>
    <sheetView workbookViewId="0">
      <selection sqref="A1:L1"/>
    </sheetView>
  </sheetViews>
  <sheetFormatPr baseColWidth="10" defaultRowHeight="15" x14ac:dyDescent="0.25"/>
  <sheetData>
    <row r="1" spans="1:12" x14ac:dyDescent="0.25">
      <c r="A1" s="245"/>
      <c r="B1" s="245"/>
      <c r="C1" s="245"/>
      <c r="D1" s="245"/>
      <c r="E1" s="245"/>
      <c r="F1" s="245"/>
      <c r="G1" s="245"/>
      <c r="H1" s="245"/>
      <c r="I1" s="245"/>
      <c r="J1" s="245"/>
      <c r="K1" s="245"/>
      <c r="L1" s="245"/>
    </row>
    <row r="2" spans="1:12" x14ac:dyDescent="0.25">
      <c r="A2" s="201" t="s">
        <v>584</v>
      </c>
      <c r="B2" s="202">
        <v>41274</v>
      </c>
      <c r="C2" s="202">
        <v>41639</v>
      </c>
      <c r="D2" s="202">
        <v>42004</v>
      </c>
      <c r="E2" s="202">
        <v>42369</v>
      </c>
      <c r="F2" s="202">
        <v>42735</v>
      </c>
      <c r="G2" s="202">
        <v>43100</v>
      </c>
      <c r="H2" s="202">
        <v>43465</v>
      </c>
      <c r="I2" s="202">
        <v>43830</v>
      </c>
      <c r="J2" s="202">
        <v>44196</v>
      </c>
      <c r="K2" s="202">
        <v>44561</v>
      </c>
      <c r="L2" s="201" t="s">
        <v>147</v>
      </c>
    </row>
    <row r="3" spans="1:12" x14ac:dyDescent="0.25">
      <c r="A3" s="200"/>
      <c r="B3" s="200"/>
      <c r="C3" s="200"/>
      <c r="D3" s="200"/>
      <c r="E3" s="200"/>
      <c r="F3" s="200"/>
      <c r="G3" s="200"/>
      <c r="H3" s="200"/>
      <c r="I3" s="200"/>
      <c r="J3" s="200"/>
      <c r="K3" s="200"/>
      <c r="L3" s="200"/>
    </row>
    <row r="4" spans="1:12" x14ac:dyDescent="0.25">
      <c r="A4" s="203" t="s">
        <v>585</v>
      </c>
      <c r="B4" s="205"/>
      <c r="C4" s="205"/>
      <c r="D4" s="205"/>
      <c r="E4" s="205"/>
      <c r="F4" s="205"/>
      <c r="G4" s="204" t="s">
        <v>586</v>
      </c>
      <c r="H4" s="204" t="s">
        <v>587</v>
      </c>
      <c r="I4" s="204" t="s">
        <v>588</v>
      </c>
      <c r="J4" s="204" t="s">
        <v>589</v>
      </c>
      <c r="K4" s="204" t="s">
        <v>590</v>
      </c>
      <c r="L4" s="204" t="s">
        <v>591</v>
      </c>
    </row>
    <row r="5" spans="1:12" x14ac:dyDescent="0.25">
      <c r="A5" s="203" t="s">
        <v>592</v>
      </c>
      <c r="B5" s="216"/>
      <c r="C5" s="216"/>
      <c r="D5" s="216"/>
      <c r="E5" s="216"/>
      <c r="F5" s="216"/>
      <c r="G5" s="216"/>
      <c r="H5" s="216"/>
      <c r="I5" s="216"/>
      <c r="J5" s="216"/>
      <c r="K5" s="216"/>
      <c r="L5" s="216"/>
    </row>
    <row r="6" spans="1:12" x14ac:dyDescent="0.25">
      <c r="A6" s="203" t="s">
        <v>593</v>
      </c>
      <c r="B6" s="216"/>
      <c r="C6" s="216"/>
      <c r="D6" s="216"/>
      <c r="E6" s="216"/>
      <c r="F6" s="216"/>
      <c r="G6" s="216"/>
      <c r="H6" s="216"/>
      <c r="I6" s="216"/>
      <c r="J6" s="216"/>
      <c r="K6" s="216"/>
      <c r="L6" s="216"/>
    </row>
    <row r="7" spans="1:12" x14ac:dyDescent="0.25">
      <c r="A7" s="206" t="s">
        <v>594</v>
      </c>
      <c r="B7" s="205"/>
      <c r="C7" s="205"/>
      <c r="D7" s="205"/>
      <c r="E7" s="205"/>
      <c r="F7" s="205"/>
      <c r="G7" s="207" t="s">
        <v>586</v>
      </c>
      <c r="H7" s="207" t="s">
        <v>587</v>
      </c>
      <c r="I7" s="207" t="s">
        <v>588</v>
      </c>
      <c r="J7" s="207" t="s">
        <v>589</v>
      </c>
      <c r="K7" s="207" t="s">
        <v>590</v>
      </c>
      <c r="L7" s="207" t="s">
        <v>591</v>
      </c>
    </row>
    <row r="8" spans="1:12" x14ac:dyDescent="0.25">
      <c r="A8" s="203" t="s">
        <v>144</v>
      </c>
      <c r="B8" s="205"/>
      <c r="C8" s="205"/>
      <c r="D8" s="205"/>
      <c r="E8" s="205"/>
      <c r="F8" s="205"/>
      <c r="G8" s="204" t="s">
        <v>595</v>
      </c>
      <c r="H8" s="204" t="s">
        <v>596</v>
      </c>
      <c r="I8" s="204" t="s">
        <v>597</v>
      </c>
      <c r="J8" s="204" t="s">
        <v>598</v>
      </c>
      <c r="K8" s="204" t="s">
        <v>599</v>
      </c>
      <c r="L8" s="204" t="s">
        <v>600</v>
      </c>
    </row>
    <row r="9" spans="1:12" x14ac:dyDescent="0.25">
      <c r="A9" s="203" t="s">
        <v>601</v>
      </c>
      <c r="B9" s="205"/>
      <c r="C9" s="205"/>
      <c r="D9" s="205"/>
      <c r="E9" s="205"/>
      <c r="F9" s="205"/>
      <c r="G9" s="204" t="s">
        <v>602</v>
      </c>
      <c r="H9" s="204" t="s">
        <v>603</v>
      </c>
      <c r="I9" s="204" t="s">
        <v>604</v>
      </c>
      <c r="J9" s="204" t="s">
        <v>605</v>
      </c>
      <c r="K9" s="204" t="s">
        <v>606</v>
      </c>
      <c r="L9" s="204" t="s">
        <v>607</v>
      </c>
    </row>
    <row r="10" spans="1:12" x14ac:dyDescent="0.25">
      <c r="A10" s="203" t="s">
        <v>608</v>
      </c>
      <c r="B10" s="216"/>
      <c r="C10" s="216"/>
      <c r="D10" s="216"/>
      <c r="E10" s="216"/>
      <c r="F10" s="216"/>
      <c r="G10" s="216"/>
      <c r="H10" s="216"/>
      <c r="I10" s="216"/>
      <c r="J10" s="216"/>
      <c r="K10" s="216"/>
      <c r="L10" s="216"/>
    </row>
    <row r="11" spans="1:12" x14ac:dyDescent="0.25">
      <c r="A11" s="206" t="s">
        <v>609</v>
      </c>
      <c r="B11" s="205"/>
      <c r="C11" s="205"/>
      <c r="D11" s="205"/>
      <c r="E11" s="205"/>
      <c r="F11" s="205"/>
      <c r="G11" s="207" t="s">
        <v>610</v>
      </c>
      <c r="H11" s="207" t="s">
        <v>611</v>
      </c>
      <c r="I11" s="207" t="s">
        <v>612</v>
      </c>
      <c r="J11" s="207" t="s">
        <v>613</v>
      </c>
      <c r="K11" s="207" t="s">
        <v>614</v>
      </c>
      <c r="L11" s="207" t="s">
        <v>615</v>
      </c>
    </row>
    <row r="12" spans="1:12" x14ac:dyDescent="0.25">
      <c r="A12" s="203" t="s">
        <v>132</v>
      </c>
      <c r="B12" s="216"/>
      <c r="C12" s="216"/>
      <c r="D12" s="216"/>
      <c r="E12" s="216"/>
      <c r="F12" s="216"/>
      <c r="G12" s="216"/>
      <c r="H12" s="204" t="s">
        <v>616</v>
      </c>
      <c r="I12" s="204" t="s">
        <v>617</v>
      </c>
      <c r="J12" s="204" t="s">
        <v>618</v>
      </c>
      <c r="K12" s="204" t="s">
        <v>619</v>
      </c>
      <c r="L12" s="216"/>
    </row>
    <row r="13" spans="1:12" x14ac:dyDescent="0.25">
      <c r="A13" s="203" t="s">
        <v>620</v>
      </c>
      <c r="B13" s="205"/>
      <c r="C13" s="205"/>
      <c r="D13" s="205"/>
      <c r="E13" s="205"/>
      <c r="F13" s="205"/>
      <c r="G13" s="204" t="s">
        <v>621</v>
      </c>
      <c r="H13" s="204" t="s">
        <v>622</v>
      </c>
      <c r="I13" s="204" t="s">
        <v>623</v>
      </c>
      <c r="J13" s="204" t="s">
        <v>624</v>
      </c>
      <c r="K13" s="204" t="s">
        <v>625</v>
      </c>
      <c r="L13" s="204" t="s">
        <v>626</v>
      </c>
    </row>
    <row r="14" spans="1:12" x14ac:dyDescent="0.25">
      <c r="A14" s="203" t="s">
        <v>627</v>
      </c>
      <c r="B14" s="216"/>
      <c r="C14" s="216"/>
      <c r="D14" s="216"/>
      <c r="E14" s="216"/>
      <c r="F14" s="216"/>
      <c r="G14" s="216"/>
      <c r="H14" s="216"/>
      <c r="I14" s="216"/>
      <c r="J14" s="216"/>
      <c r="K14" s="216"/>
      <c r="L14" s="216"/>
    </row>
    <row r="15" spans="1:12" x14ac:dyDescent="0.25">
      <c r="A15" s="203" t="s">
        <v>628</v>
      </c>
      <c r="B15" s="216"/>
      <c r="C15" s="216"/>
      <c r="D15" s="216"/>
      <c r="E15" s="216"/>
      <c r="F15" s="216"/>
      <c r="G15" s="216"/>
      <c r="H15" s="216"/>
      <c r="I15" s="216"/>
      <c r="J15" s="216"/>
      <c r="K15" s="216"/>
      <c r="L15" s="216"/>
    </row>
    <row r="16" spans="1:12" x14ac:dyDescent="0.25">
      <c r="A16" s="203" t="s">
        <v>629</v>
      </c>
      <c r="B16" s="216"/>
      <c r="C16" s="216"/>
      <c r="D16" s="216"/>
      <c r="E16" s="216"/>
      <c r="F16" s="216"/>
      <c r="G16" s="216"/>
      <c r="H16" s="216"/>
      <c r="I16" s="216"/>
      <c r="J16" s="216"/>
      <c r="K16" s="216"/>
      <c r="L16" s="216"/>
    </row>
    <row r="17" spans="1:12" x14ac:dyDescent="0.25">
      <c r="A17" s="203" t="s">
        <v>630</v>
      </c>
      <c r="B17" s="216"/>
      <c r="C17" s="216"/>
      <c r="D17" s="216"/>
      <c r="E17" s="216"/>
      <c r="F17" s="216"/>
      <c r="G17" s="216"/>
      <c r="H17" s="216"/>
      <c r="I17" s="216"/>
      <c r="J17" s="216"/>
      <c r="K17" s="216"/>
      <c r="L17" s="216"/>
    </row>
    <row r="18" spans="1:12" x14ac:dyDescent="0.25">
      <c r="A18" s="203" t="s">
        <v>631</v>
      </c>
      <c r="B18" s="216"/>
      <c r="C18" s="216"/>
      <c r="D18" s="216"/>
      <c r="E18" s="216"/>
      <c r="F18" s="216"/>
      <c r="G18" s="216"/>
      <c r="H18" s="216"/>
      <c r="I18" s="216"/>
      <c r="J18" s="216"/>
      <c r="K18" s="216"/>
      <c r="L18" s="216"/>
    </row>
    <row r="19" spans="1:12" x14ac:dyDescent="0.25">
      <c r="A19" s="203" t="s">
        <v>133</v>
      </c>
      <c r="B19" s="216"/>
      <c r="C19" s="205"/>
      <c r="D19" s="205"/>
      <c r="E19" s="205"/>
      <c r="F19" s="205"/>
      <c r="G19" s="204" t="s">
        <v>308</v>
      </c>
      <c r="H19" s="204" t="s">
        <v>632</v>
      </c>
      <c r="I19" s="204" t="s">
        <v>633</v>
      </c>
      <c r="J19" s="204" t="s">
        <v>634</v>
      </c>
      <c r="K19" s="204" t="s">
        <v>635</v>
      </c>
      <c r="L19" s="216"/>
    </row>
    <row r="20" spans="1:12" x14ac:dyDescent="0.25">
      <c r="A20" s="206" t="s">
        <v>134</v>
      </c>
      <c r="B20" s="205"/>
      <c r="C20" s="205"/>
      <c r="D20" s="205"/>
      <c r="E20" s="205"/>
      <c r="F20" s="205"/>
      <c r="G20" s="207" t="s">
        <v>636</v>
      </c>
      <c r="H20" s="207" t="s">
        <v>637</v>
      </c>
      <c r="I20" s="207" t="s">
        <v>638</v>
      </c>
      <c r="J20" s="207" t="s">
        <v>639</v>
      </c>
      <c r="K20" s="207" t="s">
        <v>640</v>
      </c>
      <c r="L20" s="207" t="s">
        <v>641</v>
      </c>
    </row>
    <row r="21" spans="1:12" x14ac:dyDescent="0.25">
      <c r="A21" s="203" t="s">
        <v>642</v>
      </c>
      <c r="B21" s="205"/>
      <c r="C21" s="205"/>
      <c r="D21" s="205"/>
      <c r="E21" s="205"/>
      <c r="F21" s="205"/>
      <c r="G21" s="204" t="s">
        <v>643</v>
      </c>
      <c r="H21" s="204" t="s">
        <v>644</v>
      </c>
      <c r="I21" s="204" t="s">
        <v>645</v>
      </c>
      <c r="J21" s="204" t="s">
        <v>646</v>
      </c>
      <c r="K21" s="204" t="s">
        <v>647</v>
      </c>
      <c r="L21" s="216"/>
    </row>
    <row r="22" spans="1:12" x14ac:dyDescent="0.25">
      <c r="A22" s="203" t="s">
        <v>648</v>
      </c>
      <c r="B22" s="205"/>
      <c r="C22" s="205"/>
      <c r="D22" s="205"/>
      <c r="E22" s="205"/>
      <c r="F22" s="205"/>
      <c r="G22" s="211" t="s">
        <v>649</v>
      </c>
      <c r="H22" s="211" t="s">
        <v>650</v>
      </c>
      <c r="I22" s="211" t="s">
        <v>651</v>
      </c>
      <c r="J22" s="211" t="s">
        <v>652</v>
      </c>
      <c r="K22" s="211" t="s">
        <v>653</v>
      </c>
      <c r="L22" s="216"/>
    </row>
    <row r="23" spans="1:12" x14ac:dyDescent="0.25">
      <c r="A23" s="206" t="s">
        <v>654</v>
      </c>
      <c r="B23" s="205"/>
      <c r="C23" s="205"/>
      <c r="D23" s="205"/>
      <c r="E23" s="205"/>
      <c r="F23" s="205"/>
      <c r="G23" s="207" t="s">
        <v>655</v>
      </c>
      <c r="H23" s="207" t="s">
        <v>656</v>
      </c>
      <c r="I23" s="207" t="s">
        <v>657</v>
      </c>
      <c r="J23" s="207" t="s">
        <v>658</v>
      </c>
      <c r="K23" s="207" t="s">
        <v>659</v>
      </c>
      <c r="L23" s="207" t="s">
        <v>660</v>
      </c>
    </row>
    <row r="24" spans="1:12" x14ac:dyDescent="0.25">
      <c r="A24" s="203" t="s">
        <v>661</v>
      </c>
      <c r="B24" s="216"/>
      <c r="C24" s="216"/>
      <c r="D24" s="216"/>
      <c r="E24" s="216"/>
      <c r="F24" s="216"/>
      <c r="G24" s="216"/>
      <c r="H24" s="216"/>
      <c r="I24" s="216"/>
      <c r="J24" s="216"/>
      <c r="K24" s="216"/>
      <c r="L24" s="216"/>
    </row>
    <row r="25" spans="1:12" x14ac:dyDescent="0.25">
      <c r="A25" s="203" t="s">
        <v>135</v>
      </c>
      <c r="B25" s="216"/>
      <c r="C25" s="216"/>
      <c r="D25" s="216"/>
      <c r="E25" s="216"/>
      <c r="F25" s="216"/>
      <c r="G25" s="216"/>
      <c r="H25" s="216"/>
      <c r="I25" s="204" t="s">
        <v>662</v>
      </c>
      <c r="J25" s="204" t="s">
        <v>663</v>
      </c>
      <c r="K25" s="204" t="s">
        <v>664</v>
      </c>
      <c r="L25" s="204" t="s">
        <v>665</v>
      </c>
    </row>
    <row r="26" spans="1:12" x14ac:dyDescent="0.25">
      <c r="A26" s="203" t="s">
        <v>666</v>
      </c>
      <c r="B26" s="205"/>
      <c r="C26" s="205"/>
      <c r="D26" s="205"/>
      <c r="E26" s="205"/>
      <c r="F26" s="205"/>
      <c r="G26" s="204" t="s">
        <v>667</v>
      </c>
      <c r="H26" s="204" t="s">
        <v>668</v>
      </c>
      <c r="I26" s="204" t="s">
        <v>669</v>
      </c>
      <c r="J26" s="204" t="s">
        <v>670</v>
      </c>
      <c r="K26" s="204" t="s">
        <v>671</v>
      </c>
      <c r="L26" s="204" t="s">
        <v>672</v>
      </c>
    </row>
    <row r="27" spans="1:12" x14ac:dyDescent="0.25">
      <c r="A27" s="203" t="s">
        <v>673</v>
      </c>
      <c r="B27" s="216"/>
      <c r="C27" s="216"/>
      <c r="D27" s="216"/>
      <c r="E27" s="216"/>
      <c r="F27" s="216"/>
      <c r="G27" s="216"/>
      <c r="H27" s="216"/>
      <c r="I27" s="216"/>
      <c r="J27" s="216"/>
      <c r="K27" s="216"/>
      <c r="L27" s="216"/>
    </row>
    <row r="28" spans="1:12" x14ac:dyDescent="0.25">
      <c r="A28" s="203" t="s">
        <v>674</v>
      </c>
      <c r="B28" s="216"/>
      <c r="C28" s="216"/>
      <c r="D28" s="216"/>
      <c r="E28" s="216"/>
      <c r="F28" s="216"/>
      <c r="G28" s="216"/>
      <c r="H28" s="216"/>
      <c r="I28" s="216"/>
      <c r="J28" s="216"/>
      <c r="K28" s="216"/>
      <c r="L28" s="216"/>
    </row>
    <row r="29" spans="1:12" x14ac:dyDescent="0.25">
      <c r="A29" s="203" t="s">
        <v>675</v>
      </c>
      <c r="B29" s="216"/>
      <c r="C29" s="216"/>
      <c r="D29" s="216"/>
      <c r="E29" s="216"/>
      <c r="F29" s="216"/>
      <c r="G29" s="216"/>
      <c r="H29" s="216"/>
      <c r="I29" s="216"/>
      <c r="J29" s="216"/>
      <c r="K29" s="216"/>
      <c r="L29" s="216"/>
    </row>
    <row r="30" spans="1:12" x14ac:dyDescent="0.25">
      <c r="A30" s="203" t="s">
        <v>676</v>
      </c>
      <c r="B30" s="216"/>
      <c r="C30" s="216"/>
      <c r="D30" s="216"/>
      <c r="E30" s="216"/>
      <c r="F30" s="216"/>
      <c r="G30" s="216"/>
      <c r="H30" s="216"/>
      <c r="I30" s="216"/>
      <c r="J30" s="216"/>
      <c r="K30" s="216"/>
      <c r="L30" s="216"/>
    </row>
    <row r="31" spans="1:12" x14ac:dyDescent="0.25">
      <c r="A31" s="203" t="s">
        <v>677</v>
      </c>
      <c r="B31" s="216"/>
      <c r="C31" s="216"/>
      <c r="D31" s="216"/>
      <c r="E31" s="205"/>
      <c r="F31" s="205"/>
      <c r="G31" s="204" t="s">
        <v>678</v>
      </c>
      <c r="H31" s="204" t="s">
        <v>679</v>
      </c>
      <c r="I31" s="204" t="s">
        <v>680</v>
      </c>
      <c r="J31" s="204" t="s">
        <v>681</v>
      </c>
      <c r="K31" s="204" t="s">
        <v>682</v>
      </c>
      <c r="L31" s="204" t="s">
        <v>632</v>
      </c>
    </row>
    <row r="32" spans="1:12" x14ac:dyDescent="0.25">
      <c r="A32" s="203" t="s">
        <v>683</v>
      </c>
      <c r="B32" s="216"/>
      <c r="C32" s="216"/>
      <c r="D32" s="216"/>
      <c r="E32" s="216"/>
      <c r="F32" s="216"/>
      <c r="G32" s="216"/>
      <c r="H32" s="216"/>
      <c r="I32" s="216"/>
      <c r="J32" s="216"/>
      <c r="K32" s="216"/>
      <c r="L32" s="216"/>
    </row>
    <row r="33" spans="1:12" ht="15.75" thickBot="1" x14ac:dyDescent="0.3">
      <c r="A33" s="203" t="s">
        <v>684</v>
      </c>
      <c r="B33" s="205"/>
      <c r="C33" s="205"/>
      <c r="D33" s="205"/>
      <c r="E33" s="205"/>
      <c r="F33" s="205"/>
      <c r="G33" s="204" t="s">
        <v>685</v>
      </c>
      <c r="H33" s="204" t="s">
        <v>686</v>
      </c>
      <c r="I33" s="204" t="s">
        <v>687</v>
      </c>
      <c r="J33" s="204" t="s">
        <v>688</v>
      </c>
      <c r="K33" s="204" t="s">
        <v>689</v>
      </c>
      <c r="L33" s="204" t="s">
        <v>690</v>
      </c>
    </row>
    <row r="34" spans="1:12" ht="15.75" thickTop="1" x14ac:dyDescent="0.25">
      <c r="A34" s="212" t="s">
        <v>136</v>
      </c>
      <c r="B34" s="214"/>
      <c r="C34" s="214"/>
      <c r="D34" s="214"/>
      <c r="E34" s="214"/>
      <c r="F34" s="214"/>
      <c r="G34" s="213" t="s">
        <v>691</v>
      </c>
      <c r="H34" s="213" t="s">
        <v>692</v>
      </c>
      <c r="I34" s="213" t="s">
        <v>693</v>
      </c>
      <c r="J34" s="213" t="s">
        <v>694</v>
      </c>
      <c r="K34" s="213" t="s">
        <v>695</v>
      </c>
      <c r="L34" s="213" t="s">
        <v>696</v>
      </c>
    </row>
    <row r="35" spans="1:12" x14ac:dyDescent="0.25">
      <c r="A35" s="203" t="s">
        <v>137</v>
      </c>
      <c r="B35" s="205"/>
      <c r="C35" s="205"/>
      <c r="D35" s="205"/>
      <c r="E35" s="205"/>
      <c r="F35" s="205"/>
      <c r="G35" s="204" t="s">
        <v>697</v>
      </c>
      <c r="H35" s="204" t="s">
        <v>698</v>
      </c>
      <c r="I35" s="204" t="s">
        <v>699</v>
      </c>
      <c r="J35" s="204" t="s">
        <v>700</v>
      </c>
      <c r="K35" s="204" t="s">
        <v>701</v>
      </c>
      <c r="L35" s="204" t="s">
        <v>702</v>
      </c>
    </row>
    <row r="36" spans="1:12" x14ac:dyDescent="0.25">
      <c r="A36" s="203" t="s">
        <v>703</v>
      </c>
      <c r="B36" s="205"/>
      <c r="C36" s="205"/>
      <c r="D36" s="205"/>
      <c r="E36" s="205"/>
      <c r="F36" s="205"/>
      <c r="G36" s="204" t="s">
        <v>704</v>
      </c>
      <c r="H36" s="204" t="s">
        <v>705</v>
      </c>
      <c r="I36" s="204" t="s">
        <v>706</v>
      </c>
      <c r="J36" s="204" t="s">
        <v>707</v>
      </c>
      <c r="K36" s="204" t="s">
        <v>708</v>
      </c>
      <c r="L36" s="204" t="s">
        <v>709</v>
      </c>
    </row>
    <row r="37" spans="1:12" x14ac:dyDescent="0.25">
      <c r="A37" s="203" t="s">
        <v>710</v>
      </c>
      <c r="B37" s="216"/>
      <c r="C37" s="205"/>
      <c r="D37" s="216"/>
      <c r="E37" s="216"/>
      <c r="F37" s="216"/>
      <c r="G37" s="216"/>
      <c r="H37" s="216"/>
      <c r="I37" s="216"/>
      <c r="J37" s="216"/>
      <c r="K37" s="216"/>
      <c r="L37" s="216"/>
    </row>
    <row r="38" spans="1:12" x14ac:dyDescent="0.25">
      <c r="A38" s="203" t="s">
        <v>711</v>
      </c>
      <c r="B38" s="216"/>
      <c r="C38" s="216"/>
      <c r="D38" s="216"/>
      <c r="E38" s="216"/>
      <c r="F38" s="205"/>
      <c r="G38" s="204" t="s">
        <v>712</v>
      </c>
      <c r="H38" s="204" t="s">
        <v>686</v>
      </c>
      <c r="I38" s="204" t="s">
        <v>713</v>
      </c>
      <c r="J38" s="216"/>
      <c r="K38" s="216"/>
      <c r="L38" s="216"/>
    </row>
    <row r="39" spans="1:12" x14ac:dyDescent="0.25">
      <c r="A39" s="203" t="s">
        <v>714</v>
      </c>
      <c r="B39" s="216"/>
      <c r="C39" s="216"/>
      <c r="D39" s="216"/>
      <c r="E39" s="216"/>
      <c r="F39" s="216"/>
      <c r="G39" s="216"/>
      <c r="H39" s="216"/>
      <c r="I39" s="204" t="s">
        <v>715</v>
      </c>
      <c r="J39" s="204" t="s">
        <v>716</v>
      </c>
      <c r="K39" s="204" t="s">
        <v>717</v>
      </c>
      <c r="L39" s="204" t="s">
        <v>718</v>
      </c>
    </row>
    <row r="40" spans="1:12" x14ac:dyDescent="0.25">
      <c r="A40" s="203" t="s">
        <v>719</v>
      </c>
      <c r="B40" s="216"/>
      <c r="C40" s="216"/>
      <c r="D40" s="216"/>
      <c r="E40" s="216"/>
      <c r="F40" s="216"/>
      <c r="G40" s="216"/>
      <c r="H40" s="216"/>
      <c r="I40" s="216"/>
      <c r="J40" s="216"/>
      <c r="K40" s="216"/>
      <c r="L40" s="216"/>
    </row>
    <row r="41" spans="1:12" x14ac:dyDescent="0.25">
      <c r="A41" s="203" t="s">
        <v>720</v>
      </c>
      <c r="B41" s="216"/>
      <c r="C41" s="216"/>
      <c r="D41" s="216"/>
      <c r="E41" s="216"/>
      <c r="F41" s="216"/>
      <c r="G41" s="216"/>
      <c r="H41" s="216"/>
      <c r="I41" s="216"/>
      <c r="J41" s="216"/>
      <c r="K41" s="216"/>
      <c r="L41" s="216"/>
    </row>
    <row r="42" spans="1:12" x14ac:dyDescent="0.25">
      <c r="A42" s="203" t="s">
        <v>721</v>
      </c>
      <c r="B42" s="205"/>
      <c r="C42" s="205"/>
      <c r="D42" s="205"/>
      <c r="E42" s="205"/>
      <c r="F42" s="205"/>
      <c r="G42" s="204" t="s">
        <v>722</v>
      </c>
      <c r="H42" s="204" t="s">
        <v>723</v>
      </c>
      <c r="I42" s="204" t="s">
        <v>724</v>
      </c>
      <c r="J42" s="204" t="s">
        <v>725</v>
      </c>
      <c r="K42" s="204" t="s">
        <v>726</v>
      </c>
      <c r="L42" s="204" t="s">
        <v>727</v>
      </c>
    </row>
    <row r="43" spans="1:12" x14ac:dyDescent="0.25">
      <c r="A43" s="203" t="s">
        <v>728</v>
      </c>
      <c r="B43" s="216"/>
      <c r="C43" s="216"/>
      <c r="D43" s="205"/>
      <c r="E43" s="205"/>
      <c r="F43" s="205"/>
      <c r="G43" s="204" t="s">
        <v>729</v>
      </c>
      <c r="H43" s="204" t="s">
        <v>730</v>
      </c>
      <c r="I43" s="204" t="s">
        <v>731</v>
      </c>
      <c r="J43" s="204" t="s">
        <v>732</v>
      </c>
      <c r="K43" s="204" t="s">
        <v>733</v>
      </c>
      <c r="L43" s="216"/>
    </row>
    <row r="44" spans="1:12" x14ac:dyDescent="0.25">
      <c r="A44" s="203" t="s">
        <v>734</v>
      </c>
      <c r="B44" s="216"/>
      <c r="C44" s="216"/>
      <c r="D44" s="216"/>
      <c r="E44" s="216"/>
      <c r="F44" s="216"/>
      <c r="G44" s="216"/>
      <c r="H44" s="216"/>
      <c r="I44" s="216"/>
      <c r="J44" s="216"/>
      <c r="K44" s="216"/>
      <c r="L44" s="216"/>
    </row>
    <row r="45" spans="1:12" x14ac:dyDescent="0.25">
      <c r="A45" s="203" t="s">
        <v>138</v>
      </c>
      <c r="B45" s="205"/>
      <c r="C45" s="205"/>
      <c r="D45" s="205"/>
      <c r="E45" s="205"/>
      <c r="F45" s="205"/>
      <c r="G45" s="204" t="s">
        <v>735</v>
      </c>
      <c r="H45" s="204" t="s">
        <v>736</v>
      </c>
      <c r="I45" s="204" t="s">
        <v>737</v>
      </c>
      <c r="J45" s="204" t="s">
        <v>738</v>
      </c>
      <c r="K45" s="204" t="s">
        <v>739</v>
      </c>
      <c r="L45" s="204" t="s">
        <v>740</v>
      </c>
    </row>
    <row r="46" spans="1:12" x14ac:dyDescent="0.25">
      <c r="A46" s="206" t="s">
        <v>139</v>
      </c>
      <c r="B46" s="205"/>
      <c r="C46" s="205"/>
      <c r="D46" s="205"/>
      <c r="E46" s="205"/>
      <c r="F46" s="205"/>
      <c r="G46" s="207" t="s">
        <v>741</v>
      </c>
      <c r="H46" s="207" t="s">
        <v>742</v>
      </c>
      <c r="I46" s="207" t="s">
        <v>743</v>
      </c>
      <c r="J46" s="207" t="s">
        <v>744</v>
      </c>
      <c r="K46" s="207" t="s">
        <v>745</v>
      </c>
      <c r="L46" s="207" t="s">
        <v>746</v>
      </c>
    </row>
    <row r="47" spans="1:12" x14ac:dyDescent="0.25">
      <c r="A47" s="203" t="s">
        <v>10</v>
      </c>
      <c r="B47" s="216"/>
      <c r="C47" s="216"/>
      <c r="D47" s="216"/>
      <c r="E47" s="216"/>
      <c r="F47" s="205"/>
      <c r="G47" s="204" t="s">
        <v>747</v>
      </c>
      <c r="H47" s="204" t="s">
        <v>748</v>
      </c>
      <c r="I47" s="216"/>
      <c r="J47" s="216"/>
      <c r="K47" s="216"/>
      <c r="L47" s="216"/>
    </row>
    <row r="48" spans="1:12" x14ac:dyDescent="0.25">
      <c r="A48" s="203" t="s">
        <v>749</v>
      </c>
      <c r="B48" s="216"/>
      <c r="C48" s="216"/>
      <c r="D48" s="216"/>
      <c r="E48" s="216"/>
      <c r="F48" s="216"/>
      <c r="G48" s="216"/>
      <c r="H48" s="216"/>
      <c r="I48" s="204" t="s">
        <v>750</v>
      </c>
      <c r="J48" s="204" t="s">
        <v>751</v>
      </c>
      <c r="K48" s="204" t="s">
        <v>752</v>
      </c>
      <c r="L48" s="204" t="s">
        <v>753</v>
      </c>
    </row>
    <row r="49" spans="1:12" x14ac:dyDescent="0.25">
      <c r="A49" s="203" t="s">
        <v>754</v>
      </c>
      <c r="B49" s="216"/>
      <c r="C49" s="216"/>
      <c r="D49" s="216"/>
      <c r="E49" s="216"/>
      <c r="F49" s="216"/>
      <c r="G49" s="216"/>
      <c r="H49" s="216"/>
      <c r="I49" s="216"/>
      <c r="J49" s="216"/>
      <c r="K49" s="216"/>
      <c r="L49" s="216"/>
    </row>
    <row r="50" spans="1:12" x14ac:dyDescent="0.25">
      <c r="A50" s="203" t="s">
        <v>755</v>
      </c>
      <c r="B50" s="216"/>
      <c r="C50" s="216"/>
      <c r="D50" s="216"/>
      <c r="E50" s="216"/>
      <c r="F50" s="216"/>
      <c r="G50" s="216"/>
      <c r="H50" s="216"/>
      <c r="I50" s="216"/>
      <c r="J50" s="216"/>
      <c r="K50" s="216"/>
      <c r="L50" s="216"/>
    </row>
    <row r="51" spans="1:12" x14ac:dyDescent="0.25">
      <c r="A51" s="203" t="s">
        <v>756</v>
      </c>
      <c r="B51" s="216"/>
      <c r="C51" s="216"/>
      <c r="D51" s="216"/>
      <c r="E51" s="216"/>
      <c r="F51" s="216"/>
      <c r="G51" s="216"/>
      <c r="H51" s="216"/>
      <c r="I51" s="216"/>
      <c r="J51" s="216"/>
      <c r="K51" s="216"/>
      <c r="L51" s="216"/>
    </row>
    <row r="52" spans="1:12" x14ac:dyDescent="0.25">
      <c r="A52" s="203" t="s">
        <v>757</v>
      </c>
      <c r="B52" s="216"/>
      <c r="C52" s="216"/>
      <c r="D52" s="216"/>
      <c r="E52" s="216"/>
      <c r="F52" s="216"/>
      <c r="G52" s="216"/>
      <c r="H52" s="216"/>
      <c r="I52" s="216"/>
      <c r="J52" s="216"/>
      <c r="K52" s="216"/>
      <c r="L52" s="216"/>
    </row>
    <row r="53" spans="1:12" x14ac:dyDescent="0.25">
      <c r="A53" s="203" t="s">
        <v>758</v>
      </c>
      <c r="B53" s="205"/>
      <c r="C53" s="205"/>
      <c r="D53" s="205"/>
      <c r="E53" s="205"/>
      <c r="F53" s="205"/>
      <c r="G53" s="204" t="s">
        <v>759</v>
      </c>
      <c r="H53" s="216"/>
      <c r="I53" s="204" t="s">
        <v>398</v>
      </c>
      <c r="J53" s="204" t="s">
        <v>760</v>
      </c>
      <c r="K53" s="204" t="s">
        <v>761</v>
      </c>
      <c r="L53" s="204" t="s">
        <v>762</v>
      </c>
    </row>
    <row r="54" spans="1:12" ht="15.75" thickBot="1" x14ac:dyDescent="0.3">
      <c r="A54" s="203" t="s">
        <v>763</v>
      </c>
      <c r="B54" s="216"/>
      <c r="C54" s="216"/>
      <c r="D54" s="216"/>
      <c r="E54" s="216"/>
      <c r="F54" s="205"/>
      <c r="G54" s="216"/>
      <c r="H54" s="216"/>
      <c r="I54" s="216"/>
      <c r="J54" s="216"/>
      <c r="K54" s="204" t="s">
        <v>764</v>
      </c>
      <c r="L54" s="204" t="s">
        <v>765</v>
      </c>
    </row>
    <row r="55" spans="1:12" ht="15.75" thickTop="1" x14ac:dyDescent="0.25">
      <c r="A55" s="212" t="s">
        <v>140</v>
      </c>
      <c r="B55" s="214"/>
      <c r="C55" s="214"/>
      <c r="D55" s="214"/>
      <c r="E55" s="214"/>
      <c r="F55" s="214"/>
      <c r="G55" s="213" t="s">
        <v>766</v>
      </c>
      <c r="H55" s="213" t="s">
        <v>767</v>
      </c>
      <c r="I55" s="213" t="s">
        <v>768</v>
      </c>
      <c r="J55" s="213" t="s">
        <v>769</v>
      </c>
      <c r="K55" s="213" t="s">
        <v>770</v>
      </c>
      <c r="L55" s="213" t="s">
        <v>771</v>
      </c>
    </row>
    <row r="56" spans="1:12" x14ac:dyDescent="0.25">
      <c r="A56" s="203" t="s">
        <v>772</v>
      </c>
      <c r="B56" s="216"/>
      <c r="C56" s="216"/>
      <c r="D56" s="216"/>
      <c r="E56" s="216"/>
      <c r="F56" s="216"/>
      <c r="G56" s="216"/>
      <c r="H56" s="216"/>
      <c r="I56" s="216"/>
      <c r="J56" s="216"/>
      <c r="K56" s="216"/>
      <c r="L56" s="216"/>
    </row>
    <row r="57" spans="1:12" x14ac:dyDescent="0.25">
      <c r="A57" s="203" t="s">
        <v>773</v>
      </c>
      <c r="B57" s="216"/>
      <c r="C57" s="216"/>
      <c r="D57" s="216"/>
      <c r="E57" s="216"/>
      <c r="F57" s="216"/>
      <c r="G57" s="216"/>
      <c r="H57" s="216"/>
      <c r="I57" s="216"/>
      <c r="J57" s="216"/>
      <c r="K57" s="216"/>
      <c r="L57" s="216"/>
    </row>
    <row r="58" spans="1:12" x14ac:dyDescent="0.25">
      <c r="A58" s="203" t="s">
        <v>774</v>
      </c>
      <c r="B58" s="216"/>
      <c r="C58" s="216"/>
      <c r="D58" s="216"/>
      <c r="E58" s="216"/>
      <c r="F58" s="216"/>
      <c r="G58" s="216"/>
      <c r="H58" s="216"/>
      <c r="I58" s="216"/>
      <c r="J58" s="216"/>
      <c r="K58" s="216"/>
      <c r="L58" s="216"/>
    </row>
    <row r="59" spans="1:12" x14ac:dyDescent="0.25">
      <c r="A59" s="203" t="s">
        <v>775</v>
      </c>
      <c r="B59" s="216"/>
      <c r="C59" s="216"/>
      <c r="D59" s="216"/>
      <c r="E59" s="216"/>
      <c r="F59" s="216"/>
      <c r="G59" s="216"/>
      <c r="H59" s="216"/>
      <c r="I59" s="216"/>
      <c r="J59" s="216"/>
      <c r="K59" s="216"/>
      <c r="L59" s="216"/>
    </row>
    <row r="60" spans="1:12" x14ac:dyDescent="0.25">
      <c r="A60" s="206" t="s">
        <v>776</v>
      </c>
      <c r="B60" s="221"/>
      <c r="C60" s="221"/>
      <c r="D60" s="221"/>
      <c r="E60" s="221"/>
      <c r="F60" s="221"/>
      <c r="G60" s="221"/>
      <c r="H60" s="221"/>
      <c r="I60" s="221"/>
      <c r="J60" s="221"/>
      <c r="K60" s="221"/>
      <c r="L60" s="221"/>
    </row>
    <row r="61" spans="1:12" x14ac:dyDescent="0.25">
      <c r="A61" s="203" t="s">
        <v>141</v>
      </c>
      <c r="B61" s="205"/>
      <c r="C61" s="205"/>
      <c r="D61" s="205"/>
      <c r="E61" s="205"/>
      <c r="F61" s="205"/>
      <c r="G61" s="204" t="s">
        <v>777</v>
      </c>
      <c r="H61" s="204" t="s">
        <v>778</v>
      </c>
      <c r="I61" s="204" t="s">
        <v>779</v>
      </c>
      <c r="J61" s="204" t="s">
        <v>780</v>
      </c>
      <c r="K61" s="204" t="s">
        <v>781</v>
      </c>
      <c r="L61" s="204" t="s">
        <v>782</v>
      </c>
    </row>
    <row r="62" spans="1:12" x14ac:dyDescent="0.25">
      <c r="A62" s="203" t="s">
        <v>783</v>
      </c>
      <c r="B62" s="205"/>
      <c r="C62" s="205"/>
      <c r="D62" s="205"/>
      <c r="E62" s="205"/>
      <c r="F62" s="205"/>
      <c r="G62" s="204" t="s">
        <v>784</v>
      </c>
      <c r="H62" s="204" t="s">
        <v>785</v>
      </c>
      <c r="I62" s="204" t="s">
        <v>786</v>
      </c>
      <c r="J62" s="204" t="s">
        <v>787</v>
      </c>
      <c r="K62" s="204" t="s">
        <v>788</v>
      </c>
      <c r="L62" s="204" t="s">
        <v>789</v>
      </c>
    </row>
    <row r="63" spans="1:12" x14ac:dyDescent="0.25">
      <c r="A63" s="203" t="s">
        <v>142</v>
      </c>
      <c r="B63" s="205"/>
      <c r="C63" s="205"/>
      <c r="D63" s="205"/>
      <c r="E63" s="205"/>
      <c r="F63" s="205"/>
      <c r="G63" s="204" t="s">
        <v>790</v>
      </c>
      <c r="H63" s="204" t="s">
        <v>791</v>
      </c>
      <c r="I63" s="204" t="s">
        <v>792</v>
      </c>
      <c r="J63" s="204" t="s">
        <v>793</v>
      </c>
      <c r="K63" s="204" t="s">
        <v>794</v>
      </c>
      <c r="L63" s="204" t="s">
        <v>795</v>
      </c>
    </row>
    <row r="64" spans="1:12" x14ac:dyDescent="0.25">
      <c r="A64" s="203" t="s">
        <v>796</v>
      </c>
      <c r="B64" s="216"/>
      <c r="C64" s="216"/>
      <c r="D64" s="216"/>
      <c r="E64" s="216"/>
      <c r="F64" s="216"/>
      <c r="G64" s="216"/>
      <c r="H64" s="216"/>
      <c r="I64" s="216"/>
      <c r="J64" s="216"/>
      <c r="K64" s="216"/>
      <c r="L64" s="216"/>
    </row>
    <row r="65" spans="1:12" x14ac:dyDescent="0.25">
      <c r="A65" s="203" t="s">
        <v>797</v>
      </c>
      <c r="B65" s="205"/>
      <c r="C65" s="205"/>
      <c r="D65" s="205"/>
      <c r="E65" s="205"/>
      <c r="F65" s="205"/>
      <c r="G65" s="211" t="s">
        <v>470</v>
      </c>
      <c r="H65" s="211" t="s">
        <v>798</v>
      </c>
      <c r="I65" s="204" t="s">
        <v>799</v>
      </c>
      <c r="J65" s="204" t="s">
        <v>800</v>
      </c>
      <c r="K65" s="211" t="s">
        <v>801</v>
      </c>
      <c r="L65" s="211" t="s">
        <v>802</v>
      </c>
    </row>
    <row r="66" spans="1:12" x14ac:dyDescent="0.25">
      <c r="A66" s="206" t="s">
        <v>803</v>
      </c>
      <c r="B66" s="205"/>
      <c r="C66" s="205"/>
      <c r="D66" s="205"/>
      <c r="E66" s="205"/>
      <c r="F66" s="205"/>
      <c r="G66" s="207" t="s">
        <v>804</v>
      </c>
      <c r="H66" s="207" t="s">
        <v>805</v>
      </c>
      <c r="I66" s="207" t="s">
        <v>806</v>
      </c>
      <c r="J66" s="207" t="s">
        <v>807</v>
      </c>
      <c r="K66" s="207" t="s">
        <v>808</v>
      </c>
      <c r="L66" s="207" t="s">
        <v>809</v>
      </c>
    </row>
    <row r="67" spans="1:12" ht="15.75" thickBot="1" x14ac:dyDescent="0.3">
      <c r="A67" s="203" t="s">
        <v>143</v>
      </c>
      <c r="B67" s="216"/>
      <c r="C67" s="216"/>
      <c r="D67" s="216"/>
      <c r="E67" s="216"/>
      <c r="F67" s="216"/>
      <c r="G67" s="216"/>
      <c r="H67" s="216"/>
      <c r="I67" s="216"/>
      <c r="J67" s="216"/>
      <c r="K67" s="216"/>
      <c r="L67" s="216"/>
    </row>
    <row r="68" spans="1:12" ht="16.5" thickTop="1" thickBot="1" x14ac:dyDescent="0.3">
      <c r="A68" s="212" t="s">
        <v>810</v>
      </c>
      <c r="B68" s="214"/>
      <c r="C68" s="214"/>
      <c r="D68" s="214"/>
      <c r="E68" s="214"/>
      <c r="F68" s="214"/>
      <c r="G68" s="213" t="s">
        <v>804</v>
      </c>
      <c r="H68" s="213" t="s">
        <v>805</v>
      </c>
      <c r="I68" s="213" t="s">
        <v>806</v>
      </c>
      <c r="J68" s="213" t="s">
        <v>807</v>
      </c>
      <c r="K68" s="213" t="s">
        <v>808</v>
      </c>
      <c r="L68" s="213" t="s">
        <v>809</v>
      </c>
    </row>
    <row r="69" spans="1:12" ht="15.75" thickTop="1" x14ac:dyDescent="0.25">
      <c r="A69" s="212" t="s">
        <v>811</v>
      </c>
      <c r="B69" s="214"/>
      <c r="C69" s="214"/>
      <c r="D69" s="214"/>
      <c r="E69" s="214"/>
      <c r="F69" s="214"/>
      <c r="G69" s="213" t="s">
        <v>691</v>
      </c>
      <c r="H69" s="213" t="s">
        <v>692</v>
      </c>
      <c r="I69" s="213" t="s">
        <v>693</v>
      </c>
      <c r="J69" s="213" t="s">
        <v>694</v>
      </c>
      <c r="K69" s="213" t="s">
        <v>695</v>
      </c>
      <c r="L69" s="213" t="s">
        <v>696</v>
      </c>
    </row>
    <row r="70" spans="1:12" x14ac:dyDescent="0.25">
      <c r="A70" s="208" t="s">
        <v>305</v>
      </c>
      <c r="B70" s="200"/>
      <c r="C70" s="200"/>
      <c r="D70" s="200"/>
      <c r="E70" s="200"/>
      <c r="F70" s="200"/>
      <c r="G70" s="200"/>
      <c r="H70" s="200"/>
      <c r="I70" s="200"/>
      <c r="J70" s="200"/>
      <c r="K70" s="200"/>
      <c r="L70" s="200"/>
    </row>
    <row r="71" spans="1:12" x14ac:dyDescent="0.25">
      <c r="A71" s="203" t="s">
        <v>812</v>
      </c>
      <c r="B71" s="216"/>
      <c r="C71" s="216"/>
      <c r="D71" s="205"/>
      <c r="E71" s="216"/>
      <c r="F71" s="216"/>
      <c r="G71" s="216"/>
      <c r="H71" s="216"/>
      <c r="I71" s="216"/>
      <c r="J71" s="216"/>
      <c r="K71" s="216"/>
      <c r="L71" s="204" t="s">
        <v>813</v>
      </c>
    </row>
    <row r="72" spans="1:12" x14ac:dyDescent="0.25">
      <c r="A72" s="203" t="s">
        <v>814</v>
      </c>
      <c r="B72" s="205"/>
      <c r="C72" s="205"/>
      <c r="D72" s="205"/>
      <c r="E72" s="205"/>
      <c r="F72" s="205"/>
      <c r="G72" s="204" t="s">
        <v>815</v>
      </c>
      <c r="H72" s="204" t="s">
        <v>816</v>
      </c>
      <c r="I72" s="204" t="s">
        <v>817</v>
      </c>
      <c r="J72" s="204" t="s">
        <v>818</v>
      </c>
      <c r="K72" s="204" t="s">
        <v>819</v>
      </c>
      <c r="L72" s="204" t="s">
        <v>820</v>
      </c>
    </row>
    <row r="73" spans="1:12" x14ac:dyDescent="0.25">
      <c r="A73" s="203" t="s">
        <v>821</v>
      </c>
      <c r="B73" s="205"/>
      <c r="C73" s="205"/>
      <c r="D73" s="205"/>
      <c r="E73" s="205"/>
      <c r="F73" s="205"/>
      <c r="G73" s="204" t="s">
        <v>822</v>
      </c>
      <c r="H73" s="204" t="s">
        <v>823</v>
      </c>
      <c r="I73" s="204" t="s">
        <v>824</v>
      </c>
      <c r="J73" s="204" t="s">
        <v>825</v>
      </c>
      <c r="K73" s="204" t="s">
        <v>826</v>
      </c>
      <c r="L73" s="204" t="s">
        <v>827</v>
      </c>
    </row>
    <row r="74" spans="1:12" x14ac:dyDescent="0.25">
      <c r="A74" s="203" t="s">
        <v>828</v>
      </c>
      <c r="B74" s="205"/>
      <c r="C74" s="205"/>
      <c r="D74" s="205"/>
      <c r="E74" s="205"/>
      <c r="F74" s="205"/>
      <c r="G74" s="204" t="s">
        <v>778</v>
      </c>
      <c r="H74" s="204" t="s">
        <v>307</v>
      </c>
      <c r="I74" s="204" t="s">
        <v>829</v>
      </c>
      <c r="J74" s="204" t="s">
        <v>616</v>
      </c>
      <c r="K74" s="204" t="s">
        <v>830</v>
      </c>
      <c r="L74" s="204" t="s">
        <v>831</v>
      </c>
    </row>
    <row r="75" spans="1:12" x14ac:dyDescent="0.25">
      <c r="A75" s="203" t="s">
        <v>14</v>
      </c>
      <c r="B75" s="205"/>
      <c r="C75" s="205"/>
      <c r="D75" s="205"/>
      <c r="E75" s="205"/>
      <c r="F75" s="205"/>
      <c r="G75" s="204" t="s">
        <v>832</v>
      </c>
      <c r="H75" s="204" t="s">
        <v>833</v>
      </c>
      <c r="I75" s="204" t="s">
        <v>834</v>
      </c>
      <c r="J75" s="204" t="s">
        <v>835</v>
      </c>
      <c r="K75" s="204" t="s">
        <v>836</v>
      </c>
      <c r="L75" s="204" t="s">
        <v>837</v>
      </c>
    </row>
    <row r="76" spans="1:12" x14ac:dyDescent="0.25">
      <c r="A76" s="203" t="s">
        <v>15</v>
      </c>
      <c r="B76" s="205"/>
      <c r="C76" s="205"/>
      <c r="D76" s="205"/>
      <c r="E76" s="205"/>
      <c r="F76" s="205"/>
      <c r="G76" s="211" t="s">
        <v>838</v>
      </c>
      <c r="H76" s="211" t="s">
        <v>839</v>
      </c>
      <c r="I76" s="211" t="s">
        <v>840</v>
      </c>
      <c r="J76" s="211" t="s">
        <v>841</v>
      </c>
      <c r="K76" s="211" t="s">
        <v>842</v>
      </c>
      <c r="L76" s="211" t="s">
        <v>843</v>
      </c>
    </row>
    <row r="77" spans="1:12" x14ac:dyDescent="0.25">
      <c r="A77" s="203" t="s">
        <v>844</v>
      </c>
      <c r="B77" s="216"/>
      <c r="C77" s="216"/>
      <c r="D77" s="216"/>
      <c r="E77" s="216"/>
      <c r="F77" s="216"/>
      <c r="G77" s="216"/>
      <c r="H77" s="216"/>
      <c r="I77" s="216"/>
      <c r="J77" s="216"/>
      <c r="K77" s="216"/>
      <c r="L77" s="216"/>
    </row>
    <row r="78" spans="1:12" x14ac:dyDescent="0.25">
      <c r="A78" s="203" t="s">
        <v>845</v>
      </c>
      <c r="B78" s="216"/>
      <c r="C78" s="216"/>
      <c r="D78" s="216"/>
      <c r="E78" s="216"/>
      <c r="F78" s="216"/>
      <c r="G78" s="216"/>
      <c r="H78" s="216"/>
      <c r="I78" s="216"/>
      <c r="J78" s="216"/>
      <c r="K78" s="216"/>
      <c r="L78" s="216"/>
    </row>
    <row r="79" spans="1:12" x14ac:dyDescent="0.25">
      <c r="A79" s="203" t="s">
        <v>846</v>
      </c>
      <c r="B79" s="216"/>
      <c r="C79" s="216"/>
      <c r="D79" s="216"/>
      <c r="E79" s="216"/>
      <c r="F79" s="205"/>
      <c r="G79" s="205"/>
      <c r="H79" s="205"/>
      <c r="I79" s="205"/>
      <c r="J79" s="205"/>
      <c r="K79" s="205"/>
      <c r="L79" s="216"/>
    </row>
    <row r="80" spans="1:12" x14ac:dyDescent="0.25">
      <c r="A80" s="203" t="s">
        <v>847</v>
      </c>
      <c r="B80" s="216"/>
      <c r="C80" s="216"/>
      <c r="D80" s="216"/>
      <c r="E80" s="216"/>
      <c r="F80" s="205"/>
      <c r="G80" s="216"/>
      <c r="H80" s="216"/>
      <c r="I80" s="216"/>
      <c r="J80" s="216"/>
      <c r="K80" s="216"/>
      <c r="L80" s="216"/>
    </row>
    <row r="81" spans="1:12" x14ac:dyDescent="0.25">
      <c r="A81" s="203" t="s">
        <v>848</v>
      </c>
      <c r="B81" s="216"/>
      <c r="C81" s="216"/>
      <c r="D81" s="216"/>
      <c r="E81" s="216"/>
      <c r="F81" s="216"/>
      <c r="G81" s="216"/>
      <c r="H81" s="216"/>
      <c r="I81" s="205"/>
      <c r="J81" s="205"/>
      <c r="K81" s="205"/>
      <c r="L81" s="216"/>
    </row>
    <row r="82" spans="1:12" x14ac:dyDescent="0.25">
      <c r="A82" s="203" t="s">
        <v>849</v>
      </c>
      <c r="B82" s="216"/>
      <c r="C82" s="216"/>
      <c r="D82" s="205"/>
      <c r="E82" s="205"/>
      <c r="F82" s="205"/>
      <c r="G82" s="205"/>
      <c r="H82" s="205"/>
      <c r="I82" s="205"/>
      <c r="J82" s="205"/>
      <c r="K82" s="205"/>
      <c r="L82" s="205"/>
    </row>
  </sheetData>
  <mergeCells count="1">
    <mergeCell ref="A1:L1"/>
  </mergeCells>
  <hyperlinks>
    <hyperlink ref="B4" r:id="rId1" display="https://app.tikr.com/account/subs?ref=q5ht48" xr:uid="{4991F5D3-09BA-47B2-93BE-028C9746D6E1}"/>
    <hyperlink ref="C4" r:id="rId2" display="https://app.tikr.com/account/subs?ref=q5ht48" xr:uid="{FF7DE353-A92D-4B43-BF9F-994C8D9476F1}"/>
    <hyperlink ref="D4" r:id="rId3" display="https://app.tikr.com/account/subs?ref=q5ht48" xr:uid="{98B8796E-DD62-426D-8995-79D1CB8ED18B}"/>
    <hyperlink ref="E4" r:id="rId4" display="https://app.tikr.com/account/subs?ref=q5ht48" xr:uid="{340003F1-A140-4E70-9190-6BAFAA936602}"/>
    <hyperlink ref="F4" r:id="rId5" display="https://app.tikr.com/account/subs?ref=q5ht48" xr:uid="{1B1FFA06-C000-41DE-89D6-9C0F44F7672B}"/>
    <hyperlink ref="B7" r:id="rId6" display="https://app.tikr.com/account/subs?ref=q5ht48" xr:uid="{17C89C93-F1B2-41A3-BDE7-FC400C900E69}"/>
    <hyperlink ref="C7" r:id="rId7" display="https://app.tikr.com/account/subs?ref=q5ht48" xr:uid="{6D2AEEE5-9892-46EE-98B5-6A749D70C189}"/>
    <hyperlink ref="D7" r:id="rId8" display="https://app.tikr.com/account/subs?ref=q5ht48" xr:uid="{A117D29C-0A64-4E42-9212-3C6ED6823363}"/>
    <hyperlink ref="E7" r:id="rId9" display="https://app.tikr.com/account/subs?ref=q5ht48" xr:uid="{830E62FB-4F46-47AA-9F76-C48E3A613D2E}"/>
    <hyperlink ref="F7" r:id="rId10" display="https://app.tikr.com/account/subs?ref=q5ht48" xr:uid="{505CE992-DB9C-4DB2-9BCF-FFD3370F36F2}"/>
    <hyperlink ref="B8" r:id="rId11" display="https://app.tikr.com/account/subs?ref=q5ht48" xr:uid="{718BF598-2C27-4994-854E-AFD1005D2ADC}"/>
    <hyperlink ref="C8" r:id="rId12" display="https://app.tikr.com/account/subs?ref=q5ht48" xr:uid="{8FED19F5-BA71-4C8C-B375-AEA593C83395}"/>
    <hyperlink ref="D8" r:id="rId13" display="https://app.tikr.com/account/subs?ref=q5ht48" xr:uid="{E17CA612-D93C-41B6-801A-3C83E33941DA}"/>
    <hyperlink ref="E8" r:id="rId14" display="https://app.tikr.com/account/subs?ref=q5ht48" xr:uid="{B0B47EAE-00C5-4129-A6DB-B321CAD58786}"/>
    <hyperlink ref="F8" r:id="rId15" display="https://app.tikr.com/account/subs?ref=q5ht48" xr:uid="{BB7177E4-6982-4411-ABD9-91271AE0C8DD}"/>
    <hyperlink ref="B9" r:id="rId16" display="https://app.tikr.com/account/subs?ref=q5ht48" xr:uid="{2C1A429D-6771-4B09-89AA-5CC4BDE99298}"/>
    <hyperlink ref="C9" r:id="rId17" display="https://app.tikr.com/account/subs?ref=q5ht48" xr:uid="{DD89408B-FA1E-4F1B-9E7F-4DC3882C4002}"/>
    <hyperlink ref="D9" r:id="rId18" display="https://app.tikr.com/account/subs?ref=q5ht48" xr:uid="{08FE4104-52C8-45E9-A3FC-82454A06C277}"/>
    <hyperlink ref="E9" r:id="rId19" display="https://app.tikr.com/account/subs?ref=q5ht48" xr:uid="{2B48EB00-AED4-4C1C-8938-CFD66CB080F6}"/>
    <hyperlink ref="F9" r:id="rId20" display="https://app.tikr.com/account/subs?ref=q5ht48" xr:uid="{0E305DBC-6DFA-42A9-B6CC-7790D2FF919B}"/>
    <hyperlink ref="B11" r:id="rId21" display="https://app.tikr.com/account/subs?ref=q5ht48" xr:uid="{65B07424-2A9A-49EF-8971-101B620ECBFD}"/>
    <hyperlink ref="C11" r:id="rId22" display="https://app.tikr.com/account/subs?ref=q5ht48" xr:uid="{E5508920-93CC-49E4-9EB6-2128EC4CF73B}"/>
    <hyperlink ref="D11" r:id="rId23" display="https://app.tikr.com/account/subs?ref=q5ht48" xr:uid="{9D2A10D8-1494-4A56-8C01-863229420292}"/>
    <hyperlink ref="E11" r:id="rId24" display="https://app.tikr.com/account/subs?ref=q5ht48" xr:uid="{A6003CF7-8D28-4D82-B12D-3185B3DC0482}"/>
    <hyperlink ref="F11" r:id="rId25" display="https://app.tikr.com/account/subs?ref=q5ht48" xr:uid="{AD64BEC9-E995-4A41-AF44-82A8FE4E3BA2}"/>
    <hyperlink ref="B13" r:id="rId26" display="https://app.tikr.com/account/subs?ref=q5ht48" xr:uid="{02452D2D-13D3-4E06-9377-24B43BBA0E1D}"/>
    <hyperlink ref="C13" r:id="rId27" display="https://app.tikr.com/account/subs?ref=q5ht48" xr:uid="{779E897B-7C40-4EA8-9755-6CDD5E81E23E}"/>
    <hyperlink ref="D13" r:id="rId28" display="https://app.tikr.com/account/subs?ref=q5ht48" xr:uid="{8D768E5C-83D6-4A8C-B741-ECA70C1F8B04}"/>
    <hyperlink ref="E13" r:id="rId29" display="https://app.tikr.com/account/subs?ref=q5ht48" xr:uid="{1796AD00-03F9-4AE1-8C62-0C5913574521}"/>
    <hyperlink ref="F13" r:id="rId30" display="https://app.tikr.com/account/subs?ref=q5ht48" xr:uid="{5D10C6D0-AE14-42C4-BD93-3BDDFD2D39C2}"/>
    <hyperlink ref="C19" r:id="rId31" display="https://app.tikr.com/account/subs?ref=q5ht48" xr:uid="{B144318D-A745-40AB-A69E-59E86E7CF55E}"/>
    <hyperlink ref="D19" r:id="rId32" display="https://app.tikr.com/account/subs?ref=q5ht48" xr:uid="{7974EF76-15E1-4A9D-98CD-41F37FC21FEA}"/>
    <hyperlink ref="E19" r:id="rId33" display="https://app.tikr.com/account/subs?ref=q5ht48" xr:uid="{3DBECAA9-6BEE-4B60-BFB8-0D4F21232BDD}"/>
    <hyperlink ref="F19" r:id="rId34" display="https://app.tikr.com/account/subs?ref=q5ht48" xr:uid="{DDE24270-071D-4827-98C5-CF24E07C1A6E}"/>
    <hyperlink ref="B20" r:id="rId35" display="https://app.tikr.com/account/subs?ref=q5ht48" xr:uid="{450008DF-3F02-4D19-9BCD-C7CD6C5BFE74}"/>
    <hyperlink ref="C20" r:id="rId36" display="https://app.tikr.com/account/subs?ref=q5ht48" xr:uid="{2EC14D44-25F0-4B41-87C6-C9432F9BDD6A}"/>
    <hyperlink ref="D20" r:id="rId37" display="https://app.tikr.com/account/subs?ref=q5ht48" xr:uid="{CA205A82-264F-4F94-9802-3F4898D1E8FD}"/>
    <hyperlink ref="E20" r:id="rId38" display="https://app.tikr.com/account/subs?ref=q5ht48" xr:uid="{63CE9B08-6CE6-41DF-BD29-C7557E7D2044}"/>
    <hyperlink ref="F20" r:id="rId39" display="https://app.tikr.com/account/subs?ref=q5ht48" xr:uid="{A1994691-C6BB-4653-A470-66B5F074BF2E}"/>
    <hyperlink ref="B21" r:id="rId40" display="https://app.tikr.com/account/subs?ref=q5ht48" xr:uid="{26132FBD-45E3-4E68-B7B2-D1F85BCDA9A9}"/>
    <hyperlink ref="C21" r:id="rId41" display="https://app.tikr.com/account/subs?ref=q5ht48" xr:uid="{3C839790-5A6E-41B2-A0D1-089A8A62AB52}"/>
    <hyperlink ref="D21" r:id="rId42" display="https://app.tikr.com/account/subs?ref=q5ht48" xr:uid="{392BBDCB-BB08-4A4F-BAA8-DF4A851D1FBC}"/>
    <hyperlink ref="E21" r:id="rId43" display="https://app.tikr.com/account/subs?ref=q5ht48" xr:uid="{250F12E8-9FA7-425D-839A-123EF5B6318D}"/>
    <hyperlink ref="F21" r:id="rId44" display="https://app.tikr.com/account/subs?ref=q5ht48" xr:uid="{8A2D7A12-4417-49D7-A1DE-52CA49D2E361}"/>
    <hyperlink ref="B22" r:id="rId45" display="https://app.tikr.com/account/subs?ref=q5ht48" xr:uid="{0D03898F-3A27-4A90-9957-5E874034309D}"/>
    <hyperlink ref="C22" r:id="rId46" display="https://app.tikr.com/account/subs?ref=q5ht48" xr:uid="{2B8399EC-76D5-4EB0-82E7-D4FDC6B0A90C}"/>
    <hyperlink ref="D22" r:id="rId47" display="https://app.tikr.com/account/subs?ref=q5ht48" xr:uid="{478A47FE-5092-4314-BBE1-CA8552354D8E}"/>
    <hyperlink ref="E22" r:id="rId48" display="https://app.tikr.com/account/subs?ref=q5ht48" xr:uid="{68DDFED7-1E3F-4A39-8445-A996280456BE}"/>
    <hyperlink ref="F22" r:id="rId49" display="https://app.tikr.com/account/subs?ref=q5ht48" xr:uid="{D9146579-41D2-4C69-BD76-80FBD3537B97}"/>
    <hyperlink ref="B23" r:id="rId50" display="https://app.tikr.com/account/subs?ref=q5ht48" xr:uid="{B07EB11B-6D0C-432D-B9F0-D7D50A2F4F0E}"/>
    <hyperlink ref="C23" r:id="rId51" display="https://app.tikr.com/account/subs?ref=q5ht48" xr:uid="{FD8E7378-C9E7-451C-AE0F-DB93BAAFD34E}"/>
    <hyperlink ref="D23" r:id="rId52" display="https://app.tikr.com/account/subs?ref=q5ht48" xr:uid="{AADDA069-D538-469B-9FC4-3EA0B315D56C}"/>
    <hyperlink ref="E23" r:id="rId53" display="https://app.tikr.com/account/subs?ref=q5ht48" xr:uid="{B116878E-DE56-4B22-8D9E-DA65D7539F59}"/>
    <hyperlink ref="F23" r:id="rId54" display="https://app.tikr.com/account/subs?ref=q5ht48" xr:uid="{7E177836-D1E0-4E85-9F7B-DD6E362CFFE5}"/>
    <hyperlink ref="B26" r:id="rId55" display="https://app.tikr.com/account/subs?ref=q5ht48" xr:uid="{C17D89DF-8E5D-4842-8EA2-DDB56E2EE6CE}"/>
    <hyperlink ref="C26" r:id="rId56" display="https://app.tikr.com/account/subs?ref=q5ht48" xr:uid="{F0616CCD-443A-4870-BEC5-B2284D72699B}"/>
    <hyperlink ref="D26" r:id="rId57" display="https://app.tikr.com/account/subs?ref=q5ht48" xr:uid="{1A23AEFD-165A-4082-B718-7433FC9EFE10}"/>
    <hyperlink ref="E26" r:id="rId58" display="https://app.tikr.com/account/subs?ref=q5ht48" xr:uid="{5C638988-73BC-4CF0-845D-0675A9CB5194}"/>
    <hyperlink ref="F26" r:id="rId59" display="https://app.tikr.com/account/subs?ref=q5ht48" xr:uid="{B87F99C0-E72B-4B7B-A18E-D4E2E2C26C59}"/>
    <hyperlink ref="E31" r:id="rId60" display="https://app.tikr.com/account/subs?ref=q5ht48" xr:uid="{EB66E99D-C683-4BE4-832D-F1F11E51C863}"/>
    <hyperlink ref="F31" r:id="rId61" display="https://app.tikr.com/account/subs?ref=q5ht48" xr:uid="{2B60D23F-47A8-428B-AAA1-30A6FD6BC931}"/>
    <hyperlink ref="B33" r:id="rId62" display="https://app.tikr.com/account/subs?ref=q5ht48" xr:uid="{858EE086-C57B-497C-A574-B89971ABE27D}"/>
    <hyperlink ref="C33" r:id="rId63" display="https://app.tikr.com/account/subs?ref=q5ht48" xr:uid="{663C3285-B4F0-40AE-BC58-5EC39ECAF5A7}"/>
    <hyperlink ref="D33" r:id="rId64" display="https://app.tikr.com/account/subs?ref=q5ht48" xr:uid="{C41B4CEC-B740-4218-B722-3CD4463BCFF5}"/>
    <hyperlink ref="E33" r:id="rId65" display="https://app.tikr.com/account/subs?ref=q5ht48" xr:uid="{B9B7E73F-5418-4CC9-93EE-CCCE2DC25C7F}"/>
    <hyperlink ref="F33" r:id="rId66" display="https://app.tikr.com/account/subs?ref=q5ht48" xr:uid="{55D39746-BE8C-4E5B-AC09-38CFCF86550B}"/>
    <hyperlink ref="B34" r:id="rId67" display="https://app.tikr.com/account/subs?ref=q5ht48" xr:uid="{FB31CA3B-298A-4FA6-8C94-1A6E4F5FACD0}"/>
    <hyperlink ref="C34" r:id="rId68" display="https://app.tikr.com/account/subs?ref=q5ht48" xr:uid="{262973FD-DE44-4036-8ACC-DA03388CB115}"/>
    <hyperlink ref="D34" r:id="rId69" display="https://app.tikr.com/account/subs?ref=q5ht48" xr:uid="{B0F37120-F440-4534-A7CA-E3C85C768624}"/>
    <hyperlink ref="E34" r:id="rId70" display="https://app.tikr.com/account/subs?ref=q5ht48" xr:uid="{3A56D2E5-F37F-4F4E-8D6B-59CDD66B7A9D}"/>
    <hyperlink ref="F34" r:id="rId71" display="https://app.tikr.com/account/subs?ref=q5ht48" xr:uid="{6BFB171A-39AF-4D24-A17E-5F4AA0A70E59}"/>
    <hyperlink ref="B35" r:id="rId72" display="https://app.tikr.com/account/subs?ref=q5ht48" xr:uid="{ECCA5DDF-3D9B-4863-8E3D-25BC45DC96D5}"/>
    <hyperlink ref="C35" r:id="rId73" display="https://app.tikr.com/account/subs?ref=q5ht48" xr:uid="{7FCFD35F-592C-4C56-9944-E7549451127F}"/>
    <hyperlink ref="D35" r:id="rId74" display="https://app.tikr.com/account/subs?ref=q5ht48" xr:uid="{429531F1-4984-4AA7-B66A-0CAD54497972}"/>
    <hyperlink ref="E35" r:id="rId75" display="https://app.tikr.com/account/subs?ref=q5ht48" xr:uid="{682E9A68-0850-4FC4-914D-875AA52A462A}"/>
    <hyperlink ref="F35" r:id="rId76" display="https://app.tikr.com/account/subs?ref=q5ht48" xr:uid="{C4F2CB22-4EF7-49F5-A1F7-7E69920143BC}"/>
    <hyperlink ref="B36" r:id="rId77" display="https://app.tikr.com/account/subs?ref=q5ht48" xr:uid="{E96C8D1F-B88B-4870-BEFD-5EB27E0442B6}"/>
    <hyperlink ref="C36" r:id="rId78" display="https://app.tikr.com/account/subs?ref=q5ht48" xr:uid="{DD6109E6-F201-4FF9-AAD2-1B9242FA038A}"/>
    <hyperlink ref="D36" r:id="rId79" display="https://app.tikr.com/account/subs?ref=q5ht48" xr:uid="{69865E82-690B-42DB-875E-698F7D852E04}"/>
    <hyperlink ref="E36" r:id="rId80" display="https://app.tikr.com/account/subs?ref=q5ht48" xr:uid="{9BE4DFA1-86D0-4841-9E8C-38EC37146F05}"/>
    <hyperlink ref="F36" r:id="rId81" display="https://app.tikr.com/account/subs?ref=q5ht48" xr:uid="{A9A3EB4C-01B9-4D0C-B343-ACB8610FA377}"/>
    <hyperlink ref="C37" r:id="rId82" display="https://app.tikr.com/account/subs?ref=q5ht48" xr:uid="{F5C622BF-35B5-4596-BA74-C6A64BA0EBB2}"/>
    <hyperlink ref="F38" r:id="rId83" display="https://app.tikr.com/account/subs?ref=q5ht48" xr:uid="{E9CF82FE-A7F8-4C7B-9FAB-C696DCBE8760}"/>
    <hyperlink ref="B42" r:id="rId84" display="https://app.tikr.com/account/subs?ref=q5ht48" xr:uid="{6389AFEC-3B9E-4499-8F13-EDBD3BBB2673}"/>
    <hyperlink ref="C42" r:id="rId85" display="https://app.tikr.com/account/subs?ref=q5ht48" xr:uid="{B1734E0E-E8AA-4D10-97D8-1C669975C5A0}"/>
    <hyperlink ref="D42" r:id="rId86" display="https://app.tikr.com/account/subs?ref=q5ht48" xr:uid="{26845C68-6C8B-4BEB-9ED0-4322E2250077}"/>
    <hyperlink ref="E42" r:id="rId87" display="https://app.tikr.com/account/subs?ref=q5ht48" xr:uid="{F1747EB9-426F-4F36-80A1-1438D75EE9DB}"/>
    <hyperlink ref="F42" r:id="rId88" display="https://app.tikr.com/account/subs?ref=q5ht48" xr:uid="{65584BBD-F4DC-4A75-BA6A-21F56FF031E1}"/>
    <hyperlink ref="D43" r:id="rId89" display="https://app.tikr.com/account/subs?ref=q5ht48" xr:uid="{EE3268AB-DC07-4873-97AD-725F4F682CE4}"/>
    <hyperlink ref="E43" r:id="rId90" display="https://app.tikr.com/account/subs?ref=q5ht48" xr:uid="{F9771647-30C3-4088-8DB6-984D3D6FA7D6}"/>
    <hyperlink ref="F43" r:id="rId91" display="https://app.tikr.com/account/subs?ref=q5ht48" xr:uid="{7D81649E-3170-46BC-A0F7-F6FB02627150}"/>
    <hyperlink ref="B45" r:id="rId92" display="https://app.tikr.com/account/subs?ref=q5ht48" xr:uid="{CAE2B1BA-982A-4D83-AD7E-508B88FC243E}"/>
    <hyperlink ref="C45" r:id="rId93" display="https://app.tikr.com/account/subs?ref=q5ht48" xr:uid="{C501A991-792D-431F-BD97-72B94C9A5E86}"/>
    <hyperlink ref="D45" r:id="rId94" display="https://app.tikr.com/account/subs?ref=q5ht48" xr:uid="{CF763790-2831-4F69-B644-516FD5341B4E}"/>
    <hyperlink ref="E45" r:id="rId95" display="https://app.tikr.com/account/subs?ref=q5ht48" xr:uid="{D7C1E020-0555-4EF2-9B27-7324D0F0FFB0}"/>
    <hyperlink ref="F45" r:id="rId96" display="https://app.tikr.com/account/subs?ref=q5ht48" xr:uid="{326C8D7E-8F3E-4536-8C13-EE0250E896B2}"/>
    <hyperlink ref="B46" r:id="rId97" display="https://app.tikr.com/account/subs?ref=q5ht48" xr:uid="{78BB71BD-04AE-44DD-94A8-9CF652A186E7}"/>
    <hyperlink ref="C46" r:id="rId98" display="https://app.tikr.com/account/subs?ref=q5ht48" xr:uid="{4B5AD150-C1CB-4F87-8128-1E05B574CF24}"/>
    <hyperlink ref="D46" r:id="rId99" display="https://app.tikr.com/account/subs?ref=q5ht48" xr:uid="{5D073E9A-AD7B-4CD3-9870-3A04108AD912}"/>
    <hyperlink ref="E46" r:id="rId100" display="https://app.tikr.com/account/subs?ref=q5ht48" xr:uid="{97FD3BCE-8C6B-4758-98B1-5F5C6E5CEE0A}"/>
    <hyperlink ref="F46" r:id="rId101" display="https://app.tikr.com/account/subs?ref=q5ht48" xr:uid="{72EB640E-FE67-43E2-A13D-50073B5322CD}"/>
    <hyperlink ref="F47" r:id="rId102" display="https://app.tikr.com/account/subs?ref=q5ht48" xr:uid="{A8FBF4D3-EEFA-462C-951B-4B5243907D1A}"/>
    <hyperlink ref="B53" r:id="rId103" display="https://app.tikr.com/account/subs?ref=q5ht48" xr:uid="{316102F9-A779-4FFF-BB37-D01D1E8B4BE3}"/>
    <hyperlink ref="C53" r:id="rId104" display="https://app.tikr.com/account/subs?ref=q5ht48" xr:uid="{015A2F22-83D7-4039-8D50-7E095195E541}"/>
    <hyperlink ref="D53" r:id="rId105" display="https://app.tikr.com/account/subs?ref=q5ht48" xr:uid="{C66F99D0-E6F4-4FEA-9F31-B9A44433F4AF}"/>
    <hyperlink ref="E53" r:id="rId106" display="https://app.tikr.com/account/subs?ref=q5ht48" xr:uid="{F7759614-E655-43F7-A761-8F1A049E3392}"/>
    <hyperlink ref="F53" r:id="rId107" display="https://app.tikr.com/account/subs?ref=q5ht48" xr:uid="{C3BB4D4B-CC40-4600-B528-A02CEB9322C0}"/>
    <hyperlink ref="F54" r:id="rId108" display="https://app.tikr.com/account/subs?ref=q5ht48" xr:uid="{1B3553B5-644D-4808-8376-57DD8A2B13C3}"/>
    <hyperlink ref="B55" r:id="rId109" display="https://app.tikr.com/account/subs?ref=q5ht48" xr:uid="{370FB385-7A92-4F81-A886-9C2077969F74}"/>
    <hyperlink ref="C55" r:id="rId110" display="https://app.tikr.com/account/subs?ref=q5ht48" xr:uid="{6A29DD05-A47C-4DD6-9354-492DB3385AD5}"/>
    <hyperlink ref="D55" r:id="rId111" display="https://app.tikr.com/account/subs?ref=q5ht48" xr:uid="{03B2941E-1DD1-454E-8B40-C0A777E2540D}"/>
    <hyperlink ref="E55" r:id="rId112" display="https://app.tikr.com/account/subs?ref=q5ht48" xr:uid="{A22263D8-118A-4475-A181-CA32AED9ACAC}"/>
    <hyperlink ref="F55" r:id="rId113" display="https://app.tikr.com/account/subs?ref=q5ht48" xr:uid="{1C7FF48A-F37F-406B-8AC2-44586E80DC31}"/>
    <hyperlink ref="B61" r:id="rId114" display="https://app.tikr.com/account/subs?ref=q5ht48" xr:uid="{55164276-12BB-43E5-98B8-580FE21E5A56}"/>
    <hyperlink ref="C61" r:id="rId115" display="https://app.tikr.com/account/subs?ref=q5ht48" xr:uid="{6DEB7B20-EFF2-45E1-8EA5-967916251E36}"/>
    <hyperlink ref="D61" r:id="rId116" display="https://app.tikr.com/account/subs?ref=q5ht48" xr:uid="{53F32B46-5A5A-43DB-8CD6-93867189FD44}"/>
    <hyperlink ref="E61" r:id="rId117" display="https://app.tikr.com/account/subs?ref=q5ht48" xr:uid="{5AF6388C-2975-40B1-BB7A-91371A1A59D4}"/>
    <hyperlink ref="F61" r:id="rId118" display="https://app.tikr.com/account/subs?ref=q5ht48" xr:uid="{C4CBD5C8-5BD7-4BBB-8CCC-218E29382B22}"/>
    <hyperlink ref="B62" r:id="rId119" display="https://app.tikr.com/account/subs?ref=q5ht48" xr:uid="{A67E138E-C83D-4AA7-B24E-8F72D6633461}"/>
    <hyperlink ref="C62" r:id="rId120" display="https://app.tikr.com/account/subs?ref=q5ht48" xr:uid="{2FDA1A35-C422-4B5D-B166-7A40C2201343}"/>
    <hyperlink ref="D62" r:id="rId121" display="https://app.tikr.com/account/subs?ref=q5ht48" xr:uid="{49C55CC5-984F-4651-BB32-16BF8510C274}"/>
    <hyperlink ref="E62" r:id="rId122" display="https://app.tikr.com/account/subs?ref=q5ht48" xr:uid="{327B2F60-041A-41A8-BA3E-9FB5A1A35622}"/>
    <hyperlink ref="F62" r:id="rId123" display="https://app.tikr.com/account/subs?ref=q5ht48" xr:uid="{75287BC9-6A0A-49ED-B120-B3A11D008812}"/>
    <hyperlink ref="B63" r:id="rId124" display="https://app.tikr.com/account/subs?ref=q5ht48" xr:uid="{E093F04C-8464-4502-86F2-3A3F33C161F7}"/>
    <hyperlink ref="C63" r:id="rId125" display="https://app.tikr.com/account/subs?ref=q5ht48" xr:uid="{30FAEE8C-3F75-4BA0-84DF-6DDF66248CA1}"/>
    <hyperlink ref="D63" r:id="rId126" display="https://app.tikr.com/account/subs?ref=q5ht48" xr:uid="{81234312-FC15-4FEE-90B4-AC3E252737B5}"/>
    <hyperlink ref="E63" r:id="rId127" display="https://app.tikr.com/account/subs?ref=q5ht48" xr:uid="{0F6EF72E-CF0F-4552-B9E3-A5E6B90B1BDF}"/>
    <hyperlink ref="F63" r:id="rId128" display="https://app.tikr.com/account/subs?ref=q5ht48" xr:uid="{8A4DEB32-38E7-416A-A717-8370B49E14D2}"/>
    <hyperlink ref="B65" r:id="rId129" display="https://app.tikr.com/account/subs?ref=q5ht48" xr:uid="{17B3D562-A64A-4E20-9897-2721D4870C8D}"/>
    <hyperlink ref="C65" r:id="rId130" display="https://app.tikr.com/account/subs?ref=q5ht48" xr:uid="{35047624-9861-4341-922D-F80B2F87FF4A}"/>
    <hyperlink ref="D65" r:id="rId131" display="https://app.tikr.com/account/subs?ref=q5ht48" xr:uid="{30FDB2F1-4C15-424D-A75C-3232578060D2}"/>
    <hyperlink ref="E65" r:id="rId132" display="https://app.tikr.com/account/subs?ref=q5ht48" xr:uid="{09ADD421-D1DB-4814-9D04-410EDFC2B547}"/>
    <hyperlink ref="F65" r:id="rId133" display="https://app.tikr.com/account/subs?ref=q5ht48" xr:uid="{4241DAFB-8AFD-47E7-AF03-49447BAA9770}"/>
    <hyperlink ref="B66" r:id="rId134" display="https://app.tikr.com/account/subs?ref=q5ht48" xr:uid="{845589FC-5872-4559-BCB2-FC71C90707C6}"/>
    <hyperlink ref="C66" r:id="rId135" display="https://app.tikr.com/account/subs?ref=q5ht48" xr:uid="{92BECAD6-D72C-4A08-BDEA-6E0552ABF866}"/>
    <hyperlink ref="D66" r:id="rId136" display="https://app.tikr.com/account/subs?ref=q5ht48" xr:uid="{2B0D93DF-CB93-48AF-B4FA-A3482C6D262F}"/>
    <hyperlink ref="E66" r:id="rId137" display="https://app.tikr.com/account/subs?ref=q5ht48" xr:uid="{4D547544-8FFC-41A9-B20E-7F8DDF3A8E4B}"/>
    <hyperlink ref="F66" r:id="rId138" display="https://app.tikr.com/account/subs?ref=q5ht48" xr:uid="{067DF198-A896-4B0F-B358-5CB1737136C4}"/>
    <hyperlink ref="B68" r:id="rId139" display="https://app.tikr.com/account/subs?ref=q5ht48" xr:uid="{A3FBC27F-6DB6-4048-8702-461117A6570A}"/>
    <hyperlink ref="C68" r:id="rId140" display="https://app.tikr.com/account/subs?ref=q5ht48" xr:uid="{EBAA3930-D2AA-4E4C-B36E-9F9D8DB58FE4}"/>
    <hyperlink ref="D68" r:id="rId141" display="https://app.tikr.com/account/subs?ref=q5ht48" xr:uid="{E04EB0CC-64A4-4832-9388-AEDEBBFFC5EE}"/>
    <hyperlink ref="E68" r:id="rId142" display="https://app.tikr.com/account/subs?ref=q5ht48" xr:uid="{853AF719-1E07-427F-9A40-BD0EAB98BEE0}"/>
    <hyperlink ref="F68" r:id="rId143" display="https://app.tikr.com/account/subs?ref=q5ht48" xr:uid="{D487E3FB-CA22-4007-8E44-A551ECF7F346}"/>
    <hyperlink ref="B69" r:id="rId144" display="https://app.tikr.com/account/subs?ref=q5ht48" xr:uid="{8862B4B3-416F-46DF-872C-7922811FCC68}"/>
    <hyperlink ref="C69" r:id="rId145" display="https://app.tikr.com/account/subs?ref=q5ht48" xr:uid="{82A8CE76-C75B-486B-84AC-4A6E4B1D29EB}"/>
    <hyperlink ref="D69" r:id="rId146" display="https://app.tikr.com/account/subs?ref=q5ht48" xr:uid="{2BC0DF62-4968-40CD-941D-025E3EF2DF06}"/>
    <hyperlink ref="E69" r:id="rId147" display="https://app.tikr.com/account/subs?ref=q5ht48" xr:uid="{6338812C-AA8D-4E55-B36A-64DD366E90D6}"/>
    <hyperlink ref="F69" r:id="rId148" display="https://app.tikr.com/account/subs?ref=q5ht48" xr:uid="{A3EFFDF7-BE75-42F4-9D48-A99262595371}"/>
    <hyperlink ref="D71" r:id="rId149" display="https://app.tikr.com/account/subs?ref=q5ht48" xr:uid="{308AFB00-DB71-4B83-B321-DF0B8F8D4DDA}"/>
    <hyperlink ref="B72" r:id="rId150" display="https://app.tikr.com/account/subs?ref=q5ht48" xr:uid="{8D646AC5-1FAB-4EF6-8879-06A712568370}"/>
    <hyperlink ref="C72" r:id="rId151" display="https://app.tikr.com/account/subs?ref=q5ht48" xr:uid="{AD87F5CF-65B8-4D60-B394-67468AA29C17}"/>
    <hyperlink ref="D72" r:id="rId152" display="https://app.tikr.com/account/subs?ref=q5ht48" xr:uid="{41FD2C74-46F6-4B02-B302-279ADAB07F9D}"/>
    <hyperlink ref="E72" r:id="rId153" display="https://app.tikr.com/account/subs?ref=q5ht48" xr:uid="{D7B5903A-8D75-446B-83B0-111F62C12339}"/>
    <hyperlink ref="F72" r:id="rId154" display="https://app.tikr.com/account/subs?ref=q5ht48" xr:uid="{90F9CF7E-8179-4607-9AAF-537D570CEE31}"/>
    <hyperlink ref="B73" r:id="rId155" display="https://app.tikr.com/account/subs?ref=q5ht48" xr:uid="{9CE3A4B7-93D4-487A-9909-9B6EF5E926C7}"/>
    <hyperlink ref="C73" r:id="rId156" display="https://app.tikr.com/account/subs?ref=q5ht48" xr:uid="{E917E28D-BDE3-4CA3-8460-5F503BDE3A20}"/>
    <hyperlink ref="D73" r:id="rId157" display="https://app.tikr.com/account/subs?ref=q5ht48" xr:uid="{8A9401DD-23AB-4DD8-BB6F-27AE858983E6}"/>
    <hyperlink ref="E73" r:id="rId158" display="https://app.tikr.com/account/subs?ref=q5ht48" xr:uid="{49AF39A5-917E-46AD-9A80-8FA01C6AB22E}"/>
    <hyperlink ref="F73" r:id="rId159" display="https://app.tikr.com/account/subs?ref=q5ht48" xr:uid="{A0C068DF-C7D8-48E3-A7A2-591B22D11D3F}"/>
    <hyperlink ref="B74" r:id="rId160" display="https://app.tikr.com/account/subs?ref=q5ht48" xr:uid="{A945C11F-22CC-40BD-BE41-1ADED507DA98}"/>
    <hyperlink ref="C74" r:id="rId161" display="https://app.tikr.com/account/subs?ref=q5ht48" xr:uid="{E69FFDF9-D143-424F-AFE2-B785856B0B03}"/>
    <hyperlink ref="D74" r:id="rId162" display="https://app.tikr.com/account/subs?ref=q5ht48" xr:uid="{A2881CC7-D703-4A3D-ABE3-1166E36DAC21}"/>
    <hyperlink ref="E74" r:id="rId163" display="https://app.tikr.com/account/subs?ref=q5ht48" xr:uid="{796018A4-EA5B-45D7-BE4A-CE82AF9B640C}"/>
    <hyperlink ref="F74" r:id="rId164" display="https://app.tikr.com/account/subs?ref=q5ht48" xr:uid="{6CA018B2-615D-4FF6-86F7-490ACCAC860F}"/>
    <hyperlink ref="B75" r:id="rId165" display="https://app.tikr.com/account/subs?ref=q5ht48" xr:uid="{6F2F32E1-D05F-4665-B9BB-66C4DEACF08B}"/>
    <hyperlink ref="C75" r:id="rId166" display="https://app.tikr.com/account/subs?ref=q5ht48" xr:uid="{4A33C95A-01BD-4635-A6E7-E85EFE0C4864}"/>
    <hyperlink ref="D75" r:id="rId167" display="https://app.tikr.com/account/subs?ref=q5ht48" xr:uid="{94B5E4CF-FDF8-49D4-B479-17DCF06AB1F6}"/>
    <hyperlink ref="E75" r:id="rId168" display="https://app.tikr.com/account/subs?ref=q5ht48" xr:uid="{B25EAE4C-7936-4FF3-B823-B51A86C50DAD}"/>
    <hyperlink ref="F75" r:id="rId169" display="https://app.tikr.com/account/subs?ref=q5ht48" xr:uid="{C95F73DF-D815-48D7-9570-43E1AD26637A}"/>
    <hyperlink ref="B76" r:id="rId170" display="https://app.tikr.com/account/subs?ref=q5ht48" xr:uid="{4E84C75D-2A7B-4865-AE29-87D997D31946}"/>
    <hyperlink ref="C76" r:id="rId171" display="https://app.tikr.com/account/subs?ref=q5ht48" xr:uid="{420CBB2A-4E2F-4B8B-B321-D2B8AE96D815}"/>
    <hyperlink ref="D76" r:id="rId172" display="https://app.tikr.com/account/subs?ref=q5ht48" xr:uid="{6EAC340E-1774-4CFF-88F7-3A7E1CF9438F}"/>
    <hyperlink ref="E76" r:id="rId173" display="https://app.tikr.com/account/subs?ref=q5ht48" xr:uid="{E83D58A3-C412-450B-A7DC-D7D7A6FA832F}"/>
    <hyperlink ref="F76" r:id="rId174" display="https://app.tikr.com/account/subs?ref=q5ht48" xr:uid="{59BA1926-D439-4A36-A11E-C88803DF708D}"/>
    <hyperlink ref="F79" r:id="rId175" display="https://app.tikr.com/account/subs?ref=q5ht48" xr:uid="{F356A86F-5C0F-4E7F-8BC2-20BB7C9DD57A}"/>
    <hyperlink ref="G79" r:id="rId176" display="https://app.tikr.com/account/subs?ref=q5ht48" xr:uid="{F9E6367F-1488-4712-8092-FF1F7C2D1EAD}"/>
    <hyperlink ref="H79" r:id="rId177" display="https://app.tikr.com/account/subs?ref=q5ht48" xr:uid="{641B6602-2367-46E3-A399-372D33EFDEE7}"/>
    <hyperlink ref="I79" r:id="rId178" display="https://app.tikr.com/account/subs?ref=q5ht48" xr:uid="{2461A3D0-0D95-4F9F-ADDE-F3A1D0DC9295}"/>
    <hyperlink ref="J79" r:id="rId179" display="https://app.tikr.com/account/subs?ref=q5ht48" xr:uid="{25D53A3B-504F-4BD0-B106-5AF4098ACD2C}"/>
    <hyperlink ref="K79" r:id="rId180" display="https://app.tikr.com/account/subs?ref=q5ht48" xr:uid="{2ED5C1A4-8126-4EBE-BFEA-ECE154307006}"/>
    <hyperlink ref="F80" r:id="rId181" display="https://app.tikr.com/account/subs?ref=q5ht48" xr:uid="{A282CFB6-C81D-4EEB-932C-B7C0FF1EB598}"/>
    <hyperlink ref="I81" r:id="rId182" display="https://app.tikr.com/account/subs?ref=q5ht48" xr:uid="{C8640FBA-9FE8-4A39-9EA0-17DC70DD15C5}"/>
    <hyperlink ref="J81" r:id="rId183" display="https://app.tikr.com/account/subs?ref=q5ht48" xr:uid="{DE507ED5-2002-40E4-B85F-9CF15713D218}"/>
    <hyperlink ref="K81" r:id="rId184" display="https://app.tikr.com/account/subs?ref=q5ht48" xr:uid="{1611B49A-0067-4B2B-82D8-84E6B75746AE}"/>
    <hyperlink ref="D82" r:id="rId185" display="https://app.tikr.com/account/subs?ref=q5ht48" xr:uid="{13D4010F-91FA-4A63-9B67-3B536B8AA5D9}"/>
    <hyperlink ref="E82" r:id="rId186" display="https://app.tikr.com/account/subs?ref=q5ht48" xr:uid="{3D1D719A-24E8-4B1C-80EB-4860C6395EDE}"/>
    <hyperlink ref="F82" r:id="rId187" display="https://app.tikr.com/account/subs?ref=q5ht48" xr:uid="{133AF760-8BE2-4140-8DC5-434249DE075C}"/>
    <hyperlink ref="G82" r:id="rId188" display="https://app.tikr.com/account/subs?ref=q5ht48" xr:uid="{BFA7B4AE-97E8-4445-93EF-EC15A2654BF1}"/>
    <hyperlink ref="H82" r:id="rId189" display="https://app.tikr.com/account/subs?ref=q5ht48" xr:uid="{3A69B05D-F919-4D2E-BD25-4A862F404887}"/>
    <hyperlink ref="I82" r:id="rId190" display="https://app.tikr.com/account/subs?ref=q5ht48" xr:uid="{60256239-E89C-4859-889A-09FD51E7D726}"/>
    <hyperlink ref="J82" r:id="rId191" display="https://app.tikr.com/account/subs?ref=q5ht48" xr:uid="{CB8DB4F1-9539-4DE6-87E3-CBF10DD872E2}"/>
    <hyperlink ref="K82" r:id="rId192" display="https://app.tikr.com/account/subs?ref=q5ht48" xr:uid="{DE3F5F6A-684E-44B2-BD84-F38B46CFFF87}"/>
    <hyperlink ref="L82" r:id="rId193" display="https://app.tikr.com/account/subs?ref=q5ht48" xr:uid="{395A0E36-D0DD-48F1-9570-6A7E5B4738E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A5040-6622-44F4-935D-0CF1591A1790}">
  <sheetPr codeName="Hoja11"/>
  <dimension ref="A1:L66"/>
  <sheetViews>
    <sheetView workbookViewId="0">
      <selection sqref="A1:L66"/>
    </sheetView>
  </sheetViews>
  <sheetFormatPr baseColWidth="10" defaultRowHeight="15" x14ac:dyDescent="0.25"/>
  <sheetData>
    <row r="1" spans="1:12" x14ac:dyDescent="0.25">
      <c r="A1" s="245"/>
      <c r="B1" s="245"/>
      <c r="C1" s="245"/>
      <c r="D1" s="245"/>
      <c r="E1" s="245"/>
      <c r="F1" s="245"/>
      <c r="G1" s="245"/>
      <c r="H1" s="245"/>
      <c r="I1" s="245"/>
      <c r="J1" s="245"/>
      <c r="K1" s="245"/>
      <c r="L1" s="245"/>
    </row>
    <row r="2" spans="1:12" x14ac:dyDescent="0.25">
      <c r="A2" s="201" t="s">
        <v>850</v>
      </c>
      <c r="B2" s="202">
        <v>41274</v>
      </c>
      <c r="C2" s="202">
        <v>41639</v>
      </c>
      <c r="D2" s="202">
        <v>42004</v>
      </c>
      <c r="E2" s="202">
        <v>42369</v>
      </c>
      <c r="F2" s="202">
        <v>42735</v>
      </c>
      <c r="G2" s="202">
        <v>43100</v>
      </c>
      <c r="H2" s="202">
        <v>43465</v>
      </c>
      <c r="I2" s="202">
        <v>43830</v>
      </c>
      <c r="J2" s="202">
        <v>44196</v>
      </c>
      <c r="K2" s="202">
        <v>44561</v>
      </c>
      <c r="L2" s="201" t="s">
        <v>147</v>
      </c>
    </row>
    <row r="3" spans="1:12" x14ac:dyDescent="0.25">
      <c r="A3" s="200"/>
      <c r="B3" s="200"/>
      <c r="C3" s="200"/>
      <c r="D3" s="200"/>
      <c r="E3" s="200"/>
      <c r="F3" s="200"/>
      <c r="G3" s="200"/>
      <c r="H3" s="200"/>
      <c r="I3" s="200"/>
      <c r="J3" s="200"/>
      <c r="K3" s="200"/>
      <c r="L3" s="200"/>
    </row>
    <row r="4" spans="1:12" x14ac:dyDescent="0.25">
      <c r="A4" s="206" t="s">
        <v>5</v>
      </c>
      <c r="B4" s="205"/>
      <c r="C4" s="205"/>
      <c r="D4" s="205"/>
      <c r="E4" s="205"/>
      <c r="F4" s="205"/>
      <c r="G4" s="207" t="s">
        <v>496</v>
      </c>
      <c r="H4" s="207" t="s">
        <v>497</v>
      </c>
      <c r="I4" s="207" t="s">
        <v>498</v>
      </c>
      <c r="J4" s="207" t="s">
        <v>499</v>
      </c>
      <c r="K4" s="207" t="s">
        <v>500</v>
      </c>
      <c r="L4" s="207" t="s">
        <v>501</v>
      </c>
    </row>
    <row r="5" spans="1:12" x14ac:dyDescent="0.25">
      <c r="A5" s="203" t="s">
        <v>421</v>
      </c>
      <c r="B5" s="205"/>
      <c r="C5" s="205"/>
      <c r="D5" s="205"/>
      <c r="E5" s="205"/>
      <c r="F5" s="205"/>
      <c r="G5" s="204" t="s">
        <v>851</v>
      </c>
      <c r="H5" s="204" t="s">
        <v>852</v>
      </c>
      <c r="I5" s="204" t="s">
        <v>853</v>
      </c>
      <c r="J5" s="204" t="s">
        <v>854</v>
      </c>
      <c r="K5" s="204" t="s">
        <v>855</v>
      </c>
      <c r="L5" s="204" t="s">
        <v>856</v>
      </c>
    </row>
    <row r="6" spans="1:12" x14ac:dyDescent="0.25">
      <c r="A6" s="203" t="s">
        <v>428</v>
      </c>
      <c r="B6" s="205"/>
      <c r="C6" s="205"/>
      <c r="D6" s="205"/>
      <c r="E6" s="205"/>
      <c r="F6" s="205"/>
      <c r="G6" s="204" t="s">
        <v>799</v>
      </c>
      <c r="H6" s="204" t="s">
        <v>857</v>
      </c>
      <c r="I6" s="204" t="s">
        <v>858</v>
      </c>
      <c r="J6" s="204" t="s">
        <v>859</v>
      </c>
      <c r="K6" s="204" t="s">
        <v>860</v>
      </c>
      <c r="L6" s="204" t="s">
        <v>861</v>
      </c>
    </row>
    <row r="7" spans="1:12" x14ac:dyDescent="0.25">
      <c r="A7" s="203" t="s">
        <v>862</v>
      </c>
      <c r="B7" s="216"/>
      <c r="C7" s="216"/>
      <c r="D7" s="216"/>
      <c r="E7" s="216"/>
      <c r="F7" s="216"/>
      <c r="G7" s="216"/>
      <c r="H7" s="216"/>
      <c r="I7" s="216"/>
      <c r="J7" s="216"/>
      <c r="K7" s="216"/>
      <c r="L7" s="216"/>
    </row>
    <row r="8" spans="1:12" x14ac:dyDescent="0.25">
      <c r="A8" s="206" t="s">
        <v>863</v>
      </c>
      <c r="B8" s="205"/>
      <c r="C8" s="205"/>
      <c r="D8" s="205"/>
      <c r="E8" s="205"/>
      <c r="F8" s="205"/>
      <c r="G8" s="207" t="s">
        <v>864</v>
      </c>
      <c r="H8" s="207" t="s">
        <v>865</v>
      </c>
      <c r="I8" s="207" t="s">
        <v>866</v>
      </c>
      <c r="J8" s="207" t="s">
        <v>867</v>
      </c>
      <c r="K8" s="207" t="s">
        <v>868</v>
      </c>
      <c r="L8" s="207" t="s">
        <v>869</v>
      </c>
    </row>
    <row r="9" spans="1:12" x14ac:dyDescent="0.25">
      <c r="A9" s="203" t="s">
        <v>870</v>
      </c>
      <c r="B9" s="205"/>
      <c r="C9" s="205"/>
      <c r="D9" s="205"/>
      <c r="E9" s="205"/>
      <c r="F9" s="205"/>
      <c r="G9" s="204" t="s">
        <v>871</v>
      </c>
      <c r="H9" s="204" t="s">
        <v>872</v>
      </c>
      <c r="I9" s="204" t="s">
        <v>873</v>
      </c>
      <c r="J9" s="204" t="s">
        <v>874</v>
      </c>
      <c r="K9" s="204" t="s">
        <v>875</v>
      </c>
      <c r="L9" s="204" t="s">
        <v>876</v>
      </c>
    </row>
    <row r="10" spans="1:12" x14ac:dyDescent="0.25">
      <c r="A10" s="203" t="s">
        <v>877</v>
      </c>
      <c r="B10" s="216"/>
      <c r="C10" s="216"/>
      <c r="D10" s="216"/>
      <c r="E10" s="216"/>
      <c r="F10" s="216"/>
      <c r="G10" s="216"/>
      <c r="H10" s="216"/>
      <c r="I10" s="216"/>
      <c r="J10" s="216"/>
      <c r="K10" s="216"/>
      <c r="L10" s="216"/>
    </row>
    <row r="11" spans="1:12" x14ac:dyDescent="0.25">
      <c r="A11" s="203" t="s">
        <v>878</v>
      </c>
      <c r="B11" s="216"/>
      <c r="C11" s="216"/>
      <c r="D11" s="216"/>
      <c r="E11" s="216"/>
      <c r="F11" s="216"/>
      <c r="G11" s="216"/>
      <c r="H11" s="216"/>
      <c r="I11" s="216"/>
      <c r="J11" s="216"/>
      <c r="K11" s="216"/>
      <c r="L11" s="216"/>
    </row>
    <row r="12" spans="1:12" x14ac:dyDescent="0.25">
      <c r="A12" s="203" t="s">
        <v>879</v>
      </c>
      <c r="B12" s="216"/>
      <c r="C12" s="216"/>
      <c r="D12" s="216"/>
      <c r="E12" s="216"/>
      <c r="F12" s="216"/>
      <c r="G12" s="216"/>
      <c r="H12" s="216"/>
      <c r="I12" s="216"/>
      <c r="J12" s="216"/>
      <c r="K12" s="216"/>
      <c r="L12" s="216"/>
    </row>
    <row r="13" spans="1:12" x14ac:dyDescent="0.25">
      <c r="A13" s="203" t="s">
        <v>880</v>
      </c>
      <c r="B13" s="216"/>
      <c r="C13" s="205"/>
      <c r="D13" s="216"/>
      <c r="E13" s="205"/>
      <c r="F13" s="205"/>
      <c r="G13" s="216"/>
      <c r="H13" s="204" t="s">
        <v>881</v>
      </c>
      <c r="I13" s="211" t="s">
        <v>882</v>
      </c>
      <c r="J13" s="216"/>
      <c r="K13" s="216"/>
      <c r="L13" s="216"/>
    </row>
    <row r="14" spans="1:12" x14ac:dyDescent="0.25">
      <c r="A14" s="203" t="s">
        <v>883</v>
      </c>
      <c r="B14" s="216"/>
      <c r="C14" s="216"/>
      <c r="D14" s="216"/>
      <c r="E14" s="216"/>
      <c r="F14" s="216"/>
      <c r="G14" s="216"/>
      <c r="H14" s="216"/>
      <c r="I14" s="216"/>
      <c r="J14" s="216"/>
      <c r="K14" s="216"/>
      <c r="L14" s="216"/>
    </row>
    <row r="15" spans="1:12" x14ac:dyDescent="0.25">
      <c r="A15" s="203" t="s">
        <v>884</v>
      </c>
      <c r="B15" s="216"/>
      <c r="C15" s="216"/>
      <c r="D15" s="216"/>
      <c r="E15" s="216"/>
      <c r="F15" s="216"/>
      <c r="G15" s="216"/>
      <c r="H15" s="216"/>
      <c r="I15" s="216"/>
      <c r="J15" s="216"/>
      <c r="K15" s="216"/>
      <c r="L15" s="216"/>
    </row>
    <row r="16" spans="1:12" x14ac:dyDescent="0.25">
      <c r="A16" s="203" t="s">
        <v>885</v>
      </c>
      <c r="B16" s="216"/>
      <c r="C16" s="216"/>
      <c r="D16" s="216"/>
      <c r="E16" s="216"/>
      <c r="F16" s="216"/>
      <c r="G16" s="216"/>
      <c r="H16" s="216"/>
      <c r="I16" s="216"/>
      <c r="J16" s="216"/>
      <c r="K16" s="216"/>
      <c r="L16" s="216"/>
    </row>
    <row r="17" spans="1:12" x14ac:dyDescent="0.25">
      <c r="A17" s="203" t="s">
        <v>419</v>
      </c>
      <c r="B17" s="216"/>
      <c r="C17" s="216"/>
      <c r="D17" s="216"/>
      <c r="E17" s="216"/>
      <c r="F17" s="216"/>
      <c r="G17" s="216"/>
      <c r="H17" s="216"/>
      <c r="I17" s="216"/>
      <c r="J17" s="216"/>
      <c r="K17" s="216"/>
      <c r="L17" s="216"/>
    </row>
    <row r="18" spans="1:12" x14ac:dyDescent="0.25">
      <c r="A18" s="203" t="s">
        <v>886</v>
      </c>
      <c r="B18" s="216"/>
      <c r="C18" s="216"/>
      <c r="D18" s="216"/>
      <c r="E18" s="216"/>
      <c r="F18" s="216"/>
      <c r="G18" s="216"/>
      <c r="H18" s="216"/>
      <c r="I18" s="216"/>
      <c r="J18" s="216"/>
      <c r="K18" s="216"/>
      <c r="L18" s="216"/>
    </row>
    <row r="19" spans="1:12" x14ac:dyDescent="0.25">
      <c r="A19" s="203" t="s">
        <v>887</v>
      </c>
      <c r="B19" s="216"/>
      <c r="C19" s="216"/>
      <c r="D19" s="216"/>
      <c r="E19" s="216"/>
      <c r="F19" s="216"/>
      <c r="G19" s="216"/>
      <c r="H19" s="216"/>
      <c r="I19" s="216"/>
      <c r="J19" s="216"/>
      <c r="K19" s="216"/>
      <c r="L19" s="216"/>
    </row>
    <row r="20" spans="1:12" x14ac:dyDescent="0.25">
      <c r="A20" s="203" t="s">
        <v>888</v>
      </c>
      <c r="B20" s="216"/>
      <c r="C20" s="216"/>
      <c r="D20" s="216"/>
      <c r="E20" s="216"/>
      <c r="F20" s="216"/>
      <c r="G20" s="216"/>
      <c r="H20" s="216"/>
      <c r="I20" s="216"/>
      <c r="J20" s="216"/>
      <c r="K20" s="216"/>
      <c r="L20" s="216"/>
    </row>
    <row r="21" spans="1:12" x14ac:dyDescent="0.25">
      <c r="A21" s="203" t="s">
        <v>889</v>
      </c>
      <c r="B21" s="205"/>
      <c r="C21" s="205"/>
      <c r="D21" s="205"/>
      <c r="E21" s="205"/>
      <c r="F21" s="205"/>
      <c r="G21" s="204" t="s">
        <v>890</v>
      </c>
      <c r="H21" s="204" t="s">
        <v>688</v>
      </c>
      <c r="I21" s="204" t="s">
        <v>891</v>
      </c>
      <c r="J21" s="204" t="s">
        <v>892</v>
      </c>
      <c r="K21" s="204" t="s">
        <v>893</v>
      </c>
      <c r="L21" s="211" t="s">
        <v>894</v>
      </c>
    </row>
    <row r="22" spans="1:12" x14ac:dyDescent="0.25">
      <c r="A22" s="203" t="s">
        <v>895</v>
      </c>
      <c r="B22" s="216"/>
      <c r="C22" s="216"/>
      <c r="D22" s="216"/>
      <c r="E22" s="216"/>
      <c r="F22" s="216"/>
      <c r="G22" s="216"/>
      <c r="H22" s="216"/>
      <c r="I22" s="216"/>
      <c r="J22" s="216"/>
      <c r="K22" s="216"/>
      <c r="L22" s="216"/>
    </row>
    <row r="23" spans="1:12" x14ac:dyDescent="0.25">
      <c r="A23" s="203" t="s">
        <v>896</v>
      </c>
      <c r="B23" s="205"/>
      <c r="C23" s="216"/>
      <c r="D23" s="216"/>
      <c r="E23" s="205"/>
      <c r="F23" s="205"/>
      <c r="G23" s="211" t="s">
        <v>897</v>
      </c>
      <c r="H23" s="211" t="s">
        <v>898</v>
      </c>
      <c r="I23" s="211" t="s">
        <v>899</v>
      </c>
      <c r="J23" s="211" t="s">
        <v>900</v>
      </c>
      <c r="K23" s="211" t="s">
        <v>901</v>
      </c>
      <c r="L23" s="211" t="s">
        <v>902</v>
      </c>
    </row>
    <row r="24" spans="1:12" x14ac:dyDescent="0.25">
      <c r="A24" s="203" t="s">
        <v>903</v>
      </c>
      <c r="B24" s="216"/>
      <c r="C24" s="216"/>
      <c r="D24" s="216"/>
      <c r="E24" s="216"/>
      <c r="F24" s="216"/>
      <c r="G24" s="216"/>
      <c r="H24" s="216"/>
      <c r="I24" s="216"/>
      <c r="J24" s="216"/>
      <c r="K24" s="216"/>
      <c r="L24" s="216"/>
    </row>
    <row r="25" spans="1:12" x14ac:dyDescent="0.25">
      <c r="A25" s="203" t="s">
        <v>904</v>
      </c>
      <c r="B25" s="205"/>
      <c r="C25" s="216"/>
      <c r="D25" s="216"/>
      <c r="E25" s="205"/>
      <c r="F25" s="205"/>
      <c r="G25" s="204" t="s">
        <v>905</v>
      </c>
      <c r="H25" s="211" t="s">
        <v>906</v>
      </c>
      <c r="I25" s="204" t="s">
        <v>907</v>
      </c>
      <c r="J25" s="211" t="s">
        <v>908</v>
      </c>
      <c r="K25" s="211" t="s">
        <v>909</v>
      </c>
      <c r="L25" s="204" t="s">
        <v>910</v>
      </c>
    </row>
    <row r="26" spans="1:12" x14ac:dyDescent="0.25">
      <c r="A26" s="203" t="s">
        <v>911</v>
      </c>
      <c r="B26" s="216"/>
      <c r="C26" s="216"/>
      <c r="D26" s="216"/>
      <c r="E26" s="216"/>
      <c r="F26" s="216"/>
      <c r="G26" s="216"/>
      <c r="H26" s="216"/>
      <c r="I26" s="216"/>
      <c r="J26" s="216"/>
      <c r="K26" s="216"/>
      <c r="L26" s="216"/>
    </row>
    <row r="27" spans="1:12" x14ac:dyDescent="0.25">
      <c r="A27" s="203" t="s">
        <v>912</v>
      </c>
      <c r="B27" s="216"/>
      <c r="C27" s="216"/>
      <c r="D27" s="216"/>
      <c r="E27" s="216"/>
      <c r="F27" s="216"/>
      <c r="G27" s="216"/>
      <c r="H27" s="216"/>
      <c r="I27" s="216"/>
      <c r="J27" s="216"/>
      <c r="K27" s="216"/>
      <c r="L27" s="216"/>
    </row>
    <row r="28" spans="1:12" x14ac:dyDescent="0.25">
      <c r="A28" s="203" t="s">
        <v>913</v>
      </c>
      <c r="B28" s="216"/>
      <c r="C28" s="216"/>
      <c r="D28" s="216"/>
      <c r="E28" s="216"/>
      <c r="F28" s="216"/>
      <c r="G28" s="216"/>
      <c r="H28" s="216"/>
      <c r="I28" s="216"/>
      <c r="J28" s="216"/>
      <c r="K28" s="216"/>
      <c r="L28" s="216"/>
    </row>
    <row r="29" spans="1:12" ht="15.75" thickBot="1" x14ac:dyDescent="0.3">
      <c r="A29" s="203" t="s">
        <v>914</v>
      </c>
      <c r="B29" s="216"/>
      <c r="C29" s="205"/>
      <c r="D29" s="205"/>
      <c r="E29" s="205"/>
      <c r="F29" s="205"/>
      <c r="G29" s="204" t="s">
        <v>915</v>
      </c>
      <c r="H29" s="204" t="s">
        <v>916</v>
      </c>
      <c r="I29" s="204" t="s">
        <v>917</v>
      </c>
      <c r="J29" s="211" t="s">
        <v>918</v>
      </c>
      <c r="K29" s="211" t="s">
        <v>919</v>
      </c>
      <c r="L29" s="211" t="s">
        <v>920</v>
      </c>
    </row>
    <row r="30" spans="1:12" ht="15.75" thickTop="1" x14ac:dyDescent="0.25">
      <c r="A30" s="212" t="s">
        <v>921</v>
      </c>
      <c r="B30" s="214"/>
      <c r="C30" s="214"/>
      <c r="D30" s="214"/>
      <c r="E30" s="214"/>
      <c r="F30" s="214"/>
      <c r="G30" s="213" t="s">
        <v>922</v>
      </c>
      <c r="H30" s="213" t="s">
        <v>923</v>
      </c>
      <c r="I30" s="213" t="s">
        <v>924</v>
      </c>
      <c r="J30" s="213" t="s">
        <v>925</v>
      </c>
      <c r="K30" s="213" t="s">
        <v>926</v>
      </c>
      <c r="L30" s="213" t="s">
        <v>927</v>
      </c>
    </row>
    <row r="31" spans="1:12" x14ac:dyDescent="0.25">
      <c r="A31" s="217" t="s">
        <v>928</v>
      </c>
      <c r="B31" s="205"/>
      <c r="C31" s="205"/>
      <c r="D31" s="205"/>
      <c r="E31" s="205"/>
      <c r="F31" s="205"/>
      <c r="G31" s="218" t="s">
        <v>929</v>
      </c>
      <c r="H31" s="218" t="s">
        <v>930</v>
      </c>
      <c r="I31" s="218" t="s">
        <v>931</v>
      </c>
      <c r="J31" s="218" t="s">
        <v>932</v>
      </c>
      <c r="K31" s="218" t="s">
        <v>933</v>
      </c>
      <c r="L31" s="218" t="s">
        <v>934</v>
      </c>
    </row>
    <row r="32" spans="1:12" x14ac:dyDescent="0.25">
      <c r="A32" s="203" t="s">
        <v>935</v>
      </c>
      <c r="B32" s="205"/>
      <c r="C32" s="205"/>
      <c r="D32" s="205"/>
      <c r="E32" s="205"/>
      <c r="F32" s="205"/>
      <c r="G32" s="211" t="s">
        <v>936</v>
      </c>
      <c r="H32" s="211" t="s">
        <v>937</v>
      </c>
      <c r="I32" s="211" t="s">
        <v>938</v>
      </c>
      <c r="J32" s="211" t="s">
        <v>939</v>
      </c>
      <c r="K32" s="211" t="s">
        <v>940</v>
      </c>
      <c r="L32" s="211" t="s">
        <v>941</v>
      </c>
    </row>
    <row r="33" spans="1:12" x14ac:dyDescent="0.25">
      <c r="A33" s="203" t="s">
        <v>942</v>
      </c>
      <c r="B33" s="216"/>
      <c r="C33" s="216"/>
      <c r="D33" s="216"/>
      <c r="E33" s="216"/>
      <c r="F33" s="216"/>
      <c r="G33" s="216"/>
      <c r="H33" s="216"/>
      <c r="I33" s="216"/>
      <c r="J33" s="216"/>
      <c r="K33" s="216"/>
      <c r="L33" s="216"/>
    </row>
    <row r="34" spans="1:12" x14ac:dyDescent="0.25">
      <c r="A34" s="203" t="s">
        <v>943</v>
      </c>
      <c r="B34" s="216"/>
      <c r="C34" s="216"/>
      <c r="D34" s="216"/>
      <c r="E34" s="216"/>
      <c r="F34" s="216"/>
      <c r="G34" s="216"/>
      <c r="H34" s="216"/>
      <c r="I34" s="211" t="s">
        <v>944</v>
      </c>
      <c r="J34" s="204" t="s">
        <v>945</v>
      </c>
      <c r="K34" s="211" t="s">
        <v>946</v>
      </c>
      <c r="L34" s="211" t="s">
        <v>947</v>
      </c>
    </row>
    <row r="35" spans="1:12" x14ac:dyDescent="0.25">
      <c r="A35" s="203" t="s">
        <v>948</v>
      </c>
      <c r="B35" s="216"/>
      <c r="C35" s="216"/>
      <c r="D35" s="216"/>
      <c r="E35" s="216"/>
      <c r="F35" s="216"/>
      <c r="G35" s="216"/>
      <c r="H35" s="216"/>
      <c r="I35" s="216"/>
      <c r="J35" s="216"/>
      <c r="K35" s="216"/>
      <c r="L35" s="216"/>
    </row>
    <row r="36" spans="1:12" x14ac:dyDescent="0.25">
      <c r="A36" s="203" t="s">
        <v>949</v>
      </c>
      <c r="B36" s="216"/>
      <c r="C36" s="216"/>
      <c r="D36" s="216"/>
      <c r="E36" s="216"/>
      <c r="F36" s="216"/>
      <c r="G36" s="216"/>
      <c r="H36" s="216"/>
      <c r="I36" s="216"/>
      <c r="J36" s="216"/>
      <c r="K36" s="216"/>
      <c r="L36" s="216"/>
    </row>
    <row r="37" spans="1:12" x14ac:dyDescent="0.25">
      <c r="A37" s="203" t="s">
        <v>950</v>
      </c>
      <c r="B37" s="205"/>
      <c r="C37" s="205"/>
      <c r="D37" s="205"/>
      <c r="E37" s="205"/>
      <c r="F37" s="205"/>
      <c r="G37" s="211" t="s">
        <v>951</v>
      </c>
      <c r="H37" s="211" t="s">
        <v>952</v>
      </c>
      <c r="I37" s="211" t="s">
        <v>953</v>
      </c>
      <c r="J37" s="211" t="s">
        <v>954</v>
      </c>
      <c r="K37" s="211" t="s">
        <v>955</v>
      </c>
      <c r="L37" s="211" t="s">
        <v>956</v>
      </c>
    </row>
    <row r="38" spans="1:12" x14ac:dyDescent="0.25">
      <c r="A38" s="203" t="s">
        <v>957</v>
      </c>
      <c r="B38" s="216"/>
      <c r="C38" s="216"/>
      <c r="D38" s="216"/>
      <c r="E38" s="216"/>
      <c r="F38" s="216"/>
      <c r="G38" s="216"/>
      <c r="H38" s="216"/>
      <c r="I38" s="216"/>
      <c r="J38" s="216"/>
      <c r="K38" s="216"/>
      <c r="L38" s="216"/>
    </row>
    <row r="39" spans="1:12" x14ac:dyDescent="0.25">
      <c r="A39" s="203" t="s">
        <v>958</v>
      </c>
      <c r="B39" s="216"/>
      <c r="C39" s="216"/>
      <c r="D39" s="216"/>
      <c r="E39" s="216"/>
      <c r="F39" s="216"/>
      <c r="G39" s="216"/>
      <c r="H39" s="216"/>
      <c r="I39" s="216"/>
      <c r="J39" s="216"/>
      <c r="K39" s="216"/>
      <c r="L39" s="216"/>
    </row>
    <row r="40" spans="1:12" ht="15.75" thickBot="1" x14ac:dyDescent="0.3">
      <c r="A40" s="203" t="s">
        <v>959</v>
      </c>
      <c r="B40" s="205"/>
      <c r="C40" s="216"/>
      <c r="D40" s="216"/>
      <c r="E40" s="205"/>
      <c r="F40" s="205"/>
      <c r="G40" s="211" t="s">
        <v>960</v>
      </c>
      <c r="H40" s="204" t="s">
        <v>961</v>
      </c>
      <c r="I40" s="211" t="s">
        <v>962</v>
      </c>
      <c r="J40" s="211" t="s">
        <v>963</v>
      </c>
      <c r="K40" s="211" t="s">
        <v>964</v>
      </c>
      <c r="L40" s="211" t="s">
        <v>965</v>
      </c>
    </row>
    <row r="41" spans="1:12" ht="15.75" thickTop="1" x14ac:dyDescent="0.25">
      <c r="A41" s="212" t="s">
        <v>966</v>
      </c>
      <c r="B41" s="214"/>
      <c r="C41" s="214"/>
      <c r="D41" s="214"/>
      <c r="E41" s="214"/>
      <c r="F41" s="214"/>
      <c r="G41" s="215" t="s">
        <v>967</v>
      </c>
      <c r="H41" s="215" t="s">
        <v>968</v>
      </c>
      <c r="I41" s="215" t="s">
        <v>969</v>
      </c>
      <c r="J41" s="213" t="s">
        <v>970</v>
      </c>
      <c r="K41" s="215" t="s">
        <v>971</v>
      </c>
      <c r="L41" s="215" t="s">
        <v>972</v>
      </c>
    </row>
    <row r="42" spans="1:12" x14ac:dyDescent="0.25">
      <c r="A42" s="203" t="s">
        <v>973</v>
      </c>
      <c r="B42" s="216"/>
      <c r="C42" s="216"/>
      <c r="D42" s="205"/>
      <c r="E42" s="216"/>
      <c r="F42" s="205"/>
      <c r="G42" s="216"/>
      <c r="H42" s="216"/>
      <c r="I42" s="216"/>
      <c r="J42" s="216"/>
      <c r="K42" s="216"/>
      <c r="L42" s="216"/>
    </row>
    <row r="43" spans="1:12" x14ac:dyDescent="0.25">
      <c r="A43" s="203" t="s">
        <v>974</v>
      </c>
      <c r="B43" s="205"/>
      <c r="C43" s="205"/>
      <c r="D43" s="216"/>
      <c r="E43" s="216"/>
      <c r="F43" s="205"/>
      <c r="G43" s="211" t="s">
        <v>975</v>
      </c>
      <c r="H43" s="211" t="s">
        <v>976</v>
      </c>
      <c r="I43" s="211" t="s">
        <v>977</v>
      </c>
      <c r="J43" s="211" t="s">
        <v>978</v>
      </c>
      <c r="K43" s="211" t="s">
        <v>979</v>
      </c>
      <c r="L43" s="211" t="s">
        <v>980</v>
      </c>
    </row>
    <row r="44" spans="1:12" x14ac:dyDescent="0.25">
      <c r="A44" s="203" t="s">
        <v>981</v>
      </c>
      <c r="B44" s="216"/>
      <c r="C44" s="216"/>
      <c r="D44" s="216"/>
      <c r="E44" s="205"/>
      <c r="F44" s="205"/>
      <c r="G44" s="216"/>
      <c r="H44" s="216"/>
      <c r="I44" s="204" t="s">
        <v>982</v>
      </c>
      <c r="J44" s="216"/>
      <c r="K44" s="204" t="s">
        <v>983</v>
      </c>
      <c r="L44" s="216"/>
    </row>
    <row r="45" spans="1:12" x14ac:dyDescent="0.25">
      <c r="A45" s="203" t="s">
        <v>984</v>
      </c>
      <c r="B45" s="216"/>
      <c r="C45" s="216"/>
      <c r="D45" s="216"/>
      <c r="E45" s="216"/>
      <c r="F45" s="216"/>
      <c r="G45" s="216"/>
      <c r="H45" s="216"/>
      <c r="I45" s="216"/>
      <c r="J45" s="211" t="s">
        <v>985</v>
      </c>
      <c r="K45" s="211" t="s">
        <v>986</v>
      </c>
      <c r="L45" s="211" t="s">
        <v>987</v>
      </c>
    </row>
    <row r="46" spans="1:12" x14ac:dyDescent="0.25">
      <c r="A46" s="203" t="s">
        <v>988</v>
      </c>
      <c r="B46" s="216"/>
      <c r="C46" s="216"/>
      <c r="D46" s="216"/>
      <c r="E46" s="216"/>
      <c r="F46" s="216"/>
      <c r="G46" s="216"/>
      <c r="H46" s="216"/>
      <c r="I46" s="216"/>
      <c r="J46" s="216"/>
      <c r="K46" s="216"/>
      <c r="L46" s="216"/>
    </row>
    <row r="47" spans="1:12" x14ac:dyDescent="0.25">
      <c r="A47" s="203" t="s">
        <v>989</v>
      </c>
      <c r="B47" s="216"/>
      <c r="C47" s="216"/>
      <c r="D47" s="216"/>
      <c r="E47" s="216"/>
      <c r="F47" s="216"/>
      <c r="G47" s="216"/>
      <c r="H47" s="216"/>
      <c r="I47" s="216"/>
      <c r="J47" s="216"/>
      <c r="K47" s="216"/>
      <c r="L47" s="216"/>
    </row>
    <row r="48" spans="1:12" x14ac:dyDescent="0.25">
      <c r="A48" s="203" t="s">
        <v>990</v>
      </c>
      <c r="B48" s="205"/>
      <c r="C48" s="205"/>
      <c r="D48" s="205"/>
      <c r="E48" s="216"/>
      <c r="F48" s="205"/>
      <c r="G48" s="211" t="s">
        <v>991</v>
      </c>
      <c r="H48" s="211" t="s">
        <v>992</v>
      </c>
      <c r="I48" s="211" t="s">
        <v>993</v>
      </c>
      <c r="J48" s="211" t="s">
        <v>994</v>
      </c>
      <c r="K48" s="211" t="s">
        <v>995</v>
      </c>
      <c r="L48" s="211" t="s">
        <v>996</v>
      </c>
    </row>
    <row r="49" spans="1:12" x14ac:dyDescent="0.25">
      <c r="A49" s="203" t="s">
        <v>997</v>
      </c>
      <c r="B49" s="216"/>
      <c r="C49" s="216"/>
      <c r="D49" s="216"/>
      <c r="E49" s="216"/>
      <c r="F49" s="216"/>
      <c r="G49" s="216"/>
      <c r="H49" s="216"/>
      <c r="I49" s="216"/>
      <c r="J49" s="216"/>
      <c r="K49" s="216"/>
      <c r="L49" s="216"/>
    </row>
    <row r="50" spans="1:12" x14ac:dyDescent="0.25">
      <c r="A50" s="203" t="s">
        <v>998</v>
      </c>
      <c r="B50" s="205"/>
      <c r="C50" s="205"/>
      <c r="D50" s="205"/>
      <c r="E50" s="216"/>
      <c r="F50" s="205"/>
      <c r="G50" s="211" t="s">
        <v>991</v>
      </c>
      <c r="H50" s="211" t="s">
        <v>992</v>
      </c>
      <c r="I50" s="211" t="s">
        <v>993</v>
      </c>
      <c r="J50" s="211" t="s">
        <v>994</v>
      </c>
      <c r="K50" s="211" t="s">
        <v>995</v>
      </c>
      <c r="L50" s="211" t="s">
        <v>996</v>
      </c>
    </row>
    <row r="51" spans="1:12" x14ac:dyDescent="0.25">
      <c r="A51" s="203" t="s">
        <v>999</v>
      </c>
      <c r="B51" s="216"/>
      <c r="C51" s="216"/>
      <c r="D51" s="216"/>
      <c r="E51" s="216"/>
      <c r="F51" s="216"/>
      <c r="G51" s="216"/>
      <c r="H51" s="216"/>
      <c r="I51" s="216"/>
      <c r="J51" s="216"/>
      <c r="K51" s="216"/>
      <c r="L51" s="216"/>
    </row>
    <row r="52" spans="1:12" ht="15.75" thickBot="1" x14ac:dyDescent="0.3">
      <c r="A52" s="203" t="s">
        <v>1000</v>
      </c>
      <c r="B52" s="205"/>
      <c r="C52" s="216"/>
      <c r="D52" s="216"/>
      <c r="E52" s="216"/>
      <c r="F52" s="216"/>
      <c r="G52" s="216"/>
      <c r="H52" s="204" t="s">
        <v>512</v>
      </c>
      <c r="I52" s="211" t="s">
        <v>1001</v>
      </c>
      <c r="J52" s="204" t="s">
        <v>1002</v>
      </c>
      <c r="K52" s="204" t="s">
        <v>1003</v>
      </c>
      <c r="L52" s="211" t="s">
        <v>1004</v>
      </c>
    </row>
    <row r="53" spans="1:12" ht="15.75" thickTop="1" x14ac:dyDescent="0.25">
      <c r="A53" s="212" t="s">
        <v>1005</v>
      </c>
      <c r="B53" s="214"/>
      <c r="C53" s="214"/>
      <c r="D53" s="214"/>
      <c r="E53" s="214"/>
      <c r="F53" s="214"/>
      <c r="G53" s="215" t="s">
        <v>1006</v>
      </c>
      <c r="H53" s="215" t="s">
        <v>1007</v>
      </c>
      <c r="I53" s="215" t="s">
        <v>1008</v>
      </c>
      <c r="J53" s="215" t="s">
        <v>1009</v>
      </c>
      <c r="K53" s="215" t="s">
        <v>1010</v>
      </c>
      <c r="L53" s="215" t="s">
        <v>1011</v>
      </c>
    </row>
    <row r="54" spans="1:12" x14ac:dyDescent="0.25">
      <c r="A54" s="203" t="s">
        <v>1012</v>
      </c>
      <c r="B54" s="205"/>
      <c r="C54" s="205"/>
      <c r="D54" s="205"/>
      <c r="E54" s="205"/>
      <c r="F54" s="205"/>
      <c r="G54" s="211" t="s">
        <v>1013</v>
      </c>
      <c r="H54" s="211" t="s">
        <v>1014</v>
      </c>
      <c r="I54" s="204" t="s">
        <v>1015</v>
      </c>
      <c r="J54" s="211" t="s">
        <v>1016</v>
      </c>
      <c r="K54" s="204" t="s">
        <v>1017</v>
      </c>
      <c r="L54" s="204" t="s">
        <v>1018</v>
      </c>
    </row>
    <row r="55" spans="1:12" ht="15.75" thickBot="1" x14ac:dyDescent="0.3">
      <c r="A55" s="203" t="s">
        <v>1019</v>
      </c>
      <c r="B55" s="205"/>
      <c r="C55" s="216"/>
      <c r="D55" s="216"/>
      <c r="E55" s="216"/>
      <c r="F55" s="216"/>
      <c r="G55" s="216"/>
      <c r="H55" s="216"/>
      <c r="I55" s="216"/>
      <c r="J55" s="216"/>
      <c r="K55" s="216"/>
      <c r="L55" s="216"/>
    </row>
    <row r="56" spans="1:12" ht="15.75" thickTop="1" x14ac:dyDescent="0.25">
      <c r="A56" s="212" t="s">
        <v>1020</v>
      </c>
      <c r="B56" s="214"/>
      <c r="C56" s="214"/>
      <c r="D56" s="214"/>
      <c r="E56" s="214"/>
      <c r="F56" s="214"/>
      <c r="G56" s="213" t="s">
        <v>1021</v>
      </c>
      <c r="H56" s="213" t="s">
        <v>1022</v>
      </c>
      <c r="I56" s="213" t="s">
        <v>1023</v>
      </c>
      <c r="J56" s="213" t="s">
        <v>1024</v>
      </c>
      <c r="K56" s="213" t="s">
        <v>1025</v>
      </c>
      <c r="L56" s="215" t="s">
        <v>1026</v>
      </c>
    </row>
    <row r="57" spans="1:12" x14ac:dyDescent="0.25">
      <c r="A57" s="208" t="s">
        <v>305</v>
      </c>
      <c r="B57" s="200"/>
      <c r="C57" s="200"/>
      <c r="D57" s="200"/>
      <c r="E57" s="200"/>
      <c r="F57" s="200"/>
      <c r="G57" s="200"/>
      <c r="H57" s="200"/>
      <c r="I57" s="200"/>
      <c r="J57" s="200"/>
      <c r="K57" s="200"/>
      <c r="L57" s="200"/>
    </row>
    <row r="58" spans="1:12" x14ac:dyDescent="0.25">
      <c r="A58" s="206" t="s">
        <v>11</v>
      </c>
      <c r="B58" s="205"/>
      <c r="C58" s="205"/>
      <c r="D58" s="205"/>
      <c r="E58" s="205"/>
      <c r="F58" s="205"/>
      <c r="G58" s="207" t="s">
        <v>1027</v>
      </c>
      <c r="H58" s="207" t="s">
        <v>1028</v>
      </c>
      <c r="I58" s="207" t="s">
        <v>1029</v>
      </c>
      <c r="J58" s="207" t="s">
        <v>1030</v>
      </c>
      <c r="K58" s="207" t="s">
        <v>1031</v>
      </c>
      <c r="L58" s="207" t="s">
        <v>1032</v>
      </c>
    </row>
    <row r="59" spans="1:12" x14ac:dyDescent="0.25">
      <c r="A59" s="208" t="s">
        <v>156</v>
      </c>
      <c r="B59" s="210"/>
      <c r="C59" s="205"/>
      <c r="D59" s="205"/>
      <c r="E59" s="205"/>
      <c r="F59" s="205"/>
      <c r="G59" s="205"/>
      <c r="H59" s="209" t="s">
        <v>1033</v>
      </c>
      <c r="I59" s="209" t="s">
        <v>1034</v>
      </c>
      <c r="J59" s="209" t="s">
        <v>1035</v>
      </c>
      <c r="K59" s="209" t="s">
        <v>1036</v>
      </c>
      <c r="L59" s="210"/>
    </row>
    <row r="60" spans="1:12" x14ac:dyDescent="0.25">
      <c r="A60" s="208" t="s">
        <v>1037</v>
      </c>
      <c r="B60" s="205"/>
      <c r="C60" s="205"/>
      <c r="D60" s="205"/>
      <c r="E60" s="205"/>
      <c r="F60" s="205"/>
      <c r="G60" s="209" t="s">
        <v>1038</v>
      </c>
      <c r="H60" s="209" t="s">
        <v>1039</v>
      </c>
      <c r="I60" s="209" t="s">
        <v>1040</v>
      </c>
      <c r="J60" s="209" t="s">
        <v>1041</v>
      </c>
      <c r="K60" s="209" t="s">
        <v>1042</v>
      </c>
      <c r="L60" s="209" t="s">
        <v>1043</v>
      </c>
    </row>
    <row r="61" spans="1:12" x14ac:dyDescent="0.25">
      <c r="A61" s="203" t="s">
        <v>1044</v>
      </c>
      <c r="B61" s="205"/>
      <c r="C61" s="205"/>
      <c r="D61" s="205"/>
      <c r="E61" s="205"/>
      <c r="F61" s="205"/>
      <c r="G61" s="204" t="s">
        <v>1045</v>
      </c>
      <c r="H61" s="204" t="s">
        <v>1046</v>
      </c>
      <c r="I61" s="204" t="s">
        <v>1047</v>
      </c>
      <c r="J61" s="204" t="s">
        <v>1048</v>
      </c>
      <c r="K61" s="204" t="s">
        <v>1049</v>
      </c>
      <c r="L61" s="204" t="s">
        <v>1050</v>
      </c>
    </row>
    <row r="62" spans="1:12" x14ac:dyDescent="0.25">
      <c r="A62" s="203" t="s">
        <v>1051</v>
      </c>
      <c r="B62" s="205"/>
      <c r="C62" s="205"/>
      <c r="D62" s="205"/>
      <c r="E62" s="205"/>
      <c r="F62" s="205"/>
      <c r="G62" s="204" t="s">
        <v>586</v>
      </c>
      <c r="H62" s="204" t="s">
        <v>587</v>
      </c>
      <c r="I62" s="204" t="s">
        <v>588</v>
      </c>
      <c r="J62" s="204" t="s">
        <v>589</v>
      </c>
      <c r="K62" s="204" t="s">
        <v>590</v>
      </c>
      <c r="L62" s="204" t="s">
        <v>591</v>
      </c>
    </row>
    <row r="63" spans="1:12" x14ac:dyDescent="0.25">
      <c r="A63" s="203" t="s">
        <v>1052</v>
      </c>
      <c r="B63" s="205"/>
      <c r="C63" s="205"/>
      <c r="D63" s="216"/>
      <c r="E63" s="205"/>
      <c r="F63" s="205"/>
      <c r="G63" s="204" t="s">
        <v>539</v>
      </c>
      <c r="H63" s="204" t="s">
        <v>1053</v>
      </c>
      <c r="I63" s="204" t="s">
        <v>540</v>
      </c>
      <c r="J63" s="204" t="s">
        <v>830</v>
      </c>
      <c r="K63" s="204" t="s">
        <v>1054</v>
      </c>
      <c r="L63" s="204" t="s">
        <v>1055</v>
      </c>
    </row>
    <row r="64" spans="1:12" x14ac:dyDescent="0.25">
      <c r="A64" s="203" t="s">
        <v>1056</v>
      </c>
      <c r="B64" s="205"/>
      <c r="C64" s="205"/>
      <c r="D64" s="205"/>
      <c r="E64" s="205"/>
      <c r="F64" s="205"/>
      <c r="G64" s="204" t="s">
        <v>1057</v>
      </c>
      <c r="H64" s="204" t="s">
        <v>1058</v>
      </c>
      <c r="I64" s="204" t="s">
        <v>1059</v>
      </c>
      <c r="J64" s="204" t="s">
        <v>1060</v>
      </c>
      <c r="K64" s="204" t="s">
        <v>1061</v>
      </c>
      <c r="L64" s="204" t="s">
        <v>1062</v>
      </c>
    </row>
    <row r="65" spans="1:12" x14ac:dyDescent="0.25">
      <c r="A65" s="203" t="s">
        <v>1063</v>
      </c>
      <c r="B65" s="216"/>
      <c r="C65" s="216"/>
      <c r="D65" s="216"/>
      <c r="E65" s="216"/>
      <c r="F65" s="216"/>
      <c r="G65" s="216"/>
      <c r="H65" s="216"/>
      <c r="I65" s="216"/>
      <c r="J65" s="216"/>
      <c r="K65" s="216"/>
      <c r="L65" s="216"/>
    </row>
    <row r="66" spans="1:12" x14ac:dyDescent="0.25">
      <c r="A66" s="203" t="s">
        <v>1064</v>
      </c>
      <c r="B66" s="216"/>
      <c r="C66" s="205"/>
      <c r="D66" s="205"/>
      <c r="E66" s="205"/>
      <c r="F66" s="205"/>
      <c r="G66" s="204" t="s">
        <v>1065</v>
      </c>
      <c r="H66" s="204" t="s">
        <v>1066</v>
      </c>
      <c r="I66" s="204" t="s">
        <v>307</v>
      </c>
      <c r="J66" s="204" t="s">
        <v>1067</v>
      </c>
      <c r="K66" s="204" t="s">
        <v>1068</v>
      </c>
      <c r="L66" s="204" t="s">
        <v>1069</v>
      </c>
    </row>
  </sheetData>
  <mergeCells count="1">
    <mergeCell ref="A1:L1"/>
  </mergeCells>
  <hyperlinks>
    <hyperlink ref="B4" r:id="rId1" display="https://app.tikr.com/account/subs?ref=q5ht48" xr:uid="{84CFCC0F-F9DC-46F0-A7B4-9DD41A243BB2}"/>
    <hyperlink ref="C4" r:id="rId2" display="https://app.tikr.com/account/subs?ref=q5ht48" xr:uid="{563AA721-39D1-4057-AB9C-265061A2DBB9}"/>
    <hyperlink ref="D4" r:id="rId3" display="https://app.tikr.com/account/subs?ref=q5ht48" xr:uid="{EE85416E-8402-4F7C-BCA3-B47D95712815}"/>
    <hyperlink ref="E4" r:id="rId4" display="https://app.tikr.com/account/subs?ref=q5ht48" xr:uid="{5A0205BB-6AA2-459D-B3BF-0E93143443DE}"/>
    <hyperlink ref="F4" r:id="rId5" display="https://app.tikr.com/account/subs?ref=q5ht48" xr:uid="{4F7F832D-BBFF-4048-92B1-C3985AE42FB3}"/>
    <hyperlink ref="B5" r:id="rId6" display="https://app.tikr.com/account/subs?ref=q5ht48" xr:uid="{51AD5341-9972-47A7-B422-E9FD8BDF2A65}"/>
    <hyperlink ref="C5" r:id="rId7" display="https://app.tikr.com/account/subs?ref=q5ht48" xr:uid="{2AACA809-2AC0-4024-BFC5-82EC132998E3}"/>
    <hyperlink ref="D5" r:id="rId8" display="https://app.tikr.com/account/subs?ref=q5ht48" xr:uid="{69379DAB-D65D-4F4A-B7AB-B6C05121A76F}"/>
    <hyperlink ref="E5" r:id="rId9" display="https://app.tikr.com/account/subs?ref=q5ht48" xr:uid="{B2416740-B19F-4ACF-AACB-2C703F70B333}"/>
    <hyperlink ref="F5" r:id="rId10" display="https://app.tikr.com/account/subs?ref=q5ht48" xr:uid="{4EC77AF0-CD48-4470-9517-D20A1124A1F6}"/>
    <hyperlink ref="B6" r:id="rId11" display="https://app.tikr.com/account/subs?ref=q5ht48" xr:uid="{99D83EC0-1DD2-4325-9C3E-AF385F2142EC}"/>
    <hyperlink ref="C6" r:id="rId12" display="https://app.tikr.com/account/subs?ref=q5ht48" xr:uid="{E878145F-9535-43C6-B40E-3B0E7BBAA435}"/>
    <hyperlink ref="D6" r:id="rId13" display="https://app.tikr.com/account/subs?ref=q5ht48" xr:uid="{E1781CD3-093A-4DAF-907F-7B33D2BB141E}"/>
    <hyperlink ref="E6" r:id="rId14" display="https://app.tikr.com/account/subs?ref=q5ht48" xr:uid="{BE7882EC-DAFD-4D71-92E4-9B354ABD3C1A}"/>
    <hyperlink ref="F6" r:id="rId15" display="https://app.tikr.com/account/subs?ref=q5ht48" xr:uid="{02C3A8D4-E909-474C-9CD1-37784DDBAD9D}"/>
    <hyperlink ref="B8" r:id="rId16" display="https://app.tikr.com/account/subs?ref=q5ht48" xr:uid="{50D86C5F-5A0A-4B0A-9774-7BD07D8BF39A}"/>
    <hyperlink ref="C8" r:id="rId17" display="https://app.tikr.com/account/subs?ref=q5ht48" xr:uid="{4FA1A02E-2F47-4E8B-AAC7-C47285AAE90C}"/>
    <hyperlink ref="D8" r:id="rId18" display="https://app.tikr.com/account/subs?ref=q5ht48" xr:uid="{1798882B-8158-48FA-9758-1E4D36D52A84}"/>
    <hyperlink ref="E8" r:id="rId19" display="https://app.tikr.com/account/subs?ref=q5ht48" xr:uid="{81C0EBEE-C6A1-4873-A730-B2BAF5AD1546}"/>
    <hyperlink ref="F8" r:id="rId20" display="https://app.tikr.com/account/subs?ref=q5ht48" xr:uid="{3A30B362-BD4B-44A3-A46B-1B9B1E95CB72}"/>
    <hyperlink ref="B9" r:id="rId21" display="https://app.tikr.com/account/subs?ref=q5ht48" xr:uid="{9395CBA3-4456-404C-B3E4-3B92F5CBBE74}"/>
    <hyperlink ref="C9" r:id="rId22" display="https://app.tikr.com/account/subs?ref=q5ht48" xr:uid="{59CC818D-56C1-4869-89BA-D5BC21B41152}"/>
    <hyperlink ref="D9" r:id="rId23" display="https://app.tikr.com/account/subs?ref=q5ht48" xr:uid="{4404F248-992C-4A7F-A4CE-D8F918B3002C}"/>
    <hyperlink ref="E9" r:id="rId24" display="https://app.tikr.com/account/subs?ref=q5ht48" xr:uid="{D75A9111-2941-4C17-8D35-6C6B13A21987}"/>
    <hyperlink ref="F9" r:id="rId25" display="https://app.tikr.com/account/subs?ref=q5ht48" xr:uid="{D4D2FDFD-85D3-4BA6-A408-0846BB42AF85}"/>
    <hyperlink ref="C13" r:id="rId26" display="https://app.tikr.com/account/subs?ref=q5ht48" xr:uid="{175EB8C3-E7D0-4445-B0FA-B72E7EB7C0F7}"/>
    <hyperlink ref="E13" r:id="rId27" display="https://app.tikr.com/account/subs?ref=q5ht48" xr:uid="{62AFFEE1-64FE-450E-85DE-9BE15BF10638}"/>
    <hyperlink ref="F13" r:id="rId28" display="https://app.tikr.com/account/subs?ref=q5ht48" xr:uid="{7D392BBC-50E8-4E17-BA4C-AFCDA3ADDE39}"/>
    <hyperlink ref="B21" r:id="rId29" display="https://app.tikr.com/account/subs?ref=q5ht48" xr:uid="{4AE1C549-9541-49E8-A411-EE137ABB13FA}"/>
    <hyperlink ref="C21" r:id="rId30" display="https://app.tikr.com/account/subs?ref=q5ht48" xr:uid="{C7A88D9A-CD2F-4ACA-90BA-7B796AFA95E4}"/>
    <hyperlink ref="D21" r:id="rId31" display="https://app.tikr.com/account/subs?ref=q5ht48" xr:uid="{EA151B7F-B9FE-4D0F-8840-5BAEFA21E32C}"/>
    <hyperlink ref="E21" r:id="rId32" display="https://app.tikr.com/account/subs?ref=q5ht48" xr:uid="{14A3DB2D-F731-43F0-A592-781884BE5434}"/>
    <hyperlink ref="F21" r:id="rId33" display="https://app.tikr.com/account/subs?ref=q5ht48" xr:uid="{6513EEA1-96FC-4D34-BFB0-DEC7A70BD7B7}"/>
    <hyperlink ref="B23" r:id="rId34" display="https://app.tikr.com/account/subs?ref=q5ht48" xr:uid="{95C7554C-7E78-407F-A056-65369874FE51}"/>
    <hyperlink ref="E23" r:id="rId35" display="https://app.tikr.com/account/subs?ref=q5ht48" xr:uid="{9B2422D0-DFF6-4817-BA0B-B3FD1B1843B3}"/>
    <hyperlink ref="F23" r:id="rId36" display="https://app.tikr.com/account/subs?ref=q5ht48" xr:uid="{7CBBBE22-D90A-406D-BE05-CC9030E64331}"/>
    <hyperlink ref="B25" r:id="rId37" display="https://app.tikr.com/account/subs?ref=q5ht48" xr:uid="{9B900D28-BD83-46EA-9A80-8EF78FC8A7E8}"/>
    <hyperlink ref="E25" r:id="rId38" display="https://app.tikr.com/account/subs?ref=q5ht48" xr:uid="{073B9E50-92CB-4E4A-B789-2C1BF18FC769}"/>
    <hyperlink ref="F25" r:id="rId39" display="https://app.tikr.com/account/subs?ref=q5ht48" xr:uid="{485D7D21-749F-4307-B1E7-82B34E13652F}"/>
    <hyperlink ref="C29" r:id="rId40" display="https://app.tikr.com/account/subs?ref=q5ht48" xr:uid="{432E8732-A2FD-402B-A5D7-5DBF2039EAC7}"/>
    <hyperlink ref="D29" r:id="rId41" display="https://app.tikr.com/account/subs?ref=q5ht48" xr:uid="{C32985A7-F6BA-44C3-8362-ADEA9FB699DA}"/>
    <hyperlink ref="E29" r:id="rId42" display="https://app.tikr.com/account/subs?ref=q5ht48" xr:uid="{B068B0C1-B510-49C9-8B31-29A9CA1AA393}"/>
    <hyperlink ref="F29" r:id="rId43" display="https://app.tikr.com/account/subs?ref=q5ht48" xr:uid="{F994A005-5301-47ED-97FF-3B2D6991AF04}"/>
    <hyperlink ref="B30" r:id="rId44" display="https://app.tikr.com/account/subs?ref=q5ht48" xr:uid="{C7E794CD-7502-4091-9EFA-391F30C2FBB8}"/>
    <hyperlink ref="C30" r:id="rId45" display="https://app.tikr.com/account/subs?ref=q5ht48" xr:uid="{249AB5F4-5111-4A45-822B-99ACACEE798D}"/>
    <hyperlink ref="D30" r:id="rId46" display="https://app.tikr.com/account/subs?ref=q5ht48" xr:uid="{62CBC7F1-E52F-4537-B16C-26F9960E3DA4}"/>
    <hyperlink ref="E30" r:id="rId47" display="https://app.tikr.com/account/subs?ref=q5ht48" xr:uid="{E2E586C1-62D5-41A6-B7AE-86DA3FC98573}"/>
    <hyperlink ref="F30" r:id="rId48" display="https://app.tikr.com/account/subs?ref=q5ht48" xr:uid="{BEEF3361-4F64-4688-9AE0-0911AF89D670}"/>
    <hyperlink ref="B31" r:id="rId49" display="https://app.tikr.com/account/subs?ref=q5ht48" xr:uid="{634E9F22-F2B2-477E-930A-89DAE19ABD8E}"/>
    <hyperlink ref="C31" r:id="rId50" display="https://app.tikr.com/account/subs?ref=q5ht48" xr:uid="{F37CD0BF-7368-4A5D-8BC3-F9AE56625DCC}"/>
    <hyperlink ref="D31" r:id="rId51" display="https://app.tikr.com/account/subs?ref=q5ht48" xr:uid="{9968F18A-4761-400D-A67E-BFB816CCA783}"/>
    <hyperlink ref="E31" r:id="rId52" display="https://app.tikr.com/account/subs?ref=q5ht48" xr:uid="{271AB3F1-3307-4C1A-BA65-7C69B10A7269}"/>
    <hyperlink ref="F31" r:id="rId53" display="https://app.tikr.com/account/subs?ref=q5ht48" xr:uid="{3F3BB8BC-3FF5-4C35-8041-062852F4DE16}"/>
    <hyperlink ref="B32" r:id="rId54" display="https://app.tikr.com/account/subs?ref=q5ht48" xr:uid="{4CD0CFA1-7E4F-4E6A-B029-3C14CFD41FD4}"/>
    <hyperlink ref="C32" r:id="rId55" display="https://app.tikr.com/account/subs?ref=q5ht48" xr:uid="{0F6D29C6-180C-448A-A570-F5E9CB0BEE48}"/>
    <hyperlink ref="D32" r:id="rId56" display="https://app.tikr.com/account/subs?ref=q5ht48" xr:uid="{E5795DBC-99E8-4DCF-8D66-090ADCDF9BF0}"/>
    <hyperlink ref="E32" r:id="rId57" display="https://app.tikr.com/account/subs?ref=q5ht48" xr:uid="{3B304D49-96CE-4B6A-A559-B6298CDF22EF}"/>
    <hyperlink ref="F32" r:id="rId58" display="https://app.tikr.com/account/subs?ref=q5ht48" xr:uid="{83605F06-86F4-4446-84E3-0D7241EE4D86}"/>
    <hyperlink ref="B37" r:id="rId59" display="https://app.tikr.com/account/subs?ref=q5ht48" xr:uid="{7521F01A-8D2E-4498-8A73-B31494AC36C5}"/>
    <hyperlink ref="C37" r:id="rId60" display="https://app.tikr.com/account/subs?ref=q5ht48" xr:uid="{44491C32-1B1C-4BAB-AB27-73E3280BA0DA}"/>
    <hyperlink ref="D37" r:id="rId61" display="https://app.tikr.com/account/subs?ref=q5ht48" xr:uid="{1A6ED241-9288-4EE3-9FC4-BD252E32BB45}"/>
    <hyperlink ref="E37" r:id="rId62" display="https://app.tikr.com/account/subs?ref=q5ht48" xr:uid="{A2BD3358-3C1E-4621-90E4-9D0D9948DB64}"/>
    <hyperlink ref="F37" r:id="rId63" display="https://app.tikr.com/account/subs?ref=q5ht48" xr:uid="{E02F631E-CDF9-455D-8FC0-6D51756AE4BE}"/>
    <hyperlink ref="B40" r:id="rId64" display="https://app.tikr.com/account/subs?ref=q5ht48" xr:uid="{7731B828-3342-4DAE-9AB4-BC2F2DC76C31}"/>
    <hyperlink ref="E40" r:id="rId65" display="https://app.tikr.com/account/subs?ref=q5ht48" xr:uid="{4A776399-0166-45FE-97C2-41E18C498594}"/>
    <hyperlink ref="F40" r:id="rId66" display="https://app.tikr.com/account/subs?ref=q5ht48" xr:uid="{F35A00DB-DACF-4D01-A9BE-97E2D2747F73}"/>
    <hyperlink ref="B41" r:id="rId67" display="https://app.tikr.com/account/subs?ref=q5ht48" xr:uid="{74F12CE2-B64A-41A2-83A1-11106A6CD474}"/>
    <hyperlink ref="C41" r:id="rId68" display="https://app.tikr.com/account/subs?ref=q5ht48" xr:uid="{0081CDE0-9990-4D43-BF03-0F82B09ADE98}"/>
    <hyperlink ref="D41" r:id="rId69" display="https://app.tikr.com/account/subs?ref=q5ht48" xr:uid="{476973BE-A416-4269-89DD-81D7266A836E}"/>
    <hyperlink ref="E41" r:id="rId70" display="https://app.tikr.com/account/subs?ref=q5ht48" xr:uid="{33F9D72E-9E11-43B8-8327-DDAC4A731DCC}"/>
    <hyperlink ref="F41" r:id="rId71" display="https://app.tikr.com/account/subs?ref=q5ht48" xr:uid="{E1EDFB9D-7AA6-4B09-BDCA-55AA3A5D000A}"/>
    <hyperlink ref="D42" r:id="rId72" display="https://app.tikr.com/account/subs?ref=q5ht48" xr:uid="{C7131C6C-6B03-426D-BDB7-F5E5CB6F4462}"/>
    <hyperlink ref="F42" r:id="rId73" display="https://app.tikr.com/account/subs?ref=q5ht48" xr:uid="{8068F4D5-73B9-4D16-8E8F-F989C3263724}"/>
    <hyperlink ref="B43" r:id="rId74" display="https://app.tikr.com/account/subs?ref=q5ht48" xr:uid="{D33CCA51-1C0F-4FF6-8782-D9E0FCEFC7DB}"/>
    <hyperlink ref="C43" r:id="rId75" display="https://app.tikr.com/account/subs?ref=q5ht48" xr:uid="{0905451E-4B71-4691-BBA3-56917FA49669}"/>
    <hyperlink ref="F43" r:id="rId76" display="https://app.tikr.com/account/subs?ref=q5ht48" xr:uid="{4D3AB8B6-881F-4547-82D1-D9DBD83952E2}"/>
    <hyperlink ref="E44" r:id="rId77" display="https://app.tikr.com/account/subs?ref=q5ht48" xr:uid="{48334DEA-9790-4CAF-9F98-640F543C2591}"/>
    <hyperlink ref="F44" r:id="rId78" display="https://app.tikr.com/account/subs?ref=q5ht48" xr:uid="{6C88459A-F243-4D25-8D5D-34140DBBBA68}"/>
    <hyperlink ref="B48" r:id="rId79" display="https://app.tikr.com/account/subs?ref=q5ht48" xr:uid="{88F31BDA-073E-40C3-9784-DB7B7E22D22E}"/>
    <hyperlink ref="C48" r:id="rId80" display="https://app.tikr.com/account/subs?ref=q5ht48" xr:uid="{7CF7F1F3-36E7-406A-815A-510B3F8FFC00}"/>
    <hyperlink ref="D48" r:id="rId81" display="https://app.tikr.com/account/subs?ref=q5ht48" xr:uid="{8D58538F-F76E-4CFD-9099-10985AEA4F4B}"/>
    <hyperlink ref="F48" r:id="rId82" display="https://app.tikr.com/account/subs?ref=q5ht48" xr:uid="{894CCFD8-2063-4550-B4AA-01F2E5A2BFF9}"/>
    <hyperlink ref="B50" r:id="rId83" display="https://app.tikr.com/account/subs?ref=q5ht48" xr:uid="{4F17AE35-A1E2-4C18-9E31-EC5AEA6AAC5B}"/>
    <hyperlink ref="C50" r:id="rId84" display="https://app.tikr.com/account/subs?ref=q5ht48" xr:uid="{6A0FA5EA-2726-4983-A091-029D41E1857B}"/>
    <hyperlink ref="D50" r:id="rId85" display="https://app.tikr.com/account/subs?ref=q5ht48" xr:uid="{805CFB89-2160-433F-B73D-8BAF59889B85}"/>
    <hyperlink ref="F50" r:id="rId86" display="https://app.tikr.com/account/subs?ref=q5ht48" xr:uid="{7863508E-C809-4261-B53B-F87B18895782}"/>
    <hyperlink ref="B52" r:id="rId87" display="https://app.tikr.com/account/subs?ref=q5ht48" xr:uid="{31E4822F-C3B2-48B4-91E0-ABC838649649}"/>
    <hyperlink ref="B53" r:id="rId88" display="https://app.tikr.com/account/subs?ref=q5ht48" xr:uid="{C6BCCAED-1DBE-466D-8526-BFDBC4DFA961}"/>
    <hyperlink ref="C53" r:id="rId89" display="https://app.tikr.com/account/subs?ref=q5ht48" xr:uid="{272525FF-4F2A-4C4D-BCC4-D95A606BF6B6}"/>
    <hyperlink ref="D53" r:id="rId90" display="https://app.tikr.com/account/subs?ref=q5ht48" xr:uid="{9C0FD244-853E-4783-89E1-CBC01AC6E95D}"/>
    <hyperlink ref="E53" r:id="rId91" display="https://app.tikr.com/account/subs?ref=q5ht48" xr:uid="{F6BDA6BE-14F8-4DA8-8D84-74C3F93744D4}"/>
    <hyperlink ref="F53" r:id="rId92" display="https://app.tikr.com/account/subs?ref=q5ht48" xr:uid="{D889350E-31CD-47A7-A1B0-F26FC76B101F}"/>
    <hyperlink ref="B54" r:id="rId93" display="https://app.tikr.com/account/subs?ref=q5ht48" xr:uid="{0E435BE0-E9D1-4C79-928B-EE501750C254}"/>
    <hyperlink ref="C54" r:id="rId94" display="https://app.tikr.com/account/subs?ref=q5ht48" xr:uid="{440AE46C-CCF7-4877-9B52-2A443618174F}"/>
    <hyperlink ref="D54" r:id="rId95" display="https://app.tikr.com/account/subs?ref=q5ht48" xr:uid="{9D8E8802-642C-44B7-A924-5CD7BC2443E8}"/>
    <hyperlink ref="E54" r:id="rId96" display="https://app.tikr.com/account/subs?ref=q5ht48" xr:uid="{5228FB00-EC45-42A8-B944-E945FFFDB1A8}"/>
    <hyperlink ref="F54" r:id="rId97" display="https://app.tikr.com/account/subs?ref=q5ht48" xr:uid="{47699E18-969D-48B9-9A6D-D7FD8103963A}"/>
    <hyperlink ref="B55" r:id="rId98" display="https://app.tikr.com/account/subs?ref=q5ht48" xr:uid="{524E26FD-E9FB-4930-8BAE-FAAA79CBA19F}"/>
    <hyperlink ref="B56" r:id="rId99" display="https://app.tikr.com/account/subs?ref=q5ht48" xr:uid="{DB043574-044B-4CC8-8B49-403AB39096F1}"/>
    <hyperlink ref="C56" r:id="rId100" display="https://app.tikr.com/account/subs?ref=q5ht48" xr:uid="{867A53B0-7B48-4401-A0BF-17C602C9B562}"/>
    <hyperlink ref="D56" r:id="rId101" display="https://app.tikr.com/account/subs?ref=q5ht48" xr:uid="{B0D4DCFE-1B33-44DD-A147-FA06632D8301}"/>
    <hyperlink ref="E56" r:id="rId102" display="https://app.tikr.com/account/subs?ref=q5ht48" xr:uid="{40F1CFBA-F182-4BF4-B200-6A6E223723A5}"/>
    <hyperlink ref="F56" r:id="rId103" display="https://app.tikr.com/account/subs?ref=q5ht48" xr:uid="{2F923BFC-5A90-40F7-BF5F-BC7517CC84E7}"/>
    <hyperlink ref="B58" r:id="rId104" display="https://app.tikr.com/account/subs?ref=q5ht48" xr:uid="{5EE01972-4300-46B1-9CE3-7621D8039EA8}"/>
    <hyperlink ref="C58" r:id="rId105" display="https://app.tikr.com/account/subs?ref=q5ht48" xr:uid="{D17D8859-986D-4D7C-81CB-8854960DE73E}"/>
    <hyperlink ref="D58" r:id="rId106" display="https://app.tikr.com/account/subs?ref=q5ht48" xr:uid="{155A8767-7994-45E7-B017-547BF378B924}"/>
    <hyperlink ref="E58" r:id="rId107" display="https://app.tikr.com/account/subs?ref=q5ht48" xr:uid="{FCCC3943-66EA-47BA-A742-C275EAA89A90}"/>
    <hyperlink ref="F58" r:id="rId108" display="https://app.tikr.com/account/subs?ref=q5ht48" xr:uid="{EC996D9D-8978-497C-8585-978FECE2C45F}"/>
    <hyperlink ref="C59" r:id="rId109" display="https://app.tikr.com/account/subs?ref=q5ht48" xr:uid="{DACB70F5-04ED-428B-860D-ECFCB844B2C9}"/>
    <hyperlink ref="D59" r:id="rId110" display="https://app.tikr.com/account/subs?ref=q5ht48" xr:uid="{0E39DC84-B1D4-436A-92CF-28BC1BDB29C1}"/>
    <hyperlink ref="E59" r:id="rId111" display="https://app.tikr.com/account/subs?ref=q5ht48" xr:uid="{C387DDA6-AAD7-4D25-8F64-5F77B3031CE5}"/>
    <hyperlink ref="F59" r:id="rId112" display="https://app.tikr.com/account/subs?ref=q5ht48" xr:uid="{B8BF87A6-BA74-4F6B-A0D9-B814EFE4A501}"/>
    <hyperlink ref="G59" r:id="rId113" display="https://app.tikr.com/account/subs?ref=q5ht48" xr:uid="{FA02192B-4267-4BF2-96CC-8A84EDCF0C78}"/>
    <hyperlink ref="B60" r:id="rId114" display="https://app.tikr.com/account/subs?ref=q5ht48" xr:uid="{24D11178-3063-42C2-9EFE-F6C647AC9B37}"/>
    <hyperlink ref="C60" r:id="rId115" display="https://app.tikr.com/account/subs?ref=q5ht48" xr:uid="{4226C04C-5330-48F3-ADC5-9BE536E776A2}"/>
    <hyperlink ref="D60" r:id="rId116" display="https://app.tikr.com/account/subs?ref=q5ht48" xr:uid="{B358DA06-B578-4687-871A-794C8DAF6D25}"/>
    <hyperlink ref="E60" r:id="rId117" display="https://app.tikr.com/account/subs?ref=q5ht48" xr:uid="{39438D57-DE31-409F-8267-42C53CA11DE6}"/>
    <hyperlink ref="F60" r:id="rId118" display="https://app.tikr.com/account/subs?ref=q5ht48" xr:uid="{2F01C5E4-FF4C-4BDD-BD04-8BBC99185330}"/>
    <hyperlink ref="B61" r:id="rId119" display="https://app.tikr.com/account/subs?ref=q5ht48" xr:uid="{361C28D5-99FF-433D-88AC-669D50E08763}"/>
    <hyperlink ref="C61" r:id="rId120" display="https://app.tikr.com/account/subs?ref=q5ht48" xr:uid="{E041EB17-40DC-438A-A757-E6AFD135304E}"/>
    <hyperlink ref="D61" r:id="rId121" display="https://app.tikr.com/account/subs?ref=q5ht48" xr:uid="{D2660257-EC47-4FFA-B918-5B60D9D8656E}"/>
    <hyperlink ref="E61" r:id="rId122" display="https://app.tikr.com/account/subs?ref=q5ht48" xr:uid="{0BAF7893-D6C3-43B4-A322-B1E808B5CF0E}"/>
    <hyperlink ref="F61" r:id="rId123" display="https://app.tikr.com/account/subs?ref=q5ht48" xr:uid="{83EC1A54-9A0F-4877-93E7-5A44022E93F8}"/>
    <hyperlink ref="B62" r:id="rId124" display="https://app.tikr.com/account/subs?ref=q5ht48" xr:uid="{71417EE6-B15D-443A-A90C-2CD3E6CA425C}"/>
    <hyperlink ref="C62" r:id="rId125" display="https://app.tikr.com/account/subs?ref=q5ht48" xr:uid="{7463EDAF-986C-45E3-B485-C7E8380F3025}"/>
    <hyperlink ref="D62" r:id="rId126" display="https://app.tikr.com/account/subs?ref=q5ht48" xr:uid="{229608BC-3C0A-4B02-81E7-E3E4F8117597}"/>
    <hyperlink ref="E62" r:id="rId127" display="https://app.tikr.com/account/subs?ref=q5ht48" xr:uid="{3FA3020D-41ED-452E-8D5F-B6D340337E6B}"/>
    <hyperlink ref="F62" r:id="rId128" display="https://app.tikr.com/account/subs?ref=q5ht48" xr:uid="{D2C9E888-8709-4FFB-8FC7-0A410B836949}"/>
    <hyperlink ref="B63" r:id="rId129" display="https://app.tikr.com/account/subs?ref=q5ht48" xr:uid="{31B88FD0-893E-461D-9451-92CE8EEAE68B}"/>
    <hyperlink ref="C63" r:id="rId130" display="https://app.tikr.com/account/subs?ref=q5ht48" xr:uid="{EF5F8F73-B9B4-46EA-AB84-869C73A96B28}"/>
    <hyperlink ref="E63" r:id="rId131" display="https://app.tikr.com/account/subs?ref=q5ht48" xr:uid="{B4AD16DC-EB97-4250-B68B-8FEC3F0FC644}"/>
    <hyperlink ref="F63" r:id="rId132" display="https://app.tikr.com/account/subs?ref=q5ht48" xr:uid="{FB07EECA-C9AE-4450-891A-8EE7C8342BBC}"/>
    <hyperlink ref="B64" r:id="rId133" display="https://app.tikr.com/account/subs?ref=q5ht48" xr:uid="{B52116AE-4EAB-41BA-A64A-DDDA5A8C4987}"/>
    <hyperlink ref="C64" r:id="rId134" display="https://app.tikr.com/account/subs?ref=q5ht48" xr:uid="{B486E687-ADC8-4074-B347-4182DE07DAC7}"/>
    <hyperlink ref="D64" r:id="rId135" display="https://app.tikr.com/account/subs?ref=q5ht48" xr:uid="{712D245E-C8AF-4720-B818-7DB61AD826D0}"/>
    <hyperlink ref="E64" r:id="rId136" display="https://app.tikr.com/account/subs?ref=q5ht48" xr:uid="{4D9D0BFD-9FAB-4EE9-9AD9-162FC1A4D81E}"/>
    <hyperlink ref="F64" r:id="rId137" display="https://app.tikr.com/account/subs?ref=q5ht48" xr:uid="{F2CBE1A0-7272-48FA-B457-D97B208D4856}"/>
    <hyperlink ref="C66" r:id="rId138" display="https://app.tikr.com/account/subs?ref=q5ht48" xr:uid="{01F62A27-6497-4E8A-9BE8-74CF3EC14353}"/>
    <hyperlink ref="D66" r:id="rId139" display="https://app.tikr.com/account/subs?ref=q5ht48" xr:uid="{3F0ABCF1-D943-4DFD-838D-B2ACAC119B5F}"/>
    <hyperlink ref="E66" r:id="rId140" display="https://app.tikr.com/account/subs?ref=q5ht48" xr:uid="{0BB586DE-5854-425A-B370-8D3079BDEF79}"/>
    <hyperlink ref="F66" r:id="rId141" display="https://app.tikr.com/account/subs?ref=q5ht48" xr:uid="{4DE21BC7-E6F7-41DC-9B8B-1E7B385BCA5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28BF4-5D7C-477A-AE14-235C4BFEAE19}">
  <sheetPr codeName="Hoja12"/>
  <dimension ref="A1"/>
  <sheetViews>
    <sheetView workbookViewId="0"/>
  </sheetViews>
  <sheetFormatPr baseColWidth="10"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F2:Q38"/>
  <sheetViews>
    <sheetView workbookViewId="0">
      <selection activeCell="I5" sqref="I5"/>
    </sheetView>
  </sheetViews>
  <sheetFormatPr baseColWidth="10" defaultRowHeight="15" x14ac:dyDescent="0.25"/>
  <cols>
    <col min="1" max="5" width="11.42578125" style="8"/>
    <col min="6" max="6" width="11.42578125" style="8" customWidth="1"/>
    <col min="7" max="7" width="2.28515625" style="8" customWidth="1"/>
    <col min="8" max="8" width="19.42578125" style="8" bestFit="1" customWidth="1"/>
    <col min="9" max="15" width="11.42578125" style="8"/>
    <col min="16" max="16" width="21.5703125" style="8" customWidth="1"/>
    <col min="17" max="17" width="2.140625" style="8" customWidth="1"/>
    <col min="18" max="16384" width="11.42578125" style="8"/>
  </cols>
  <sheetData>
    <row r="2" spans="6:17" x14ac:dyDescent="0.25">
      <c r="G2" s="91"/>
      <c r="H2" s="57"/>
      <c r="I2" s="57"/>
      <c r="J2" s="57"/>
      <c r="K2" s="57"/>
      <c r="L2" s="57"/>
      <c r="M2" s="57"/>
      <c r="N2" s="57"/>
      <c r="O2" s="57"/>
      <c r="P2" s="57"/>
      <c r="Q2" s="59"/>
    </row>
    <row r="3" spans="6:17" x14ac:dyDescent="0.25">
      <c r="G3" s="37"/>
      <c r="H3" s="92" t="s">
        <v>68</v>
      </c>
      <c r="I3" s="92" t="s">
        <v>71</v>
      </c>
      <c r="J3" s="92"/>
      <c r="K3" s="92"/>
      <c r="L3" s="92"/>
      <c r="M3" s="92"/>
      <c r="N3" s="92"/>
      <c r="O3" s="92"/>
      <c r="P3" s="92"/>
      <c r="Q3" s="38"/>
    </row>
    <row r="4" spans="6:17" x14ac:dyDescent="0.25">
      <c r="G4" s="37"/>
      <c r="H4" s="92" t="s">
        <v>69</v>
      </c>
      <c r="I4" s="92" t="s">
        <v>70</v>
      </c>
      <c r="J4" s="92"/>
      <c r="K4" s="92"/>
      <c r="L4" s="92"/>
      <c r="M4" s="92"/>
      <c r="N4" s="92"/>
      <c r="O4" s="92"/>
      <c r="P4" s="92"/>
      <c r="Q4" s="38"/>
    </row>
    <row r="5" spans="6:17" x14ac:dyDescent="0.25">
      <c r="G5" s="37"/>
      <c r="H5" s="92" t="s">
        <v>72</v>
      </c>
      <c r="I5" s="92" t="s">
        <v>73</v>
      </c>
      <c r="J5" s="92"/>
      <c r="K5" s="92"/>
      <c r="L5" s="92"/>
      <c r="M5" s="92"/>
      <c r="N5" s="92"/>
      <c r="O5" s="92"/>
      <c r="P5" s="92"/>
      <c r="Q5" s="38"/>
    </row>
    <row r="6" spans="6:17" x14ac:dyDescent="0.25">
      <c r="G6" s="37"/>
      <c r="H6" s="92" t="s">
        <v>74</v>
      </c>
      <c r="I6" s="92" t="s">
        <v>75</v>
      </c>
      <c r="J6" s="92"/>
      <c r="K6" s="92"/>
      <c r="L6" s="92"/>
      <c r="M6" s="92"/>
      <c r="N6" s="92"/>
      <c r="O6" s="92"/>
      <c r="P6" s="92"/>
      <c r="Q6" s="38"/>
    </row>
    <row r="7" spans="6:17" x14ac:dyDescent="0.25">
      <c r="G7" s="37"/>
      <c r="H7" s="92" t="s">
        <v>78</v>
      </c>
      <c r="I7" s="92" t="s">
        <v>79</v>
      </c>
      <c r="J7" s="92"/>
      <c r="K7" s="92"/>
      <c r="L7" s="92"/>
      <c r="M7" s="92"/>
      <c r="N7" s="92"/>
      <c r="O7" s="92"/>
      <c r="P7" s="92"/>
      <c r="Q7" s="38"/>
    </row>
    <row r="8" spans="6:17" x14ac:dyDescent="0.25">
      <c r="F8" s="90"/>
      <c r="G8" s="37"/>
      <c r="H8" s="92"/>
      <c r="I8" s="92"/>
      <c r="J8" s="92"/>
      <c r="K8" s="92"/>
      <c r="L8" s="92"/>
      <c r="M8" s="92"/>
      <c r="N8" s="92"/>
      <c r="O8" s="92"/>
      <c r="P8" s="92"/>
      <c r="Q8" s="38"/>
    </row>
    <row r="9" spans="6:17" x14ac:dyDescent="0.25">
      <c r="G9" s="37"/>
      <c r="H9" s="92"/>
      <c r="I9" s="92"/>
      <c r="J9" s="92"/>
      <c r="K9" s="92"/>
      <c r="L9" s="92"/>
      <c r="M9" s="92"/>
      <c r="N9" s="92"/>
      <c r="O9" s="92"/>
      <c r="P9" s="92"/>
      <c r="Q9" s="38"/>
    </row>
    <row r="10" spans="6:17" x14ac:dyDescent="0.25">
      <c r="G10" s="37"/>
      <c r="H10" s="92"/>
      <c r="I10" s="92"/>
      <c r="J10" s="92"/>
      <c r="K10" s="92"/>
      <c r="L10" s="92"/>
      <c r="M10" s="92"/>
      <c r="N10" s="92"/>
      <c r="O10" s="92"/>
      <c r="P10" s="92"/>
      <c r="Q10" s="38"/>
    </row>
    <row r="11" spans="6:17" x14ac:dyDescent="0.25">
      <c r="G11" s="37"/>
      <c r="H11" s="92"/>
      <c r="I11" s="92"/>
      <c r="J11" s="92"/>
      <c r="K11" s="92"/>
      <c r="L11" s="92"/>
      <c r="M11" s="92"/>
      <c r="N11" s="92"/>
      <c r="O11" s="92"/>
      <c r="P11" s="92"/>
      <c r="Q11" s="38"/>
    </row>
    <row r="12" spans="6:17" x14ac:dyDescent="0.25">
      <c r="G12" s="37"/>
      <c r="H12" s="92"/>
      <c r="I12" s="92"/>
      <c r="J12" s="92"/>
      <c r="K12" s="92"/>
      <c r="L12" s="92"/>
      <c r="M12" s="92"/>
      <c r="N12" s="92"/>
      <c r="O12" s="92"/>
      <c r="P12" s="92"/>
      <c r="Q12" s="38"/>
    </row>
    <row r="13" spans="6:17" x14ac:dyDescent="0.25">
      <c r="G13" s="37"/>
      <c r="H13" s="92"/>
      <c r="I13" s="92"/>
      <c r="J13" s="92"/>
      <c r="K13" s="92"/>
      <c r="L13" s="92"/>
      <c r="M13" s="92"/>
      <c r="N13" s="92"/>
      <c r="O13" s="92"/>
      <c r="P13" s="92"/>
      <c r="Q13" s="38"/>
    </row>
    <row r="14" spans="6:17" x14ac:dyDescent="0.25">
      <c r="G14" s="37"/>
      <c r="H14" s="92"/>
      <c r="I14" s="92"/>
      <c r="J14" s="92"/>
      <c r="K14" s="92"/>
      <c r="L14" s="92"/>
      <c r="M14" s="92"/>
      <c r="N14" s="92"/>
      <c r="O14" s="92"/>
      <c r="P14" s="92"/>
      <c r="Q14" s="38"/>
    </row>
    <row r="15" spans="6:17" x14ac:dyDescent="0.25">
      <c r="G15" s="37"/>
      <c r="H15" s="92"/>
      <c r="I15" s="92"/>
      <c r="J15" s="92"/>
      <c r="K15" s="92"/>
      <c r="L15" s="92"/>
      <c r="M15" s="92"/>
      <c r="N15" s="92"/>
      <c r="O15" s="92"/>
      <c r="P15" s="92"/>
      <c r="Q15" s="38"/>
    </row>
    <row r="16" spans="6:17" x14ac:dyDescent="0.25">
      <c r="G16" s="37"/>
      <c r="H16" s="92"/>
      <c r="I16" s="92"/>
      <c r="J16" s="92"/>
      <c r="K16" s="92"/>
      <c r="L16" s="92"/>
      <c r="M16" s="92"/>
      <c r="N16" s="92"/>
      <c r="O16" s="92"/>
      <c r="P16" s="92"/>
      <c r="Q16" s="38"/>
    </row>
    <row r="17" spans="7:17" x14ac:dyDescent="0.25">
      <c r="G17" s="37"/>
      <c r="H17" s="92"/>
      <c r="I17" s="92"/>
      <c r="J17" s="92"/>
      <c r="K17" s="92"/>
      <c r="L17" s="92"/>
      <c r="M17" s="92"/>
      <c r="N17" s="92"/>
      <c r="O17" s="92"/>
      <c r="P17" s="92"/>
      <c r="Q17" s="38"/>
    </row>
    <row r="18" spans="7:17" x14ac:dyDescent="0.25">
      <c r="G18" s="37"/>
      <c r="Q18" s="38"/>
    </row>
    <row r="19" spans="7:17" x14ac:dyDescent="0.25">
      <c r="G19" s="37"/>
      <c r="Q19" s="38"/>
    </row>
    <row r="20" spans="7:17" x14ac:dyDescent="0.25">
      <c r="G20" s="37"/>
      <c r="Q20" s="38"/>
    </row>
    <row r="21" spans="7:17" x14ac:dyDescent="0.25">
      <c r="G21" s="37"/>
      <c r="Q21" s="38"/>
    </row>
    <row r="22" spans="7:17" x14ac:dyDescent="0.25">
      <c r="G22" s="37"/>
      <c r="Q22" s="38"/>
    </row>
    <row r="23" spans="7:17" x14ac:dyDescent="0.25">
      <c r="G23" s="37"/>
      <c r="Q23" s="38"/>
    </row>
    <row r="24" spans="7:17" x14ac:dyDescent="0.25">
      <c r="G24" s="37"/>
      <c r="Q24" s="38"/>
    </row>
    <row r="25" spans="7:17" x14ac:dyDescent="0.25">
      <c r="G25" s="37"/>
      <c r="Q25" s="38"/>
    </row>
    <row r="26" spans="7:17" x14ac:dyDescent="0.25">
      <c r="G26" s="37"/>
      <c r="Q26" s="38"/>
    </row>
    <row r="27" spans="7:17" x14ac:dyDescent="0.25">
      <c r="G27" s="37"/>
      <c r="Q27" s="38"/>
    </row>
    <row r="28" spans="7:17" x14ac:dyDescent="0.25">
      <c r="G28" s="37"/>
      <c r="Q28" s="38"/>
    </row>
    <row r="29" spans="7:17" x14ac:dyDescent="0.25">
      <c r="G29" s="37"/>
      <c r="Q29" s="38"/>
    </row>
    <row r="30" spans="7:17" x14ac:dyDescent="0.25">
      <c r="G30" s="37"/>
      <c r="Q30" s="38"/>
    </row>
    <row r="31" spans="7:17" x14ac:dyDescent="0.25">
      <c r="G31" s="37"/>
      <c r="Q31" s="38"/>
    </row>
    <row r="32" spans="7:17" x14ac:dyDescent="0.25">
      <c r="G32" s="37"/>
      <c r="Q32" s="38"/>
    </row>
    <row r="33" spans="7:17" x14ac:dyDescent="0.25">
      <c r="G33" s="37"/>
      <c r="Q33" s="38"/>
    </row>
    <row r="34" spans="7:17" x14ac:dyDescent="0.25">
      <c r="G34" s="37"/>
      <c r="Q34" s="38"/>
    </row>
    <row r="35" spans="7:17" x14ac:dyDescent="0.25">
      <c r="G35" s="37"/>
      <c r="Q35" s="38"/>
    </row>
    <row r="36" spans="7:17" x14ac:dyDescent="0.25">
      <c r="G36" s="37"/>
      <c r="Q36" s="38"/>
    </row>
    <row r="37" spans="7:17" x14ac:dyDescent="0.25">
      <c r="G37" s="37"/>
      <c r="Q37" s="38"/>
    </row>
    <row r="38" spans="7:17" x14ac:dyDescent="0.25">
      <c r="G38" s="39"/>
      <c r="H38" s="40"/>
      <c r="I38" s="40"/>
      <c r="J38" s="40"/>
      <c r="K38" s="40"/>
      <c r="L38" s="40"/>
      <c r="M38" s="40"/>
      <c r="N38" s="40"/>
      <c r="O38" s="40"/>
      <c r="P38" s="40"/>
      <c r="Q38" s="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50652-9312-4958-804D-0A571A73AC46}">
  <sheetPr codeName="Hoja5"/>
  <dimension ref="A1:AL104"/>
  <sheetViews>
    <sheetView workbookViewId="0">
      <selection sqref="A1:L104"/>
    </sheetView>
  </sheetViews>
  <sheetFormatPr baseColWidth="10" defaultColWidth="9.140625" defaultRowHeight="15" x14ac:dyDescent="0.25"/>
  <cols>
    <col min="1" max="1" width="43.140625" bestFit="1" customWidth="1"/>
    <col min="2" max="9" width="11" bestFit="1" customWidth="1"/>
    <col min="10" max="10" width="11.7109375" bestFit="1" customWidth="1"/>
    <col min="11" max="12" width="12" bestFit="1" customWidth="1"/>
    <col min="13" max="13" width="12.140625" bestFit="1" customWidth="1"/>
    <col min="14" max="14" width="12" bestFit="1" customWidth="1"/>
    <col min="15" max="33" width="12.7109375" bestFit="1" customWidth="1"/>
    <col min="34" max="34" width="12" bestFit="1" customWidth="1"/>
    <col min="35" max="37" width="12.7109375" bestFit="1" customWidth="1"/>
  </cols>
  <sheetData>
    <row r="1" spans="1:38" x14ac:dyDescent="0.25">
      <c r="A1" s="44"/>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row>
    <row r="2" spans="1:38"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row>
    <row r="3" spans="1:38"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row>
    <row r="4" spans="1:38"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row>
    <row r="5" spans="1:38" x14ac:dyDescent="0.25">
      <c r="A5" s="45"/>
      <c r="B5" s="45"/>
      <c r="C5" s="45"/>
      <c r="D5" s="45"/>
      <c r="E5" s="45"/>
      <c r="F5" s="45"/>
      <c r="G5" s="45"/>
      <c r="H5" s="45"/>
      <c r="I5" s="45"/>
      <c r="J5" s="45"/>
      <c r="K5" s="45"/>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row>
    <row r="6" spans="1:38" x14ac:dyDescent="0.25">
      <c r="A6" s="45"/>
      <c r="B6" s="45"/>
      <c r="C6" s="45"/>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row>
    <row r="7" spans="1:38"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row>
    <row r="8" spans="1:38"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row>
    <row r="9" spans="1:38"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row>
    <row r="10" spans="1:38"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row>
    <row r="11" spans="1:38"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row>
    <row r="12" spans="1:38"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row>
    <row r="13" spans="1:38"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row>
    <row r="14" spans="1:38"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row>
    <row r="15" spans="1:38"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row>
    <row r="16" spans="1:38"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row>
    <row r="17" spans="1:38"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row>
    <row r="18" spans="1:38"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row>
    <row r="19" spans="1:38"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row>
    <row r="20" spans="1:38"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row>
    <row r="21" spans="1:38"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row>
    <row r="22" spans="1:38"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row>
    <row r="23" spans="1:38"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row>
    <row r="24" spans="1:38"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row>
    <row r="25" spans="1:38"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row>
    <row r="26" spans="1:38"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row>
    <row r="27" spans="1:38"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row>
    <row r="28" spans="1:38"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row>
    <row r="29" spans="1:38"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row>
    <row r="30" spans="1:38"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row>
    <row r="31" spans="1:38"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row>
    <row r="32" spans="1:38"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row>
    <row r="33" spans="1:38"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row>
    <row r="34" spans="1:38"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row>
    <row r="35" spans="1:38"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row>
    <row r="36" spans="1:38"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row>
    <row r="37" spans="1:38"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row>
    <row r="38" spans="1:38"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row>
    <row r="39" spans="1:38"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row>
    <row r="40" spans="1:38"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row>
    <row r="41" spans="1:38"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row>
    <row r="42" spans="1:38"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row>
    <row r="43" spans="1:38"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row>
    <row r="44" spans="1:38"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row>
    <row r="45" spans="1:38"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row>
    <row r="46" spans="1:38"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row>
    <row r="47" spans="1:38"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row>
    <row r="48" spans="1:38"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row>
    <row r="49" spans="1:38"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row>
    <row r="50" spans="1:38"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row>
    <row r="51" spans="1:38"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row>
    <row r="52" spans="1:38"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row>
    <row r="53" spans="1:38"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row>
    <row r="54" spans="1:38"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row>
    <row r="55" spans="1:38"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row>
    <row r="56" spans="1:38"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row>
    <row r="57" spans="1:38"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row>
    <row r="58" spans="1:38"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row>
    <row r="59" spans="1:38"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row>
    <row r="60" spans="1:38"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1:38"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row>
    <row r="63" spans="1:38"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row>
    <row r="64" spans="1:38"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row>
    <row r="65" spans="1:38"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row>
    <row r="66" spans="1:38"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row>
    <row r="67" spans="1:38"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row>
    <row r="68" spans="1:38"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row>
    <row r="69" spans="1:38"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row>
    <row r="70" spans="1:38"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row>
    <row r="71" spans="1:38"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row>
    <row r="72" spans="1:38"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row>
    <row r="73" spans="1:38"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row>
    <row r="74" spans="1:38"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row>
    <row r="75" spans="1:38"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row>
    <row r="76" spans="1:38"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row>
    <row r="77" spans="1:38"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row>
    <row r="78" spans="1:38"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row>
    <row r="79" spans="1:38"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row>
    <row r="80" spans="1:38"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row>
    <row r="81" spans="1:38"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row>
    <row r="82" spans="1:38"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row>
    <row r="83" spans="1:38"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row>
    <row r="84" spans="1:38"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row>
    <row r="85" spans="1:38"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row>
    <row r="86" spans="1:38"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row>
    <row r="87" spans="1:38"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row>
    <row r="88" spans="1:38"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row>
    <row r="89" spans="1:38"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row>
    <row r="90" spans="1:38"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row>
    <row r="91" spans="1:38"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row>
    <row r="92" spans="1:38"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row>
    <row r="93" spans="1:38"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row>
    <row r="94" spans="1:38"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row>
    <row r="95" spans="1:38"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row>
    <row r="96" spans="1:38"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row>
    <row r="97" spans="1:38"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row>
    <row r="98" spans="1:38"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row>
    <row r="99" spans="1:38"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row>
    <row r="100" spans="1:38"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row>
    <row r="101" spans="1:38"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row>
    <row r="102" spans="1:38"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row>
    <row r="103" spans="1:38"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row>
    <row r="104" spans="1:38"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ED0F3-3032-4C1E-80A7-914E1C087C3C}">
  <sheetPr codeName="Hoja13"/>
  <dimension ref="A1"/>
  <sheetViews>
    <sheetView workbookViewId="0">
      <selection sqref="A1:AK104"/>
    </sheetView>
  </sheetViews>
  <sheetFormatPr baseColWidth="10" defaultRowHeight="15" x14ac:dyDescent="0.25"/>
  <cols>
    <col min="1" max="1" width="25.8554687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EE10E-7495-41AE-A723-126470A1D59C}">
  <sheetPr codeName="Hoja4"/>
  <dimension ref="A1:H93"/>
  <sheetViews>
    <sheetView topLeftCell="A61" workbookViewId="0">
      <selection activeCell="G53" sqref="G53"/>
    </sheetView>
  </sheetViews>
  <sheetFormatPr baseColWidth="10" defaultColWidth="9.140625" defaultRowHeight="15" x14ac:dyDescent="0.25"/>
  <cols>
    <col min="1" max="1" width="43.140625" bestFit="1" customWidth="1"/>
    <col min="5" max="7" width="13.28515625" bestFit="1" customWidth="1"/>
    <col min="12" max="12" width="12" bestFit="1" customWidth="1"/>
  </cols>
  <sheetData>
    <row r="1" spans="1:8" x14ac:dyDescent="0.25">
      <c r="A1" s="245"/>
      <c r="B1" s="245"/>
      <c r="C1" s="245"/>
      <c r="D1" s="245"/>
      <c r="E1" s="245"/>
      <c r="F1" s="245"/>
      <c r="G1" s="245"/>
      <c r="H1" s="245"/>
    </row>
    <row r="2" spans="1:8" x14ac:dyDescent="0.25">
      <c r="A2" s="201" t="s">
        <v>146</v>
      </c>
      <c r="B2" s="202">
        <v>42735</v>
      </c>
      <c r="C2" s="202">
        <v>43100</v>
      </c>
      <c r="D2" s="202">
        <v>43465</v>
      </c>
      <c r="E2" s="202">
        <v>43830</v>
      </c>
      <c r="F2" s="202">
        <v>44196</v>
      </c>
      <c r="G2" s="202">
        <v>44561</v>
      </c>
      <c r="H2" s="201" t="s">
        <v>147</v>
      </c>
    </row>
    <row r="3" spans="1:8" x14ac:dyDescent="0.25">
      <c r="A3" s="200"/>
      <c r="B3" s="200"/>
      <c r="C3" s="200"/>
      <c r="D3" s="200"/>
      <c r="E3" s="200"/>
      <c r="F3" s="200"/>
      <c r="G3" s="200"/>
      <c r="H3" s="200"/>
    </row>
    <row r="4" spans="1:8" x14ac:dyDescent="0.25">
      <c r="A4" s="203" t="s">
        <v>148</v>
      </c>
      <c r="B4" s="205"/>
      <c r="C4" s="204" t="s">
        <v>149</v>
      </c>
      <c r="D4" s="204" t="s">
        <v>150</v>
      </c>
      <c r="E4" s="204" t="s">
        <v>151</v>
      </c>
      <c r="F4" s="204" t="s">
        <v>152</v>
      </c>
      <c r="G4" s="204" t="s">
        <v>153</v>
      </c>
      <c r="H4" s="204" t="s">
        <v>154</v>
      </c>
    </row>
    <row r="5" spans="1:8" x14ac:dyDescent="0.25">
      <c r="A5" s="206" t="s">
        <v>155</v>
      </c>
      <c r="B5" s="205"/>
      <c r="C5" s="207" t="s">
        <v>149</v>
      </c>
      <c r="D5" s="207" t="s">
        <v>150</v>
      </c>
      <c r="E5" s="207" t="s">
        <v>151</v>
      </c>
      <c r="F5" s="207" t="s">
        <v>152</v>
      </c>
      <c r="G5" s="207" t="s">
        <v>153</v>
      </c>
      <c r="H5" s="207" t="s">
        <v>154</v>
      </c>
    </row>
    <row r="6" spans="1:8" x14ac:dyDescent="0.25">
      <c r="A6" s="208" t="s">
        <v>156</v>
      </c>
      <c r="B6" s="205"/>
      <c r="C6" s="205"/>
      <c r="D6" s="209" t="s">
        <v>157</v>
      </c>
      <c r="E6" s="209" t="s">
        <v>158</v>
      </c>
      <c r="F6" s="209" t="s">
        <v>159</v>
      </c>
      <c r="G6" s="209" t="s">
        <v>160</v>
      </c>
      <c r="H6" s="210"/>
    </row>
    <row r="7" spans="1:8" ht="15.75" thickBot="1" x14ac:dyDescent="0.3">
      <c r="A7" s="203" t="s">
        <v>161</v>
      </c>
      <c r="B7" s="205"/>
      <c r="C7" s="211" t="s">
        <v>162</v>
      </c>
      <c r="D7" s="211" t="s">
        <v>163</v>
      </c>
      <c r="E7" s="211" t="s">
        <v>164</v>
      </c>
      <c r="F7" s="211" t="s">
        <v>165</v>
      </c>
      <c r="G7" s="211" t="s">
        <v>166</v>
      </c>
      <c r="H7" s="211" t="s">
        <v>167</v>
      </c>
    </row>
    <row r="8" spans="1:8" ht="15.75" thickTop="1" x14ac:dyDescent="0.25">
      <c r="A8" s="212" t="s">
        <v>2</v>
      </c>
      <c r="B8" s="214"/>
      <c r="C8" s="213" t="s">
        <v>168</v>
      </c>
      <c r="D8" s="213" t="s">
        <v>169</v>
      </c>
      <c r="E8" s="213" t="s">
        <v>170</v>
      </c>
      <c r="F8" s="213" t="s">
        <v>171</v>
      </c>
      <c r="G8" s="213" t="s">
        <v>172</v>
      </c>
      <c r="H8" s="213" t="s">
        <v>173</v>
      </c>
    </row>
    <row r="9" spans="1:8" x14ac:dyDescent="0.25">
      <c r="A9" s="208" t="s">
        <v>156</v>
      </c>
      <c r="B9" s="205"/>
      <c r="C9" s="205"/>
      <c r="D9" s="209" t="s">
        <v>174</v>
      </c>
      <c r="E9" s="209" t="s">
        <v>175</v>
      </c>
      <c r="F9" s="209" t="s">
        <v>176</v>
      </c>
      <c r="G9" s="209" t="s">
        <v>177</v>
      </c>
      <c r="H9" s="210"/>
    </row>
    <row r="10" spans="1:8" x14ac:dyDescent="0.25">
      <c r="A10" s="208" t="s">
        <v>178</v>
      </c>
      <c r="B10" s="205"/>
      <c r="C10" s="209" t="s">
        <v>179</v>
      </c>
      <c r="D10" s="209" t="s">
        <v>180</v>
      </c>
      <c r="E10" s="209" t="s">
        <v>181</v>
      </c>
      <c r="F10" s="209" t="s">
        <v>182</v>
      </c>
      <c r="G10" s="209" t="s">
        <v>183</v>
      </c>
      <c r="H10" s="209" t="s">
        <v>184</v>
      </c>
    </row>
    <row r="11" spans="1:8" x14ac:dyDescent="0.25">
      <c r="A11" s="203" t="s">
        <v>185</v>
      </c>
      <c r="B11" s="205"/>
      <c r="C11" s="211" t="s">
        <v>186</v>
      </c>
      <c r="D11" s="211" t="s">
        <v>187</v>
      </c>
      <c r="E11" s="211" t="s">
        <v>188</v>
      </c>
      <c r="F11" s="211" t="s">
        <v>189</v>
      </c>
      <c r="G11" s="211" t="s">
        <v>190</v>
      </c>
      <c r="H11" s="211" t="s">
        <v>191</v>
      </c>
    </row>
    <row r="12" spans="1:8" ht="15.75" thickBot="1" x14ac:dyDescent="0.3">
      <c r="A12" s="203" t="s">
        <v>192</v>
      </c>
      <c r="B12" s="205"/>
      <c r="C12" s="211" t="s">
        <v>193</v>
      </c>
      <c r="D12" s="211" t="s">
        <v>194</v>
      </c>
      <c r="E12" s="211" t="s">
        <v>195</v>
      </c>
      <c r="F12" s="211" t="s">
        <v>196</v>
      </c>
      <c r="G12" s="211" t="s">
        <v>197</v>
      </c>
      <c r="H12" s="211" t="s">
        <v>198</v>
      </c>
    </row>
    <row r="13" spans="1:8" ht="15.75" thickTop="1" x14ac:dyDescent="0.25">
      <c r="A13" s="212" t="s">
        <v>199</v>
      </c>
      <c r="B13" s="214"/>
      <c r="C13" s="215" t="s">
        <v>200</v>
      </c>
      <c r="D13" s="215" t="s">
        <v>201</v>
      </c>
      <c r="E13" s="215" t="s">
        <v>202</v>
      </c>
      <c r="F13" s="215" t="s">
        <v>203</v>
      </c>
      <c r="G13" s="215" t="s">
        <v>204</v>
      </c>
      <c r="H13" s="215" t="s">
        <v>205</v>
      </c>
    </row>
    <row r="14" spans="1:8" x14ac:dyDescent="0.25">
      <c r="A14" s="206" t="s">
        <v>4</v>
      </c>
      <c r="B14" s="205"/>
      <c r="C14" s="207" t="s">
        <v>206</v>
      </c>
      <c r="D14" s="207" t="s">
        <v>207</v>
      </c>
      <c r="E14" s="207" t="s">
        <v>208</v>
      </c>
      <c r="F14" s="207" t="s">
        <v>209</v>
      </c>
      <c r="G14" s="207" t="s">
        <v>210</v>
      </c>
      <c r="H14" s="207" t="s">
        <v>211</v>
      </c>
    </row>
    <row r="15" spans="1:8" x14ac:dyDescent="0.25">
      <c r="A15" s="208" t="s">
        <v>156</v>
      </c>
      <c r="B15" s="205"/>
      <c r="C15" s="205"/>
      <c r="D15" s="209" t="s">
        <v>212</v>
      </c>
      <c r="E15" s="209" t="s">
        <v>213</v>
      </c>
      <c r="F15" s="209" t="s">
        <v>214</v>
      </c>
      <c r="G15" s="209" t="s">
        <v>215</v>
      </c>
      <c r="H15" s="210"/>
    </row>
    <row r="16" spans="1:8" x14ac:dyDescent="0.25">
      <c r="A16" s="208" t="s">
        <v>216</v>
      </c>
      <c r="B16" s="205"/>
      <c r="C16" s="209" t="s">
        <v>217</v>
      </c>
      <c r="D16" s="209" t="s">
        <v>218</v>
      </c>
      <c r="E16" s="209" t="s">
        <v>219</v>
      </c>
      <c r="F16" s="209" t="s">
        <v>220</v>
      </c>
      <c r="G16" s="209" t="s">
        <v>221</v>
      </c>
      <c r="H16" s="209" t="s">
        <v>222</v>
      </c>
    </row>
    <row r="17" spans="1:8" x14ac:dyDescent="0.25">
      <c r="A17" s="203" t="s">
        <v>223</v>
      </c>
      <c r="B17" s="205"/>
      <c r="C17" s="211" t="s">
        <v>224</v>
      </c>
      <c r="D17" s="211" t="s">
        <v>225</v>
      </c>
      <c r="E17" s="211" t="s">
        <v>226</v>
      </c>
      <c r="F17" s="211" t="s">
        <v>227</v>
      </c>
      <c r="G17" s="211" t="s">
        <v>228</v>
      </c>
      <c r="H17" s="211" t="s">
        <v>229</v>
      </c>
    </row>
    <row r="18" spans="1:8" x14ac:dyDescent="0.25">
      <c r="A18" s="203" t="s">
        <v>230</v>
      </c>
      <c r="B18" s="205"/>
      <c r="C18" s="204" t="s">
        <v>231</v>
      </c>
      <c r="D18" s="204" t="s">
        <v>232</v>
      </c>
      <c r="E18" s="204" t="s">
        <v>233</v>
      </c>
      <c r="F18" s="204" t="s">
        <v>234</v>
      </c>
      <c r="G18" s="204" t="s">
        <v>235</v>
      </c>
      <c r="H18" s="204" t="s">
        <v>236</v>
      </c>
    </row>
    <row r="19" spans="1:8" x14ac:dyDescent="0.25">
      <c r="A19" s="203" t="s">
        <v>237</v>
      </c>
      <c r="B19" s="205"/>
      <c r="C19" s="211" t="s">
        <v>238</v>
      </c>
      <c r="D19" s="211" t="s">
        <v>239</v>
      </c>
      <c r="E19" s="204" t="s">
        <v>240</v>
      </c>
      <c r="F19" s="211" t="s">
        <v>241</v>
      </c>
      <c r="G19" s="211" t="s">
        <v>242</v>
      </c>
      <c r="H19" s="211" t="s">
        <v>243</v>
      </c>
    </row>
    <row r="20" spans="1:8" ht="15.75" thickBot="1" x14ac:dyDescent="0.3">
      <c r="A20" s="203" t="s">
        <v>244</v>
      </c>
      <c r="B20" s="205"/>
      <c r="C20" s="204" t="s">
        <v>245</v>
      </c>
      <c r="D20" s="211" t="s">
        <v>246</v>
      </c>
      <c r="E20" s="211" t="s">
        <v>247</v>
      </c>
      <c r="F20" s="211" t="s">
        <v>241</v>
      </c>
      <c r="G20" s="211" t="s">
        <v>248</v>
      </c>
      <c r="H20" s="204" t="s">
        <v>249</v>
      </c>
    </row>
    <row r="21" spans="1:8" ht="15.75" thickTop="1" x14ac:dyDescent="0.25">
      <c r="A21" s="212" t="s">
        <v>250</v>
      </c>
      <c r="B21" s="214"/>
      <c r="C21" s="213" t="s">
        <v>251</v>
      </c>
      <c r="D21" s="213" t="s">
        <v>252</v>
      </c>
      <c r="E21" s="213" t="s">
        <v>253</v>
      </c>
      <c r="F21" s="213" t="s">
        <v>254</v>
      </c>
      <c r="G21" s="213" t="s">
        <v>255</v>
      </c>
      <c r="H21" s="213" t="s">
        <v>256</v>
      </c>
    </row>
    <row r="22" spans="1:8" x14ac:dyDescent="0.25">
      <c r="A22" s="203" t="s">
        <v>257</v>
      </c>
      <c r="B22" s="205"/>
      <c r="C22" s="211" t="s">
        <v>258</v>
      </c>
      <c r="D22" s="204" t="s">
        <v>259</v>
      </c>
      <c r="E22" s="204" t="s">
        <v>260</v>
      </c>
      <c r="F22" s="204" t="s">
        <v>261</v>
      </c>
      <c r="G22" s="204" t="s">
        <v>262</v>
      </c>
      <c r="H22" s="211" t="s">
        <v>263</v>
      </c>
    </row>
    <row r="23" spans="1:8" x14ac:dyDescent="0.25">
      <c r="A23" s="203" t="s">
        <v>264</v>
      </c>
      <c r="B23" s="216"/>
      <c r="C23" s="216"/>
      <c r="D23" s="216"/>
      <c r="E23" s="216"/>
      <c r="F23" s="216"/>
      <c r="G23" s="216"/>
      <c r="H23" s="216"/>
    </row>
    <row r="24" spans="1:8" x14ac:dyDescent="0.25">
      <c r="A24" s="203" t="s">
        <v>265</v>
      </c>
      <c r="B24" s="216"/>
      <c r="C24" s="216"/>
      <c r="D24" s="216"/>
      <c r="E24" s="216"/>
      <c r="F24" s="216"/>
      <c r="G24" s="216"/>
      <c r="H24" s="216"/>
    </row>
    <row r="25" spans="1:8" x14ac:dyDescent="0.25">
      <c r="A25" s="203" t="s">
        <v>266</v>
      </c>
      <c r="B25" s="216"/>
      <c r="C25" s="216"/>
      <c r="D25" s="216"/>
      <c r="E25" s="216"/>
      <c r="F25" s="216"/>
      <c r="G25" s="216"/>
      <c r="H25" s="216"/>
    </row>
    <row r="26" spans="1:8" x14ac:dyDescent="0.25">
      <c r="A26" s="203" t="s">
        <v>267</v>
      </c>
      <c r="B26" s="216"/>
      <c r="C26" s="211" t="s">
        <v>268</v>
      </c>
      <c r="D26" s="211" t="s">
        <v>269</v>
      </c>
      <c r="E26" s="211" t="s">
        <v>270</v>
      </c>
      <c r="F26" s="216"/>
      <c r="G26" s="216"/>
      <c r="H26" s="216"/>
    </row>
    <row r="27" spans="1:8" s="80" customFormat="1" ht="15.75" thickBot="1" x14ac:dyDescent="0.3">
      <c r="A27" s="203" t="s">
        <v>271</v>
      </c>
      <c r="B27" s="216"/>
      <c r="C27" s="216"/>
      <c r="D27" s="216"/>
      <c r="E27" s="216"/>
      <c r="F27" s="216"/>
      <c r="G27" s="216"/>
      <c r="H27" s="216"/>
    </row>
    <row r="28" spans="1:8" ht="15.75" thickTop="1" x14ac:dyDescent="0.25">
      <c r="A28" s="212" t="s">
        <v>272</v>
      </c>
      <c r="B28" s="214"/>
      <c r="C28" s="213" t="s">
        <v>273</v>
      </c>
      <c r="D28" s="213" t="s">
        <v>274</v>
      </c>
      <c r="E28" s="213" t="s">
        <v>275</v>
      </c>
      <c r="F28" s="213" t="s">
        <v>276</v>
      </c>
      <c r="G28" s="213" t="s">
        <v>277</v>
      </c>
      <c r="H28" s="213" t="s">
        <v>278</v>
      </c>
    </row>
    <row r="29" spans="1:8" ht="15.75" thickBot="1" x14ac:dyDescent="0.3">
      <c r="A29" s="203" t="s">
        <v>279</v>
      </c>
      <c r="B29" s="205"/>
      <c r="C29" s="211" t="s">
        <v>280</v>
      </c>
      <c r="D29" s="211" t="s">
        <v>281</v>
      </c>
      <c r="E29" s="211" t="s">
        <v>282</v>
      </c>
      <c r="F29" s="211" t="s">
        <v>283</v>
      </c>
      <c r="G29" s="211" t="s">
        <v>284</v>
      </c>
      <c r="H29" s="211" t="s">
        <v>285</v>
      </c>
    </row>
    <row r="30" spans="1:8" ht="15.75" thickTop="1" x14ac:dyDescent="0.25">
      <c r="A30" s="212" t="s">
        <v>286</v>
      </c>
      <c r="B30" s="214"/>
      <c r="C30" s="213" t="s">
        <v>287</v>
      </c>
      <c r="D30" s="213" t="s">
        <v>288</v>
      </c>
      <c r="E30" s="213" t="s">
        <v>289</v>
      </c>
      <c r="F30" s="213" t="s">
        <v>290</v>
      </c>
      <c r="G30" s="213" t="s">
        <v>291</v>
      </c>
      <c r="H30" s="213" t="s">
        <v>292</v>
      </c>
    </row>
    <row r="31" spans="1:8" ht="15.75" thickBot="1" x14ac:dyDescent="0.3">
      <c r="A31" s="203" t="s">
        <v>293</v>
      </c>
      <c r="B31" s="216"/>
      <c r="C31" s="216"/>
      <c r="D31" s="216"/>
      <c r="E31" s="216"/>
      <c r="F31" s="216"/>
      <c r="G31" s="216"/>
      <c r="H31" s="216"/>
    </row>
    <row r="32" spans="1:8" ht="15.75" thickTop="1" x14ac:dyDescent="0.25">
      <c r="A32" s="212" t="s">
        <v>294</v>
      </c>
      <c r="B32" s="214"/>
      <c r="C32" s="213" t="s">
        <v>287</v>
      </c>
      <c r="D32" s="213" t="s">
        <v>288</v>
      </c>
      <c r="E32" s="213" t="s">
        <v>289</v>
      </c>
      <c r="F32" s="213" t="s">
        <v>290</v>
      </c>
      <c r="G32" s="213" t="s">
        <v>291</v>
      </c>
      <c r="H32" s="213" t="s">
        <v>292</v>
      </c>
    </row>
    <row r="33" spans="1:8" x14ac:dyDescent="0.25">
      <c r="A33" s="206" t="s">
        <v>5</v>
      </c>
      <c r="B33" s="205"/>
      <c r="C33" s="207" t="s">
        <v>287</v>
      </c>
      <c r="D33" s="207" t="s">
        <v>288</v>
      </c>
      <c r="E33" s="207" t="s">
        <v>289</v>
      </c>
      <c r="F33" s="207" t="s">
        <v>290</v>
      </c>
      <c r="G33" s="207" t="s">
        <v>291</v>
      </c>
      <c r="H33" s="207" t="s">
        <v>292</v>
      </c>
    </row>
    <row r="34" spans="1:8" x14ac:dyDescent="0.25">
      <c r="A34" s="206" t="s">
        <v>295</v>
      </c>
      <c r="B34" s="205"/>
      <c r="C34" s="207" t="s">
        <v>287</v>
      </c>
      <c r="D34" s="207" t="s">
        <v>288</v>
      </c>
      <c r="E34" s="207" t="s">
        <v>289</v>
      </c>
      <c r="F34" s="207" t="s">
        <v>290</v>
      </c>
      <c r="G34" s="207" t="s">
        <v>291</v>
      </c>
      <c r="H34" s="207" t="s">
        <v>292</v>
      </c>
    </row>
    <row r="35" spans="1:8" x14ac:dyDescent="0.25">
      <c r="A35" s="208" t="s">
        <v>296</v>
      </c>
      <c r="B35" s="205"/>
      <c r="C35" s="209" t="s">
        <v>297</v>
      </c>
      <c r="D35" s="209" t="s">
        <v>298</v>
      </c>
      <c r="E35" s="209" t="s">
        <v>299</v>
      </c>
      <c r="F35" s="209" t="s">
        <v>300</v>
      </c>
      <c r="G35" s="209" t="s">
        <v>301</v>
      </c>
      <c r="H35" s="209" t="s">
        <v>302</v>
      </c>
    </row>
    <row r="36" spans="1:8" x14ac:dyDescent="0.25">
      <c r="A36" s="206" t="s">
        <v>303</v>
      </c>
      <c r="B36" s="205"/>
      <c r="C36" s="207" t="s">
        <v>287</v>
      </c>
      <c r="D36" s="207" t="s">
        <v>288</v>
      </c>
      <c r="E36" s="207" t="s">
        <v>289</v>
      </c>
      <c r="F36" s="207" t="s">
        <v>290</v>
      </c>
      <c r="G36" s="207" t="s">
        <v>291</v>
      </c>
      <c r="H36" s="207" t="s">
        <v>292</v>
      </c>
    </row>
    <row r="37" spans="1:8" x14ac:dyDescent="0.25">
      <c r="A37" s="208" t="s">
        <v>304</v>
      </c>
      <c r="B37" s="205"/>
      <c r="C37" s="209" t="s">
        <v>297</v>
      </c>
      <c r="D37" s="209" t="s">
        <v>298</v>
      </c>
      <c r="E37" s="209" t="s">
        <v>299</v>
      </c>
      <c r="F37" s="209" t="s">
        <v>300</v>
      </c>
      <c r="G37" s="209" t="s">
        <v>301</v>
      </c>
      <c r="H37" s="209" t="s">
        <v>302</v>
      </c>
    </row>
    <row r="38" spans="1:8" x14ac:dyDescent="0.25">
      <c r="A38" s="208" t="s">
        <v>305</v>
      </c>
      <c r="B38" s="200"/>
      <c r="C38" s="200"/>
      <c r="D38" s="200"/>
      <c r="E38" s="200"/>
      <c r="F38" s="200"/>
      <c r="G38" s="200"/>
      <c r="H38" s="200"/>
    </row>
    <row r="39" spans="1:8" x14ac:dyDescent="0.25">
      <c r="A39" s="203" t="s">
        <v>306</v>
      </c>
      <c r="B39" s="205"/>
      <c r="C39" s="204" t="s">
        <v>307</v>
      </c>
      <c r="D39" s="204" t="s">
        <v>308</v>
      </c>
      <c r="E39" s="204" t="s">
        <v>309</v>
      </c>
      <c r="F39" s="204" t="s">
        <v>310</v>
      </c>
      <c r="G39" s="204" t="s">
        <v>311</v>
      </c>
      <c r="H39" s="204" t="s">
        <v>312</v>
      </c>
    </row>
    <row r="40" spans="1:8" x14ac:dyDescent="0.25">
      <c r="A40" s="217" t="s">
        <v>156</v>
      </c>
      <c r="B40" s="205"/>
      <c r="C40" s="205"/>
      <c r="D40" s="219" t="s">
        <v>313</v>
      </c>
      <c r="E40" s="219" t="s">
        <v>314</v>
      </c>
      <c r="F40" s="219" t="s">
        <v>315</v>
      </c>
      <c r="G40" s="219" t="s">
        <v>316</v>
      </c>
      <c r="H40" s="220"/>
    </row>
    <row r="41" spans="1:8" x14ac:dyDescent="0.25">
      <c r="A41" s="203" t="s">
        <v>317</v>
      </c>
      <c r="B41" s="205"/>
      <c r="C41" s="204" t="s">
        <v>318</v>
      </c>
      <c r="D41" s="204" t="s">
        <v>319</v>
      </c>
      <c r="E41" s="204" t="s">
        <v>320</v>
      </c>
      <c r="F41" s="204" t="s">
        <v>321</v>
      </c>
      <c r="G41" s="204" t="s">
        <v>322</v>
      </c>
      <c r="H41" s="204" t="s">
        <v>323</v>
      </c>
    </row>
    <row r="42" spans="1:8" x14ac:dyDescent="0.25">
      <c r="A42" s="217" t="s">
        <v>156</v>
      </c>
      <c r="B42" s="205"/>
      <c r="C42" s="205"/>
      <c r="D42" s="218" t="s">
        <v>324</v>
      </c>
      <c r="E42" s="218" t="s">
        <v>325</v>
      </c>
      <c r="F42" s="218" t="s">
        <v>326</v>
      </c>
      <c r="G42" s="218" t="s">
        <v>327</v>
      </c>
      <c r="H42" s="220"/>
    </row>
    <row r="43" spans="1:8" x14ac:dyDescent="0.25">
      <c r="A43" s="203" t="s">
        <v>328</v>
      </c>
      <c r="B43" s="205"/>
      <c r="C43" s="204" t="s">
        <v>329</v>
      </c>
      <c r="D43" s="204" t="s">
        <v>330</v>
      </c>
      <c r="E43" s="204" t="s">
        <v>331</v>
      </c>
      <c r="F43" s="204" t="s">
        <v>332</v>
      </c>
      <c r="G43" s="204" t="s">
        <v>333</v>
      </c>
      <c r="H43" s="204" t="s">
        <v>334</v>
      </c>
    </row>
    <row r="44" spans="1:8" x14ac:dyDescent="0.25">
      <c r="A44" s="217" t="s">
        <v>156</v>
      </c>
      <c r="B44" s="205"/>
      <c r="C44" s="205"/>
      <c r="D44" s="219" t="s">
        <v>335</v>
      </c>
      <c r="E44" s="218" t="s">
        <v>336</v>
      </c>
      <c r="F44" s="218" t="s">
        <v>326</v>
      </c>
      <c r="G44" s="218" t="s">
        <v>337</v>
      </c>
      <c r="H44" s="220"/>
    </row>
    <row r="45" spans="1:8" x14ac:dyDescent="0.25">
      <c r="A45" s="203" t="s">
        <v>338</v>
      </c>
      <c r="B45" s="205"/>
      <c r="C45" s="204" t="s">
        <v>339</v>
      </c>
      <c r="D45" s="204" t="s">
        <v>340</v>
      </c>
      <c r="E45" s="204" t="s">
        <v>341</v>
      </c>
      <c r="F45" s="204" t="s">
        <v>342</v>
      </c>
      <c r="G45" s="204" t="s">
        <v>343</v>
      </c>
      <c r="H45" s="204" t="s">
        <v>344</v>
      </c>
    </row>
    <row r="46" spans="1:8" x14ac:dyDescent="0.25">
      <c r="A46" s="203" t="s">
        <v>3</v>
      </c>
      <c r="B46" s="205"/>
      <c r="C46" s="204" t="s">
        <v>345</v>
      </c>
      <c r="D46" s="204" t="s">
        <v>346</v>
      </c>
      <c r="E46" s="204" t="s">
        <v>347</v>
      </c>
      <c r="F46" s="204" t="s">
        <v>348</v>
      </c>
      <c r="G46" s="204" t="s">
        <v>349</v>
      </c>
      <c r="H46" s="204" t="s">
        <v>350</v>
      </c>
    </row>
    <row r="47" spans="1:8" x14ac:dyDescent="0.25">
      <c r="A47" s="217" t="s">
        <v>156</v>
      </c>
      <c r="B47" s="205"/>
      <c r="C47" s="205"/>
      <c r="D47" s="219" t="s">
        <v>351</v>
      </c>
      <c r="E47" s="219" t="s">
        <v>352</v>
      </c>
      <c r="F47" s="219" t="s">
        <v>353</v>
      </c>
      <c r="G47" s="219" t="s">
        <v>354</v>
      </c>
      <c r="H47" s="220"/>
    </row>
    <row r="48" spans="1:8" x14ac:dyDescent="0.25">
      <c r="A48" s="203" t="s">
        <v>355</v>
      </c>
      <c r="B48" s="205"/>
      <c r="C48" s="204" t="s">
        <v>356</v>
      </c>
      <c r="D48" s="216"/>
      <c r="E48" s="216"/>
      <c r="F48" s="204" t="s">
        <v>357</v>
      </c>
      <c r="G48" s="204" t="s">
        <v>358</v>
      </c>
      <c r="H48" s="216"/>
    </row>
    <row r="49" spans="1:8" x14ac:dyDescent="0.25">
      <c r="A49" s="203" t="s">
        <v>359</v>
      </c>
      <c r="B49" s="205"/>
      <c r="C49" s="204" t="s">
        <v>360</v>
      </c>
      <c r="D49" s="204" t="s">
        <v>361</v>
      </c>
      <c r="E49" s="204" t="s">
        <v>362</v>
      </c>
      <c r="F49" s="204" t="s">
        <v>363</v>
      </c>
      <c r="G49" s="204" t="s">
        <v>364</v>
      </c>
      <c r="H49" s="204" t="s">
        <v>365</v>
      </c>
    </row>
    <row r="50" spans="1:8" x14ac:dyDescent="0.25">
      <c r="A50" s="203" t="s">
        <v>366</v>
      </c>
      <c r="B50" s="205"/>
      <c r="C50" s="204" t="s">
        <v>367</v>
      </c>
      <c r="D50" s="204" t="s">
        <v>368</v>
      </c>
      <c r="E50" s="204" t="s">
        <v>369</v>
      </c>
      <c r="F50" s="204" t="s">
        <v>370</v>
      </c>
      <c r="G50" s="204" t="s">
        <v>371</v>
      </c>
      <c r="H50" s="204" t="s">
        <v>372</v>
      </c>
    </row>
    <row r="51" spans="1:8" x14ac:dyDescent="0.25">
      <c r="A51" s="203" t="s">
        <v>373</v>
      </c>
      <c r="B51" s="205"/>
      <c r="C51" s="204" t="s">
        <v>374</v>
      </c>
      <c r="D51" s="204" t="s">
        <v>375</v>
      </c>
      <c r="E51" s="204" t="s">
        <v>376</v>
      </c>
      <c r="F51" s="204" t="s">
        <v>377</v>
      </c>
      <c r="G51" s="204" t="s">
        <v>378</v>
      </c>
      <c r="H51" s="204" t="s">
        <v>379</v>
      </c>
    </row>
    <row r="52" spans="1:8" x14ac:dyDescent="0.25">
      <c r="A52" s="203" t="s">
        <v>380</v>
      </c>
      <c r="B52" s="205"/>
      <c r="C52" s="204" t="s">
        <v>381</v>
      </c>
      <c r="D52" s="204" t="s">
        <v>382</v>
      </c>
      <c r="E52" s="204" t="s">
        <v>383</v>
      </c>
      <c r="F52" s="204" t="s">
        <v>351</v>
      </c>
      <c r="G52" s="204" t="s">
        <v>351</v>
      </c>
      <c r="H52" s="204" t="s">
        <v>384</v>
      </c>
    </row>
    <row r="65" s="80" customFormat="1" x14ac:dyDescent="0.25"/>
    <row r="93" s="80" customFormat="1" x14ac:dyDescent="0.25"/>
  </sheetData>
  <mergeCells count="1">
    <mergeCell ref="A1:H1"/>
  </mergeCells>
  <hyperlinks>
    <hyperlink ref="B4" r:id="rId1" display="https://app.tikr.com/account/subs?ref=q5ht48" xr:uid="{48AEE7E0-FEB1-4660-90FE-86648FA5A739}"/>
    <hyperlink ref="B5" r:id="rId2" display="https://app.tikr.com/account/subs?ref=q5ht48" xr:uid="{58D31995-2D1E-4895-A11D-5B856E55FD4D}"/>
    <hyperlink ref="B6" r:id="rId3" display="https://app.tikr.com/account/subs?ref=q5ht48" xr:uid="{E2E6F7F0-C8B0-40BF-8B47-03D734E23C9D}"/>
    <hyperlink ref="C6" r:id="rId4" display="https://app.tikr.com/account/subs?ref=q5ht48" xr:uid="{1F92BB1C-7477-4205-B8E3-4477098BF5F5}"/>
    <hyperlink ref="B7" r:id="rId5" display="https://app.tikr.com/account/subs?ref=q5ht48" xr:uid="{EE6B0A55-4C67-457D-A79E-C28369B963F7}"/>
    <hyperlink ref="B8" r:id="rId6" display="https://app.tikr.com/account/subs?ref=q5ht48" xr:uid="{BA491610-A643-43C4-BAC0-62E7178FB53C}"/>
    <hyperlink ref="B9" r:id="rId7" display="https://app.tikr.com/account/subs?ref=q5ht48" xr:uid="{0C82F6DC-F8AF-4DF4-A863-1F93CD36C784}"/>
    <hyperlink ref="C9" r:id="rId8" display="https://app.tikr.com/account/subs?ref=q5ht48" xr:uid="{F2CF3FD4-1059-4A0E-B9F0-05D1DCFA421C}"/>
    <hyperlink ref="B10" r:id="rId9" display="https://app.tikr.com/account/subs?ref=q5ht48" xr:uid="{810A14D3-1C35-45FD-AF4C-D84E9F7AAAF3}"/>
    <hyperlink ref="B11" r:id="rId10" display="https://app.tikr.com/account/subs?ref=q5ht48" xr:uid="{B8F3032E-0AD4-4D90-8059-616F44E8FC6E}"/>
    <hyperlink ref="B12" r:id="rId11" display="https://app.tikr.com/account/subs?ref=q5ht48" xr:uid="{F6A2FB7B-38D8-4995-8CDC-23FD13CDBD85}"/>
    <hyperlink ref="B13" r:id="rId12" display="https://app.tikr.com/account/subs?ref=q5ht48" xr:uid="{D589C720-879C-4515-A110-7D405886EC1C}"/>
    <hyperlink ref="B14" r:id="rId13" display="https://app.tikr.com/account/subs?ref=q5ht48" xr:uid="{53ECBA16-0721-43FA-AD2D-E81E06AF94BF}"/>
    <hyperlink ref="B15" r:id="rId14" display="https://app.tikr.com/account/subs?ref=q5ht48" xr:uid="{3A368700-9620-4921-B075-228C804016E3}"/>
    <hyperlink ref="C15" r:id="rId15" display="https://app.tikr.com/account/subs?ref=q5ht48" xr:uid="{BED52537-9632-4C57-BEE6-8A6502EA5AF4}"/>
    <hyperlink ref="B16" r:id="rId16" display="https://app.tikr.com/account/subs?ref=q5ht48" xr:uid="{B739C72E-D070-4D4B-BBA8-1FD0B6DF0379}"/>
    <hyperlink ref="B17" r:id="rId17" display="https://app.tikr.com/account/subs?ref=q5ht48" xr:uid="{9FB65355-6616-4AE3-86B6-5CED8E9AF485}"/>
    <hyperlink ref="B18" r:id="rId18" display="https://app.tikr.com/account/subs?ref=q5ht48" xr:uid="{C92B351C-2A23-48E3-90AD-013416B23D8E}"/>
    <hyperlink ref="B19" r:id="rId19" display="https://app.tikr.com/account/subs?ref=q5ht48" xr:uid="{6C536497-CA8C-4550-814A-C5F9DF009815}"/>
    <hyperlink ref="B20" r:id="rId20" display="https://app.tikr.com/account/subs?ref=q5ht48" xr:uid="{730B3A95-B0F3-4E15-A739-3DBB2DCBE144}"/>
    <hyperlink ref="B21" r:id="rId21" display="https://app.tikr.com/account/subs?ref=q5ht48" xr:uid="{5863767F-5D90-42FA-B6DB-F2B67B06BB13}"/>
    <hyperlink ref="B22" r:id="rId22" display="https://app.tikr.com/account/subs?ref=q5ht48" xr:uid="{CFE2059A-7087-4F17-9D01-43003A4F0B93}"/>
    <hyperlink ref="B28" r:id="rId23" display="https://app.tikr.com/account/subs?ref=q5ht48" xr:uid="{7E7AF7B7-E1AC-4267-9EDD-B0F3687CA9F6}"/>
    <hyperlink ref="B29" r:id="rId24" display="https://app.tikr.com/account/subs?ref=q5ht48" xr:uid="{11BE9EF0-2745-419D-A941-162B8C7BDE79}"/>
    <hyperlink ref="B30" r:id="rId25" display="https://app.tikr.com/account/subs?ref=q5ht48" xr:uid="{0DD48796-7054-431C-99C6-4F8AEDB33277}"/>
    <hyperlink ref="B32" r:id="rId26" display="https://app.tikr.com/account/subs?ref=q5ht48" xr:uid="{7E573DDF-FAAF-4652-BD66-314978CE9541}"/>
    <hyperlink ref="B33" r:id="rId27" display="https://app.tikr.com/account/subs?ref=q5ht48" xr:uid="{464A0370-0512-439C-A470-444C5EB5C1BC}"/>
    <hyperlink ref="B34" r:id="rId28" display="https://app.tikr.com/account/subs?ref=q5ht48" xr:uid="{D401ABF1-D429-4A37-816C-6461965D3239}"/>
    <hyperlink ref="B35" r:id="rId29" display="https://app.tikr.com/account/subs?ref=q5ht48" xr:uid="{0702E00B-4B2D-4D4E-A85B-1A60DF14FA33}"/>
    <hyperlink ref="B36" r:id="rId30" display="https://app.tikr.com/account/subs?ref=q5ht48" xr:uid="{FCA6A95F-23DA-4A74-8052-26CA5875459C}"/>
    <hyperlink ref="B37" r:id="rId31" display="https://app.tikr.com/account/subs?ref=q5ht48" xr:uid="{5167851C-6F62-4B57-99AA-FD0EE9AA5A84}"/>
    <hyperlink ref="B39" r:id="rId32" display="https://app.tikr.com/account/subs?ref=q5ht48" xr:uid="{B9B7106B-2E32-4C6F-88EA-AA0630A8D96F}"/>
    <hyperlink ref="B40" r:id="rId33" display="https://app.tikr.com/account/subs?ref=q5ht48" xr:uid="{C98E28BB-8715-435F-81A9-8BEE95C1E329}"/>
    <hyperlink ref="C40" r:id="rId34" display="https://app.tikr.com/account/subs?ref=q5ht48" xr:uid="{E5BB30C1-6977-4823-B60F-18F0546BE991}"/>
    <hyperlink ref="B41" r:id="rId35" display="https://app.tikr.com/account/subs?ref=q5ht48" xr:uid="{9C6B6A63-FA0D-40CB-853F-310045B6D8C8}"/>
    <hyperlink ref="B42" r:id="rId36" display="https://app.tikr.com/account/subs?ref=q5ht48" xr:uid="{E689302A-728D-45C1-87B3-39CE2F9872B3}"/>
    <hyperlink ref="C42" r:id="rId37" display="https://app.tikr.com/account/subs?ref=q5ht48" xr:uid="{0ACEEC07-395E-4653-A3E8-91F0F5A22EA5}"/>
    <hyperlink ref="B43" r:id="rId38" display="https://app.tikr.com/account/subs?ref=q5ht48" xr:uid="{25910C50-F5C3-4B2B-9E4B-EA87A3593636}"/>
    <hyperlink ref="B44" r:id="rId39" display="https://app.tikr.com/account/subs?ref=q5ht48" xr:uid="{1F613B42-4100-401D-9EB1-3FC9E1E1A168}"/>
    <hyperlink ref="C44" r:id="rId40" display="https://app.tikr.com/account/subs?ref=q5ht48" xr:uid="{C5CE3485-3589-4CE8-B545-9CBE27BB6E8A}"/>
    <hyperlink ref="B45" r:id="rId41" display="https://app.tikr.com/account/subs?ref=q5ht48" xr:uid="{5DB77F6D-5AEA-4640-9602-2AA95B427B32}"/>
    <hyperlink ref="B46" r:id="rId42" display="https://app.tikr.com/account/subs?ref=q5ht48" xr:uid="{3385AA4B-5B2B-4E98-8DD3-937EB39C008B}"/>
    <hyperlink ref="B47" r:id="rId43" display="https://app.tikr.com/account/subs?ref=q5ht48" xr:uid="{4E014A18-2717-456D-A5CB-5D2AE17F3720}"/>
    <hyperlink ref="C47" r:id="rId44" display="https://app.tikr.com/account/subs?ref=q5ht48" xr:uid="{C9AEA800-A150-4A04-9218-DAB09D3BB9FD}"/>
    <hyperlink ref="B48" r:id="rId45" display="https://app.tikr.com/account/subs?ref=q5ht48" xr:uid="{C6393A83-37A7-46D4-A3C7-26FFAFF0D65C}"/>
    <hyperlink ref="B49" r:id="rId46" display="https://app.tikr.com/account/subs?ref=q5ht48" xr:uid="{A02DF3F8-7E60-4860-BD5C-91073D4C0CA1}"/>
    <hyperlink ref="B50" r:id="rId47" display="https://app.tikr.com/account/subs?ref=q5ht48" xr:uid="{9E0C6A80-46CD-409F-852D-A40006567B63}"/>
    <hyperlink ref="B51" r:id="rId48" display="https://app.tikr.com/account/subs?ref=q5ht48" xr:uid="{D2AE9776-7A2F-4FBB-B20F-ED46AA9505CE}"/>
    <hyperlink ref="B52" r:id="rId49" display="https://app.tikr.com/account/subs?ref=q5ht48" xr:uid="{7DAAC521-61BA-4071-8708-17641F21871E}"/>
  </hyperlinks>
  <pageMargins left="0.7" right="0.7" top="0.75" bottom="0.75" header="0.3" footer="0.3"/>
  <pageSetup paperSize="9" orientation="portrait" r:id="rId5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9177-8C12-4DAE-BC92-341E1BE91BF7}">
  <sheetPr codeName="Hoja14"/>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13</vt:i4>
      </vt:variant>
    </vt:vector>
  </HeadingPairs>
  <TitlesOfParts>
    <vt:vector size="13" baseType="lpstr">
      <vt:lpstr>Financials</vt:lpstr>
      <vt:lpstr>Financials (2)</vt:lpstr>
      <vt:lpstr>Tracking</vt:lpstr>
      <vt:lpstr>Options</vt:lpstr>
      <vt:lpstr>IncomeStatement</vt:lpstr>
      <vt:lpstr>BalanceSheet</vt:lpstr>
      <vt:lpstr>CashFlow</vt:lpstr>
      <vt:lpstr>Ratios</vt:lpstr>
      <vt:lpstr>Bible</vt:lpstr>
      <vt:lpstr>Dump</vt:lpstr>
      <vt:lpstr>DumpQ</vt:lpstr>
      <vt:lpstr>Processed</vt:lpstr>
      <vt:lpstr>ProcessedQ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2023-01-21T12:08:06Z</dcterms:modified>
</cp:coreProperties>
</file>